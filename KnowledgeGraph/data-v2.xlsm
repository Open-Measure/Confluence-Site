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2DEE7A16-7155-479A-87F4-F9B2837CC1E9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D23" i="3"/>
  <c r="B64" i="13"/>
  <c r="G64" i="13"/>
  <c r="D24" i="3"/>
  <c r="D40" i="3"/>
  <c r="D83" i="3"/>
  <c r="D175" i="3"/>
  <c r="D213" i="3"/>
  <c r="D225" i="3"/>
  <c r="D226" i="3"/>
  <c r="D231" i="3"/>
  <c r="D425" i="3"/>
  <c r="D22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B63" i="13"/>
  <c r="B63" i="14" s="1"/>
  <c r="G63" i="13"/>
  <c r="C63" i="14" s="1"/>
  <c r="B62" i="13"/>
  <c r="B62" i="14" s="1"/>
  <c r="G62" i="13"/>
  <c r="C62" i="14" s="1"/>
  <c r="B61" i="13"/>
  <c r="B61" i="14" s="1"/>
  <c r="G61" i="13"/>
  <c r="C61" i="14" s="1"/>
  <c r="B60" i="13"/>
  <c r="B60" i="14" s="1"/>
  <c r="G60" i="13"/>
  <c r="C60" i="14" s="1"/>
  <c r="B59" i="13"/>
  <c r="B59" i="14" s="1"/>
  <c r="G59" i="13"/>
  <c r="C59" i="14" s="1"/>
  <c r="B58" i="13"/>
  <c r="B58" i="14" s="1"/>
  <c r="G58" i="13"/>
  <c r="C58" i="14" s="1"/>
  <c r="B57" i="13"/>
  <c r="B57" i="14" s="1"/>
  <c r="G57" i="13"/>
  <c r="C57" i="14" s="1"/>
  <c r="B56" i="13"/>
  <c r="B56" i="14" s="1"/>
  <c r="G56" i="13"/>
  <c r="C56" i="14" s="1"/>
  <c r="B55" i="13"/>
  <c r="B55" i="14" s="1"/>
  <c r="G55" i="13"/>
  <c r="C55" i="14" s="1"/>
  <c r="B54" i="13"/>
  <c r="B54" i="14" s="1"/>
  <c r="G54" i="13"/>
  <c r="C54" i="14" s="1"/>
  <c r="B53" i="13"/>
  <c r="B53" i="14" s="1"/>
  <c r="G53" i="13"/>
  <c r="C53" i="14" s="1"/>
  <c r="B52" i="13"/>
  <c r="B52" i="14" s="1"/>
  <c r="G52" i="13"/>
  <c r="C52" i="14" s="1"/>
  <c r="B51" i="13"/>
  <c r="B51" i="14" s="1"/>
  <c r="G51" i="13"/>
  <c r="C51" i="14" s="1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D99" i="3"/>
  <c r="D82" i="3"/>
  <c r="D81" i="3"/>
  <c r="D80" i="3"/>
  <c r="D79" i="3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D104" i="3"/>
  <c r="D443" i="3"/>
  <c r="D129" i="3"/>
  <c r="D256" i="3"/>
  <c r="D257" i="3"/>
  <c r="D166" i="3"/>
  <c r="D124" i="3"/>
  <c r="D255" i="3"/>
  <c r="G3" i="13"/>
  <c r="G34" i="13"/>
  <c r="C34" i="14" s="1"/>
  <c r="G5" i="13"/>
  <c r="C5" i="14" s="1"/>
  <c r="G6" i="13"/>
  <c r="C6" i="14" s="1"/>
  <c r="G7" i="13"/>
  <c r="C7" i="14" s="1"/>
  <c r="G12" i="13"/>
  <c r="C12" i="14" s="1"/>
  <c r="G32" i="13"/>
  <c r="C32" i="14" s="1"/>
  <c r="G29" i="13"/>
  <c r="C29" i="14" s="1"/>
  <c r="G30" i="13"/>
  <c r="C30" i="14" s="1"/>
  <c r="G31" i="13"/>
  <c r="C31" i="14" s="1"/>
  <c r="G33" i="13"/>
  <c r="C33" i="14" s="1"/>
  <c r="G4" i="13"/>
  <c r="C4" i="14" s="1"/>
  <c r="G8" i="13"/>
  <c r="C8" i="14" s="1"/>
  <c r="G9" i="13"/>
  <c r="C9" i="14" s="1"/>
  <c r="G13" i="13"/>
  <c r="C13" i="14" s="1"/>
  <c r="G14" i="13"/>
  <c r="C14" i="14" s="1"/>
  <c r="G15" i="13"/>
  <c r="C15" i="14" s="1"/>
  <c r="G16" i="13"/>
  <c r="C16" i="14" s="1"/>
  <c r="G17" i="13"/>
  <c r="C17" i="14" s="1"/>
  <c r="G18" i="13"/>
  <c r="C18" i="14" s="1"/>
  <c r="G19" i="13"/>
  <c r="C19" i="14" s="1"/>
  <c r="G20" i="13"/>
  <c r="C20" i="14" s="1"/>
  <c r="G21" i="13"/>
  <c r="C21" i="14" s="1"/>
  <c r="G22" i="13"/>
  <c r="C22" i="14" s="1"/>
  <c r="G23" i="13"/>
  <c r="C23" i="14" s="1"/>
  <c r="G24" i="13"/>
  <c r="C24" i="14" s="1"/>
  <c r="G25" i="13"/>
  <c r="C25" i="14" s="1"/>
  <c r="G35" i="13"/>
  <c r="C35" i="14" s="1"/>
  <c r="G36" i="13"/>
  <c r="C36" i="14" s="1"/>
  <c r="G37" i="13"/>
  <c r="C37" i="14" s="1"/>
  <c r="G38" i="13"/>
  <c r="C38" i="14" s="1"/>
  <c r="G39" i="13"/>
  <c r="C39" i="14" s="1"/>
  <c r="G40" i="13"/>
  <c r="C40" i="14" s="1"/>
  <c r="G41" i="13"/>
  <c r="C41" i="14" s="1"/>
  <c r="G42" i="13"/>
  <c r="C42" i="14" s="1"/>
  <c r="G43" i="13"/>
  <c r="C43" i="14" s="1"/>
  <c r="G44" i="13"/>
  <c r="C44" i="14" s="1"/>
  <c r="G45" i="13"/>
  <c r="C45" i="14" s="1"/>
  <c r="G46" i="13"/>
  <c r="C46" i="14" s="1"/>
  <c r="G47" i="13"/>
  <c r="C47" i="14" s="1"/>
  <c r="G48" i="13"/>
  <c r="C48" i="14" s="1"/>
  <c r="G49" i="13"/>
  <c r="C49" i="14" s="1"/>
  <c r="G50" i="13"/>
  <c r="C50" i="14" s="1"/>
  <c r="B50" i="13"/>
  <c r="B50" i="14" s="1"/>
  <c r="B49" i="13"/>
  <c r="B49" i="14" s="1"/>
  <c r="B48" i="13"/>
  <c r="B48" i="14" s="1"/>
  <c r="B47" i="13"/>
  <c r="B47" i="14" s="1"/>
  <c r="B46" i="13"/>
  <c r="B46" i="14" s="1"/>
  <c r="B45" i="13"/>
  <c r="B45" i="14" s="1"/>
  <c r="B44" i="13"/>
  <c r="B44" i="14" s="1"/>
  <c r="B43" i="13"/>
  <c r="B43" i="14" s="1"/>
  <c r="B42" i="13"/>
  <c r="B42" i="14" s="1"/>
  <c r="B41" i="13"/>
  <c r="B41" i="14" s="1"/>
  <c r="B40" i="13"/>
  <c r="B40" i="14" s="1"/>
  <c r="B39" i="13"/>
  <c r="B39" i="14" s="1"/>
  <c r="B38" i="13"/>
  <c r="B38" i="14" s="1"/>
  <c r="B37" i="13"/>
  <c r="B37" i="14" s="1"/>
  <c r="B36" i="13"/>
  <c r="B36" i="14" s="1"/>
  <c r="B35" i="13"/>
  <c r="B35" i="14" s="1"/>
  <c r="B25" i="13"/>
  <c r="B25" i="14" s="1"/>
  <c r="B24" i="13"/>
  <c r="B24" i="14" s="1"/>
  <c r="B23" i="13"/>
  <c r="B23" i="14" s="1"/>
  <c r="B22" i="13"/>
  <c r="B22" i="14" s="1"/>
  <c r="B21" i="13"/>
  <c r="B21" i="14" s="1"/>
  <c r="B20" i="13"/>
  <c r="B20" i="14" s="1"/>
  <c r="B19" i="13"/>
  <c r="B19" i="14" s="1"/>
  <c r="B18" i="13"/>
  <c r="B18" i="14" s="1"/>
  <c r="B17" i="13"/>
  <c r="B17" i="14" s="1"/>
  <c r="B16" i="13"/>
  <c r="B16" i="14" s="1"/>
  <c r="B15" i="13"/>
  <c r="B15" i="14" s="1"/>
  <c r="B14" i="13"/>
  <c r="B14" i="14" s="1"/>
  <c r="B13" i="13"/>
  <c r="B13" i="14" s="1"/>
  <c r="B9" i="13"/>
  <c r="B9" i="14" s="1"/>
  <c r="B8" i="13"/>
  <c r="B8" i="14" s="1"/>
  <c r="B4" i="13"/>
  <c r="B4" i="14" s="1"/>
  <c r="B33" i="13"/>
  <c r="B33" i="14" s="1"/>
  <c r="B31" i="13"/>
  <c r="B31" i="14" s="1"/>
  <c r="B30" i="13"/>
  <c r="B30" i="14" s="1"/>
  <c r="B29" i="13"/>
  <c r="B29" i="14" s="1"/>
  <c r="B32" i="13"/>
  <c r="B32" i="14" s="1"/>
  <c r="B11" i="13"/>
  <c r="B11" i="14" s="1"/>
  <c r="B10" i="13"/>
  <c r="B10" i="14" s="1"/>
  <c r="B27" i="13"/>
  <c r="B27" i="14" s="1"/>
  <c r="B26" i="13"/>
  <c r="B26" i="14" s="1"/>
  <c r="B28" i="13"/>
  <c r="B12" i="13"/>
  <c r="B12" i="14" s="1"/>
  <c r="B7" i="13"/>
  <c r="B7" i="14" s="1"/>
  <c r="B6" i="13"/>
  <c r="B6" i="14" s="1"/>
  <c r="B5" i="13"/>
  <c r="B5" i="14" s="1"/>
  <c r="B34" i="13"/>
  <c r="B34" i="14" s="1"/>
  <c r="B3" i="13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D3" i="3"/>
  <c r="D479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7" i="3"/>
  <c r="D478" i="3"/>
  <c r="D460" i="3"/>
  <c r="D476" i="3"/>
  <c r="D475" i="3"/>
  <c r="D474" i="3"/>
  <c r="D473" i="3"/>
  <c r="D472" i="3"/>
  <c r="D471" i="3"/>
  <c r="D470" i="3"/>
  <c r="D468" i="3"/>
  <c r="D467" i="3"/>
  <c r="D466" i="3"/>
  <c r="D465" i="3"/>
  <c r="D469" i="3"/>
  <c r="D464" i="3"/>
  <c r="D463" i="3"/>
  <c r="D462" i="3"/>
  <c r="D461" i="3"/>
  <c r="D446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5" i="3"/>
  <c r="D442" i="3"/>
  <c r="D444" i="3"/>
  <c r="D428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4" i="3"/>
  <c r="D427" i="3"/>
  <c r="D426" i="3"/>
  <c r="D411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06" i="3"/>
  <c r="D410" i="3"/>
  <c r="D409" i="3"/>
  <c r="D408" i="3"/>
  <c r="D407" i="3"/>
  <c r="D399" i="3"/>
  <c r="D405" i="3"/>
  <c r="D404" i="3"/>
  <c r="D403" i="3"/>
  <c r="D402" i="3"/>
  <c r="D401" i="3"/>
  <c r="D400" i="3"/>
  <c r="D372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79" i="3"/>
  <c r="D378" i="3"/>
  <c r="D377" i="3"/>
  <c r="D376" i="3"/>
  <c r="D375" i="3"/>
  <c r="D374" i="3"/>
  <c r="D380" i="3"/>
  <c r="D373" i="3"/>
  <c r="D363" i="3"/>
  <c r="D371" i="3"/>
  <c r="D370" i="3"/>
  <c r="D369" i="3"/>
  <c r="D368" i="3"/>
  <c r="D367" i="3"/>
  <c r="D366" i="3"/>
  <c r="D365" i="3"/>
  <c r="D364" i="3"/>
  <c r="D360" i="3"/>
  <c r="D362" i="3"/>
  <c r="D361" i="3"/>
  <c r="D355" i="3"/>
  <c r="D359" i="3"/>
  <c r="D358" i="3"/>
  <c r="D357" i="3"/>
  <c r="D356" i="3"/>
  <c r="D334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0" i="3"/>
  <c r="D333" i="3"/>
  <c r="D332" i="3"/>
  <c r="D331" i="3"/>
  <c r="D329" i="3"/>
  <c r="D328" i="3"/>
  <c r="D327" i="3"/>
  <c r="D326" i="3"/>
  <c r="D325" i="3"/>
  <c r="D323" i="3"/>
  <c r="D324" i="3"/>
  <c r="D321" i="3"/>
  <c r="D322" i="3"/>
  <c r="D304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1" i="3"/>
  <c r="D303" i="3"/>
  <c r="D302" i="3"/>
  <c r="D295" i="3"/>
  <c r="D300" i="3"/>
  <c r="D299" i="3"/>
  <c r="D298" i="3"/>
  <c r="D297" i="3"/>
  <c r="D296" i="3"/>
  <c r="D293" i="3"/>
  <c r="D294" i="3"/>
  <c r="D292" i="3"/>
  <c r="D291" i="3"/>
  <c r="D270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68" i="3"/>
  <c r="D269" i="3"/>
  <c r="D252" i="3"/>
  <c r="D267" i="3"/>
  <c r="D266" i="3"/>
  <c r="D265" i="3"/>
  <c r="D264" i="3"/>
  <c r="D263" i="3"/>
  <c r="D262" i="3"/>
  <c r="D261" i="3"/>
  <c r="D260" i="3"/>
  <c r="D259" i="3"/>
  <c r="D258" i="3"/>
  <c r="D254" i="3"/>
  <c r="D253" i="3"/>
  <c r="D234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192" i="3"/>
  <c r="D233" i="3"/>
  <c r="D232" i="3"/>
  <c r="D230" i="3"/>
  <c r="D229" i="3"/>
  <c r="D224" i="3"/>
  <c r="D223" i="3"/>
  <c r="D222" i="3"/>
  <c r="D221" i="3"/>
  <c r="D220" i="3"/>
  <c r="D219" i="3"/>
  <c r="D218" i="3"/>
  <c r="D217" i="3"/>
  <c r="D216" i="3"/>
  <c r="D215" i="3"/>
  <c r="D214" i="3"/>
  <c r="D228" i="3"/>
  <c r="D212" i="3"/>
  <c r="D211" i="3"/>
  <c r="D227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1" i="3"/>
  <c r="D189" i="3"/>
  <c r="D190" i="3"/>
  <c r="D188" i="3"/>
  <c r="D187" i="3"/>
  <c r="D184" i="3"/>
  <c r="D186" i="3"/>
  <c r="D185" i="3"/>
  <c r="D177" i="3"/>
  <c r="D183" i="3"/>
  <c r="D182" i="3"/>
  <c r="D181" i="3"/>
  <c r="D180" i="3"/>
  <c r="D179" i="3"/>
  <c r="D178" i="3"/>
  <c r="D167" i="3"/>
  <c r="D176" i="3"/>
  <c r="D174" i="3"/>
  <c r="D173" i="3"/>
  <c r="D172" i="3"/>
  <c r="D171" i="3"/>
  <c r="D170" i="3"/>
  <c r="D169" i="3"/>
  <c r="D168" i="3"/>
  <c r="D145" i="3"/>
  <c r="D165" i="3"/>
  <c r="D164" i="3"/>
  <c r="D163" i="3"/>
  <c r="D162" i="3"/>
  <c r="D161" i="3"/>
  <c r="D160" i="3"/>
  <c r="D159" i="3"/>
  <c r="D157" i="3"/>
  <c r="D156" i="3"/>
  <c r="D155" i="3"/>
  <c r="D158" i="3"/>
  <c r="D154" i="3"/>
  <c r="D153" i="3"/>
  <c r="D152" i="3"/>
  <c r="D151" i="3"/>
  <c r="D150" i="3"/>
  <c r="D149" i="3"/>
  <c r="D148" i="3"/>
  <c r="D146" i="3"/>
  <c r="D147" i="3"/>
  <c r="D140" i="3"/>
  <c r="D144" i="3"/>
  <c r="D143" i="3"/>
  <c r="D142" i="3"/>
  <c r="D141" i="3"/>
  <c r="D103" i="3"/>
  <c r="D139" i="3"/>
  <c r="D138" i="3"/>
  <c r="D137" i="3"/>
  <c r="D136" i="3"/>
  <c r="D135" i="3"/>
  <c r="D133" i="3"/>
  <c r="D132" i="3"/>
  <c r="D134" i="3"/>
  <c r="D130" i="3"/>
  <c r="D128" i="3"/>
  <c r="D127" i="3"/>
  <c r="D131" i="3"/>
  <c r="D126" i="3"/>
  <c r="D125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93" i="3"/>
  <c r="D102" i="3"/>
  <c r="D101" i="3"/>
  <c r="D100" i="3"/>
  <c r="D98" i="3"/>
  <c r="D97" i="3"/>
  <c r="D96" i="3"/>
  <c r="D95" i="3"/>
  <c r="D94" i="3"/>
  <c r="D86" i="3"/>
  <c r="D92" i="3"/>
  <c r="D91" i="3"/>
  <c r="D90" i="3"/>
  <c r="D89" i="3"/>
  <c r="D88" i="3"/>
  <c r="D87" i="3"/>
  <c r="D73" i="3"/>
  <c r="D85" i="3"/>
  <c r="D84" i="3"/>
  <c r="D78" i="3"/>
  <c r="D77" i="3"/>
  <c r="D76" i="3"/>
  <c r="D75" i="3"/>
  <c r="D74" i="3"/>
  <c r="D67" i="3"/>
  <c r="D72" i="3"/>
  <c r="D71" i="3"/>
  <c r="D70" i="3"/>
  <c r="D69" i="3"/>
  <c r="D68" i="3"/>
  <c r="D65" i="3"/>
  <c r="D66" i="3"/>
  <c r="D62" i="3"/>
  <c r="D64" i="3"/>
  <c r="D63" i="3"/>
  <c r="D51" i="3"/>
  <c r="D61" i="3"/>
  <c r="D60" i="3"/>
  <c r="D59" i="3"/>
  <c r="D58" i="3"/>
  <c r="D57" i="3"/>
  <c r="D56" i="3"/>
  <c r="D55" i="3"/>
  <c r="D54" i="3"/>
  <c r="D53" i="3"/>
  <c r="D52" i="3"/>
  <c r="D50" i="3"/>
  <c r="D49" i="3"/>
  <c r="D48" i="3"/>
  <c r="D47" i="3"/>
  <c r="D46" i="3"/>
  <c r="D45" i="3"/>
  <c r="D44" i="3"/>
  <c r="D43" i="3"/>
  <c r="D42" i="3"/>
  <c r="D41" i="3"/>
  <c r="D39" i="3"/>
  <c r="D38" i="3"/>
  <c r="D37" i="3"/>
  <c r="D35" i="3"/>
  <c r="D34" i="3"/>
  <c r="D33" i="3"/>
  <c r="D36" i="3"/>
  <c r="D32" i="3"/>
  <c r="D31" i="3"/>
  <c r="D30" i="3"/>
  <c r="D29" i="3"/>
  <c r="D28" i="3"/>
  <c r="D27" i="3"/>
  <c r="D26" i="3"/>
  <c r="D25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H12" i="13" a="1"/>
  <c r="H33" i="13" a="1"/>
  <c r="H16" i="13" a="1"/>
  <c r="H24" i="13" a="1"/>
  <c r="H41" i="13" a="1"/>
  <c r="H49" i="13" a="1"/>
  <c r="H3" i="13" a="1"/>
  <c r="H34" i="13" a="1"/>
  <c r="H17" i="13" a="1"/>
  <c r="H25" i="13" a="1"/>
  <c r="H42" i="13" a="1"/>
  <c r="H50" i="13" a="1"/>
  <c r="H29" i="13" a="1"/>
  <c r="H30" i="13" a="1"/>
  <c r="H36" i="13" a="1"/>
  <c r="H10" i="13" a="1"/>
  <c r="H31" i="13" a="1"/>
  <c r="H9" i="13" a="1"/>
  <c r="H20" i="13" a="1"/>
  <c r="H37" i="13" a="1"/>
  <c r="H45" i="13" a="1"/>
  <c r="H11" i="13" a="1"/>
  <c r="H32" i="13" a="1"/>
  <c r="H13" i="13" a="1"/>
  <c r="H21" i="13" a="1"/>
  <c r="H38" i="13" a="1"/>
  <c r="H46" i="13" a="1"/>
  <c r="H26" i="13" a="1"/>
  <c r="H6" i="13" a="1"/>
  <c r="H14" i="13" a="1"/>
  <c r="H22" i="13" a="1"/>
  <c r="H39" i="13" a="1"/>
  <c r="H47" i="13" a="1"/>
  <c r="H27" i="13" a="1"/>
  <c r="H7" i="13" a="1"/>
  <c r="H15" i="13" a="1"/>
  <c r="H23" i="13" a="1"/>
  <c r="H40" i="13" a="1"/>
  <c r="H28" i="13" a="1"/>
  <c r="H4" i="13" a="1"/>
  <c r="H18" i="13" a="1"/>
  <c r="H35" i="13" a="1"/>
  <c r="H43" i="13" a="1"/>
  <c r="H5" i="13" a="1"/>
  <c r="H8" i="13" a="1"/>
  <c r="H19" i="13" a="1"/>
  <c r="H44" i="13" a="1"/>
  <c r="H48" i="13" a="1"/>
  <c r="H63" i="13" a="1"/>
  <c r="H62" i="13" a="1"/>
  <c r="H61" i="13" a="1"/>
  <c r="H60" i="13" a="1"/>
  <c r="H59" i="13" a="1"/>
  <c r="H58" i="13" a="1"/>
  <c r="H57" i="13" a="1"/>
  <c r="H56" i="13" a="1"/>
  <c r="H55" i="13" a="1"/>
  <c r="H54" i="13" a="1"/>
  <c r="H53" i="13" a="1"/>
  <c r="H52" i="13" a="1"/>
  <c r="H51" i="13" a="1"/>
  <c r="G23" i="3" a="1"/>
  <c r="G79" i="3" a="1"/>
  <c r="G129" i="3" a="1"/>
  <c r="G3" i="3" a="1"/>
  <c r="G19" i="3" a="1"/>
  <c r="G38" i="3" a="1"/>
  <c r="G56" i="3" a="1"/>
  <c r="G72" i="3" a="1"/>
  <c r="G86" i="3" a="1"/>
  <c r="G111" i="3" a="1"/>
  <c r="G127" i="3" a="1"/>
  <c r="G140" i="3" a="1"/>
  <c r="G161" i="3" a="1"/>
  <c r="G179" i="3" a="1"/>
  <c r="G191" i="3" a="1"/>
  <c r="G200" i="3" a="1"/>
  <c r="G208" i="3" a="1"/>
  <c r="G215" i="3" a="1"/>
  <c r="G223" i="3" a="1"/>
  <c r="G236" i="3" a="1"/>
  <c r="G244" i="3" a="1"/>
  <c r="G234" i="3" a="1"/>
  <c r="G263" i="3" a="1"/>
  <c r="G271" i="3" a="1"/>
  <c r="G279" i="3" a="1"/>
  <c r="G287" i="3" a="1"/>
  <c r="G293" i="3" a="1"/>
  <c r="G303" i="3" a="1"/>
  <c r="G311" i="3" a="1"/>
  <c r="G319" i="3" a="1"/>
  <c r="G326" i="3" a="1"/>
  <c r="G335" i="3" a="1"/>
  <c r="G343" i="3" a="1"/>
  <c r="G351" i="3" a="1"/>
  <c r="G359" i="3" a="1"/>
  <c r="G8" i="3" a="1"/>
  <c r="G27" i="3" a="1"/>
  <c r="G44" i="3" a="1"/>
  <c r="G61" i="3" a="1"/>
  <c r="G77" i="3" a="1"/>
  <c r="G98" i="3" a="1"/>
  <c r="G116" i="3" a="1"/>
  <c r="G133" i="3" a="1"/>
  <c r="G150" i="3" a="1"/>
  <c r="G145" i="3" a="1"/>
  <c r="G177" i="3" a="1"/>
  <c r="G13" i="3" a="1"/>
  <c r="G32" i="3" a="1"/>
  <c r="G49" i="3" a="1"/>
  <c r="G66" i="3" a="1"/>
  <c r="G87" i="3" a="1"/>
  <c r="G105" i="3" a="1"/>
  <c r="G121" i="3" a="1"/>
  <c r="G139" i="3" a="1"/>
  <c r="G158" i="3" a="1"/>
  <c r="G172" i="3" a="1"/>
  <c r="G188" i="3" a="1"/>
  <c r="G197" i="3" a="1"/>
  <c r="G205" i="3" a="1"/>
  <c r="G212" i="3" a="1"/>
  <c r="G220" i="3" a="1"/>
  <c r="G233" i="3" a="1"/>
  <c r="G241" i="3" a="1"/>
  <c r="G249" i="3" a="1"/>
  <c r="G260" i="3" a="1"/>
  <c r="G252" i="3" a="1"/>
  <c r="G276" i="3" a="1"/>
  <c r="G284" i="3" a="1"/>
  <c r="G291" i="3" a="1"/>
  <c r="G300" i="3" a="1"/>
  <c r="G308" i="3" a="1"/>
  <c r="G316" i="3" a="1"/>
  <c r="G324" i="3" a="1"/>
  <c r="G332" i="3" a="1"/>
  <c r="G340" i="3" a="1"/>
  <c r="G348" i="3" a="1"/>
  <c r="G356" i="3" a="1"/>
  <c r="G364" i="3" a="1"/>
  <c r="G59" i="3" a="1"/>
  <c r="G134" i="3" a="1"/>
  <c r="G10" i="3" a="1"/>
  <c r="G84" i="3" a="1"/>
  <c r="G152" i="3" a="1"/>
  <c r="G367" i="3" a="1"/>
  <c r="G374" i="3" a="1"/>
  <c r="G383" i="3" a="1"/>
  <c r="G391" i="3" a="1"/>
  <c r="G372" i="3" a="1"/>
  <c r="G407" i="3" a="1"/>
  <c r="G415" i="3" a="1"/>
  <c r="G36" i="3" a="1"/>
  <c r="G106" i="3" a="1"/>
  <c r="G173" i="3" a="1"/>
  <c r="G370" i="3" a="1"/>
  <c r="G402" i="3" a="1"/>
  <c r="G424" i="3" a="1"/>
  <c r="G442" i="3" a="1"/>
  <c r="G461" i="3" a="1"/>
  <c r="G476" i="3" a="1"/>
  <c r="G492" i="3" a="1"/>
  <c r="G37" i="3" a="1"/>
  <c r="G379" i="3" a="1"/>
  <c r="G412" i="3" a="1"/>
  <c r="G433" i="3" a="1"/>
  <c r="G450" i="3" a="1"/>
  <c r="G465" i="3" a="1"/>
  <c r="G482" i="3" a="1"/>
  <c r="G498" i="3" a="1"/>
  <c r="G366" i="3" a="1"/>
  <c r="G398" i="3" a="1"/>
  <c r="G426" i="3" a="1"/>
  <c r="G428" i="3" a="1"/>
  <c r="G459" i="3" a="1"/>
  <c r="G475" i="3" a="1"/>
  <c r="G491" i="3" a="1"/>
  <c r="G144" i="3" a="1"/>
  <c r="G392" i="3" a="1"/>
  <c r="G422" i="3" a="1"/>
  <c r="G439" i="3" a="1"/>
  <c r="G456" i="3" a="1"/>
  <c r="G472" i="3" a="1"/>
  <c r="G489" i="3" a="1"/>
  <c r="G24" i="3" a="1"/>
  <c r="G425" i="3" a="1"/>
  <c r="G231" i="3" a="1"/>
  <c r="G99" i="3" a="1"/>
  <c r="G11" i="3" a="1"/>
  <c r="G82" i="3" a="1"/>
  <c r="G80" i="3" a="1"/>
  <c r="G257" i="3" a="1"/>
  <c r="G7" i="3" a="1"/>
  <c r="G26" i="3" a="1"/>
  <c r="G43" i="3" a="1"/>
  <c r="G60" i="3" a="1"/>
  <c r="G76" i="3" a="1"/>
  <c r="G97" i="3" a="1"/>
  <c r="G115" i="3" a="1"/>
  <c r="G132" i="3" a="1"/>
  <c r="G149" i="3" a="1"/>
  <c r="G165" i="3" a="1"/>
  <c r="G183" i="3" a="1"/>
  <c r="G194" i="3" a="1"/>
  <c r="G202" i="3" a="1"/>
  <c r="G210" i="3" a="1"/>
  <c r="G217" i="3" a="1"/>
  <c r="G229" i="3" a="1"/>
  <c r="G238" i="3" a="1"/>
  <c r="G246" i="3" a="1"/>
  <c r="G254" i="3" a="1"/>
  <c r="G265" i="3" a="1"/>
  <c r="G273" i="3" a="1"/>
  <c r="G281" i="3" a="1"/>
  <c r="G289" i="3" a="1"/>
  <c r="G297" i="3" a="1"/>
  <c r="G305" i="3" a="1"/>
  <c r="G313" i="3" a="1"/>
  <c r="G304" i="3" a="1"/>
  <c r="G328" i="3" a="1"/>
  <c r="G337" i="3" a="1"/>
  <c r="G345" i="3" a="1"/>
  <c r="G353" i="3" a="1"/>
  <c r="G361" i="3" a="1"/>
  <c r="G12" i="3" a="1"/>
  <c r="G31" i="3" a="1"/>
  <c r="G48" i="3" a="1"/>
  <c r="G62" i="3" a="1"/>
  <c r="G73" i="3" a="1"/>
  <c r="G93" i="3" a="1"/>
  <c r="G120" i="3" a="1"/>
  <c r="G138" i="3" a="1"/>
  <c r="G154" i="3" a="1"/>
  <c r="G171" i="3" a="1"/>
  <c r="G187" i="3" a="1"/>
  <c r="G17" i="3" a="1"/>
  <c r="G35" i="3" a="1"/>
  <c r="G54" i="3" a="1"/>
  <c r="G70" i="3" a="1"/>
  <c r="G91" i="3" a="1"/>
  <c r="G109" i="3" a="1"/>
  <c r="G126" i="3" a="1"/>
  <c r="G143" i="3" a="1"/>
  <c r="G159" i="3" a="1"/>
  <c r="G167" i="3" a="1"/>
  <c r="G189" i="3" a="1"/>
  <c r="G199" i="3" a="1"/>
  <c r="G207" i="3" a="1"/>
  <c r="G214" i="3" a="1"/>
  <c r="G222" i="3" a="1"/>
  <c r="G235" i="3" a="1"/>
  <c r="G243" i="3" a="1"/>
  <c r="G251" i="3" a="1"/>
  <c r="G262" i="3" a="1"/>
  <c r="G268" i="3" a="1"/>
  <c r="G278" i="3" a="1"/>
  <c r="G286" i="3" a="1"/>
  <c r="G294" i="3" a="1"/>
  <c r="G302" i="3" a="1"/>
  <c r="G310" i="3" a="1"/>
  <c r="G318" i="3" a="1"/>
  <c r="G325" i="3" a="1"/>
  <c r="G330" i="3" a="1"/>
  <c r="G342" i="3" a="1"/>
  <c r="G350" i="3" a="1"/>
  <c r="G358" i="3" a="1"/>
  <c r="G6" i="3" a="1"/>
  <c r="G75" i="3" a="1"/>
  <c r="G148" i="3" a="1"/>
  <c r="G29" i="3" a="1"/>
  <c r="G101" i="3" a="1"/>
  <c r="G169" i="3" a="1"/>
  <c r="G369" i="3" a="1"/>
  <c r="G376" i="3" a="1"/>
  <c r="G385" i="3" a="1"/>
  <c r="G393" i="3" a="1"/>
  <c r="G401" i="3" a="1"/>
  <c r="G409" i="3" a="1"/>
  <c r="G417" i="3" a="1"/>
  <c r="G50" i="3" a="1"/>
  <c r="G122" i="3" a="1"/>
  <c r="G18" i="3" a="1"/>
  <c r="G377" i="3" a="1"/>
  <c r="G410" i="3" a="1"/>
  <c r="G432" i="3" a="1"/>
  <c r="G449" i="3" a="1"/>
  <c r="G469" i="3" a="1"/>
  <c r="G477" i="3" a="1"/>
  <c r="G495" i="3" a="1"/>
  <c r="G110" i="3" a="1"/>
  <c r="G388" i="3" a="1"/>
  <c r="G420" i="3" a="1"/>
  <c r="G437" i="3" a="1"/>
  <c r="G454" i="3" a="1"/>
  <c r="G470" i="3" a="1"/>
  <c r="G485" i="3" a="1"/>
  <c r="G479" i="3" a="1"/>
  <c r="G380" i="3" a="1"/>
  <c r="G399" i="3" a="1"/>
  <c r="G430" i="3" a="1"/>
  <c r="G447" i="3" a="1"/>
  <c r="G463" i="3" a="1"/>
  <c r="G480" i="3" a="1"/>
  <c r="G496" i="3" a="1"/>
  <c r="G368" i="3" a="1"/>
  <c r="G400" i="3" a="1"/>
  <c r="G427" i="3" a="1"/>
  <c r="G444" i="3" a="1"/>
  <c r="G446" i="3" a="1"/>
  <c r="G478" i="3" a="1"/>
  <c r="G494" i="3" a="1"/>
  <c r="G83" i="3" a="1"/>
  <c r="G40" i="3" a="1"/>
  <c r="G22" i="3" a="1"/>
  <c r="G443" i="3" a="1"/>
  <c r="G256" i="3" a="1"/>
  <c r="G15" i="3" a="1"/>
  <c r="G52" i="3" a="1"/>
  <c r="G89" i="3" a="1"/>
  <c r="G123" i="3" a="1"/>
  <c r="G156" i="3" a="1"/>
  <c r="G190" i="3" a="1"/>
  <c r="G206" i="3" a="1"/>
  <c r="G221" i="3" a="1"/>
  <c r="G242" i="3" a="1"/>
  <c r="G261" i="3" a="1"/>
  <c r="G277" i="3" a="1"/>
  <c r="G292" i="3" a="1"/>
  <c r="G309" i="3" a="1"/>
  <c r="G323" i="3" a="1"/>
  <c r="G341" i="3" a="1"/>
  <c r="G357" i="3" a="1"/>
  <c r="G20" i="3" a="1"/>
  <c r="G57" i="3" a="1"/>
  <c r="G94" i="3" a="1"/>
  <c r="G128" i="3" a="1"/>
  <c r="G162" i="3" a="1"/>
  <c r="G9" i="3" a="1"/>
  <c r="G45" i="3" a="1"/>
  <c r="G78" i="3" a="1"/>
  <c r="G117" i="3" a="1"/>
  <c r="G151" i="3" a="1"/>
  <c r="G185" i="3" a="1"/>
  <c r="G203" i="3" a="1"/>
  <c r="G218" i="3" a="1"/>
  <c r="G239" i="3" a="1"/>
  <c r="G258" i="3" a="1"/>
  <c r="G274" i="3" a="1"/>
  <c r="G290" i="3" a="1"/>
  <c r="G306" i="3" a="1"/>
  <c r="G322" i="3" a="1"/>
  <c r="G338" i="3" a="1"/>
  <c r="G354" i="3" a="1"/>
  <c r="G42" i="3" a="1"/>
  <c r="G182" i="3" a="1"/>
  <c r="G136" i="3" a="1"/>
  <c r="G373" i="3" a="1"/>
  <c r="G389" i="3" a="1"/>
  <c r="G405" i="3" a="1"/>
  <c r="G14" i="3" a="1"/>
  <c r="G155" i="3" a="1"/>
  <c r="G394" i="3" a="1"/>
  <c r="G440" i="3" a="1"/>
  <c r="G473" i="3" a="1"/>
  <c r="G124" i="3" a="1"/>
  <c r="G404" i="3" a="1"/>
  <c r="G445" i="3" a="1"/>
  <c r="G460" i="3" a="1"/>
  <c r="G131" i="3" a="1"/>
  <c r="G421" i="3" a="1"/>
  <c r="G455" i="3" a="1"/>
  <c r="G488" i="3" a="1"/>
  <c r="G384" i="3" a="1"/>
  <c r="G435" i="3" a="1"/>
  <c r="G467" i="3" a="1"/>
  <c r="G255" i="3" a="1"/>
  <c r="G225" i="3" a="1"/>
  <c r="G85" i="3" a="1"/>
  <c r="G153" i="3" a="1"/>
  <c r="G219" i="3" a="1"/>
  <c r="G275" i="3" a="1"/>
  <c r="G307" i="3" a="1"/>
  <c r="G334" i="3" a="1"/>
  <c r="G90" i="3" a="1"/>
  <c r="G5" i="3" a="1"/>
  <c r="G113" i="3" a="1"/>
  <c r="G201" i="3" a="1"/>
  <c r="G288" i="3" a="1"/>
  <c r="G25" i="3" a="1"/>
  <c r="G387" i="3" a="1"/>
  <c r="G103" i="3" a="1"/>
  <c r="G500" i="3" a="1"/>
  <c r="G55" i="3" a="1"/>
  <c r="G483" i="3" a="1"/>
  <c r="G497" i="3" a="1"/>
  <c r="G175" i="3" a="1"/>
  <c r="G81" i="3" a="1"/>
  <c r="G30" i="3" a="1"/>
  <c r="G64" i="3" a="1"/>
  <c r="G102" i="3" a="1"/>
  <c r="G137" i="3" a="1"/>
  <c r="G170" i="3" a="1"/>
  <c r="G196" i="3" a="1"/>
  <c r="G211" i="3" a="1"/>
  <c r="G232" i="3" a="1"/>
  <c r="G248" i="3" a="1"/>
  <c r="G267" i="3" a="1"/>
  <c r="G283" i="3" a="1"/>
  <c r="G299" i="3" a="1"/>
  <c r="G315" i="3" a="1"/>
  <c r="G331" i="3" a="1"/>
  <c r="G347" i="3" a="1"/>
  <c r="G360" i="3" a="1"/>
  <c r="G34" i="3" a="1"/>
  <c r="G69" i="3" a="1"/>
  <c r="G108" i="3" a="1"/>
  <c r="G142" i="3" a="1"/>
  <c r="G176" i="3" a="1"/>
  <c r="G21" i="3" a="1"/>
  <c r="G58" i="3" a="1"/>
  <c r="G95" i="3" a="1"/>
  <c r="G130" i="3" a="1"/>
  <c r="G163" i="3" a="1"/>
  <c r="G193" i="3" a="1"/>
  <c r="G209" i="3" a="1"/>
  <c r="G224" i="3" a="1"/>
  <c r="G245" i="3" a="1"/>
  <c r="G264" i="3" a="1"/>
  <c r="G280" i="3" a="1"/>
  <c r="G296" i="3" a="1"/>
  <c r="G312" i="3" a="1"/>
  <c r="G327" i="3" a="1"/>
  <c r="G344" i="3" a="1"/>
  <c r="G355" i="3" a="1"/>
  <c r="G96" i="3" a="1"/>
  <c r="G46" i="3" a="1"/>
  <c r="G186" i="3" a="1"/>
  <c r="G378" i="3" a="1"/>
  <c r="G395" i="3" a="1"/>
  <c r="G406" i="3" a="1"/>
  <c r="G65" i="3" a="1"/>
  <c r="G92" i="3" a="1"/>
  <c r="G418" i="3" a="1"/>
  <c r="G453" i="3" a="1"/>
  <c r="G484" i="3" a="1"/>
  <c r="G178" i="3" a="1"/>
  <c r="G411" i="3" a="1"/>
  <c r="G458" i="3" a="1"/>
  <c r="G490" i="3" a="1"/>
  <c r="G382" i="3" a="1"/>
  <c r="G434" i="3" a="1"/>
  <c r="G466" i="3" a="1"/>
  <c r="G499" i="3" a="1"/>
  <c r="G408" i="3" a="1"/>
  <c r="G448" i="3" a="1"/>
  <c r="G481" i="3" a="1"/>
  <c r="G213" i="3" a="1"/>
  <c r="G166" i="3" a="1"/>
  <c r="G184" i="3" a="1"/>
  <c r="G259" i="3" a="1"/>
  <c r="G321" i="3" a="1"/>
  <c r="G16" i="3" a="1"/>
  <c r="G125" i="3" a="1"/>
  <c r="G41" i="3" a="1"/>
  <c r="G146" i="3" a="1"/>
  <c r="G216" i="3" a="1"/>
  <c r="G253" i="3" a="1"/>
  <c r="G301" i="3" a="1"/>
  <c r="G352" i="3" a="1"/>
  <c r="G118" i="3" a="1"/>
  <c r="G419" i="3" a="1"/>
  <c r="G436" i="3" a="1"/>
  <c r="G396" i="3" a="1"/>
  <c r="G474" i="3" a="1"/>
  <c r="G451" i="3" a="1"/>
  <c r="G431" i="3" a="1"/>
  <c r="G104" i="3" a="1"/>
  <c r="G33" i="3" a="1"/>
  <c r="G68" i="3" a="1"/>
  <c r="G107" i="3" a="1"/>
  <c r="G141" i="3" a="1"/>
  <c r="G174" i="3" a="1"/>
  <c r="G198" i="3" a="1"/>
  <c r="G228" i="3" a="1"/>
  <c r="G192" i="3" a="1"/>
  <c r="G250" i="3" a="1"/>
  <c r="G269" i="3" a="1"/>
  <c r="G285" i="3" a="1"/>
  <c r="G295" i="3" a="1"/>
  <c r="G317" i="3" a="1"/>
  <c r="G333" i="3" a="1"/>
  <c r="G349" i="3" a="1"/>
  <c r="G4" i="3" a="1"/>
  <c r="G39" i="3" a="1"/>
  <c r="G67" i="3" a="1"/>
  <c r="G112" i="3" a="1"/>
  <c r="G147" i="3" a="1"/>
  <c r="G180" i="3" a="1"/>
  <c r="G28" i="3" a="1"/>
  <c r="G51" i="3" a="1"/>
  <c r="G100" i="3" a="1"/>
  <c r="G135" i="3" a="1"/>
  <c r="G168" i="3" a="1"/>
  <c r="G195" i="3" a="1"/>
  <c r="G227" i="3" a="1"/>
  <c r="G230" i="3" a="1"/>
  <c r="G247" i="3" a="1"/>
  <c r="G266" i="3" a="1"/>
  <c r="G282" i="3" a="1"/>
  <c r="G298" i="3" a="1"/>
  <c r="G314" i="3" a="1"/>
  <c r="G329" i="3" a="1"/>
  <c r="G346" i="3" a="1"/>
  <c r="G362" i="3" a="1"/>
  <c r="G114" i="3" a="1"/>
  <c r="G63" i="3" a="1"/>
  <c r="G365" i="3" a="1"/>
  <c r="G381" i="3" a="1"/>
  <c r="G397" i="3" a="1"/>
  <c r="G413" i="3" a="1"/>
  <c r="G88" i="3" a="1"/>
  <c r="G160" i="3" a="1"/>
  <c r="G423" i="3" a="1"/>
  <c r="G457" i="3" a="1"/>
  <c r="G487" i="3" a="1"/>
  <c r="G363" i="3" a="1"/>
  <c r="G429" i="3" a="1"/>
  <c r="G462" i="3" a="1"/>
  <c r="G493" i="3" a="1"/>
  <c r="G390" i="3" a="1"/>
  <c r="G438" i="3" a="1"/>
  <c r="G471" i="3" a="1"/>
  <c r="G71" i="3" a="1"/>
  <c r="G416" i="3" a="1"/>
  <c r="G452" i="3" a="1"/>
  <c r="G486" i="3" a="1"/>
  <c r="G226" i="3" a="1"/>
  <c r="G47" i="3" a="1"/>
  <c r="G119" i="3" a="1"/>
  <c r="G204" i="3" a="1"/>
  <c r="G240" i="3" a="1"/>
  <c r="G270" i="3" a="1"/>
  <c r="G339" i="3" a="1"/>
  <c r="G53" i="3" a="1"/>
  <c r="G157" i="3" a="1"/>
  <c r="G74" i="3" a="1"/>
  <c r="G181" i="3" a="1"/>
  <c r="G237" i="3" a="1"/>
  <c r="G272" i="3" a="1"/>
  <c r="G320" i="3" a="1"/>
  <c r="G336" i="3" a="1"/>
  <c r="G164" i="3" a="1"/>
  <c r="G371" i="3" a="1"/>
  <c r="G403" i="3" a="1"/>
  <c r="G386" i="3" a="1"/>
  <c r="G468" i="3" a="1"/>
  <c r="G441" i="3" a="1"/>
  <c r="G414" i="3" a="1"/>
  <c r="G375" i="3" a="1"/>
  <c r="G464" i="3" a="1"/>
  <c r="H64" i="13" a="1"/>
  <c r="E489" i="12" a="1"/>
  <c r="E488" i="12" a="1"/>
  <c r="E484" i="12" a="1"/>
  <c r="E480" i="12" a="1"/>
  <c r="E476" i="12" a="1"/>
  <c r="E472" i="12" a="1"/>
  <c r="E468" i="12" a="1"/>
  <c r="E464" i="12" a="1"/>
  <c r="E460" i="12" a="1"/>
  <c r="E456" i="12" a="1"/>
  <c r="E452" i="12" a="1"/>
  <c r="E448" i="12" a="1"/>
  <c r="E444" i="12" a="1"/>
  <c r="E440" i="12" a="1"/>
  <c r="E436" i="12" a="1"/>
  <c r="E432" i="12" a="1"/>
  <c r="E428" i="12" a="1"/>
  <c r="E424" i="12" a="1"/>
  <c r="E420" i="12" a="1"/>
  <c r="E416" i="12" a="1"/>
  <c r="E412" i="12" a="1"/>
  <c r="E408" i="12" a="1"/>
  <c r="E404" i="12" a="1"/>
  <c r="E400" i="12" a="1"/>
  <c r="E396" i="12" a="1"/>
  <c r="E392" i="12" a="1"/>
  <c r="E388" i="12" a="1"/>
  <c r="E384" i="12" a="1"/>
  <c r="E380" i="12" a="1"/>
  <c r="E376" i="12" a="1"/>
  <c r="E372" i="12" a="1"/>
  <c r="E368" i="12" a="1"/>
  <c r="E364" i="12" a="1"/>
  <c r="E360" i="12" a="1"/>
  <c r="E356" i="12" a="1"/>
  <c r="E352" i="12" a="1"/>
  <c r="E348" i="12" a="1"/>
  <c r="E344" i="12" a="1"/>
  <c r="E340" i="12" a="1"/>
  <c r="E336" i="12" a="1"/>
  <c r="E332" i="12" a="1"/>
  <c r="E328" i="12" a="1"/>
  <c r="E324" i="12" a="1"/>
  <c r="E320" i="12" a="1"/>
  <c r="E318" i="12" a="1"/>
  <c r="E316" i="12" a="1"/>
  <c r="E314" i="12" a="1"/>
  <c r="E312" i="12" a="1"/>
  <c r="E310" i="12" a="1"/>
  <c r="E308" i="12" a="1"/>
  <c r="E306" i="12" a="1"/>
  <c r="E304" i="12" a="1"/>
  <c r="E302" i="12" a="1"/>
  <c r="E300" i="12" a="1"/>
  <c r="E298" i="12" a="1"/>
  <c r="E296" i="12" a="1"/>
  <c r="E294" i="12" a="1"/>
  <c r="E292" i="12" a="1"/>
  <c r="E290" i="12" a="1"/>
  <c r="E288" i="12" a="1"/>
  <c r="E286" i="12" a="1"/>
  <c r="E284" i="12" a="1"/>
  <c r="E487" i="12" a="1"/>
  <c r="E483" i="12" a="1"/>
  <c r="E479" i="12" a="1"/>
  <c r="E475" i="12" a="1"/>
  <c r="E471" i="12" a="1"/>
  <c r="E467" i="12" a="1"/>
  <c r="E463" i="12" a="1"/>
  <c r="E459" i="12" a="1"/>
  <c r="E455" i="12" a="1"/>
  <c r="E451" i="12" a="1"/>
  <c r="E447" i="12" a="1"/>
  <c r="E443" i="12" a="1"/>
  <c r="E439" i="12" a="1"/>
  <c r="E435" i="12" a="1"/>
  <c r="E431" i="12" a="1"/>
  <c r="E427" i="12" a="1"/>
  <c r="E423" i="12" a="1"/>
  <c r="E419" i="12" a="1"/>
  <c r="E415" i="12" a="1"/>
  <c r="E411" i="12" a="1"/>
  <c r="E407" i="12" a="1"/>
  <c r="E403" i="12" a="1"/>
  <c r="E399" i="12" a="1"/>
  <c r="E395" i="12" a="1"/>
  <c r="E391" i="12" a="1"/>
  <c r="E387" i="12" a="1"/>
  <c r="E383" i="12" a="1"/>
  <c r="E379" i="12" a="1"/>
  <c r="E375" i="12" a="1"/>
  <c r="E371" i="12" a="1"/>
  <c r="E367" i="12" a="1"/>
  <c r="E363" i="12" a="1"/>
  <c r="E359" i="12" a="1"/>
  <c r="E355" i="12" a="1"/>
  <c r="E351" i="12" a="1"/>
  <c r="E347" i="12" a="1"/>
  <c r="E343" i="12" a="1"/>
  <c r="E339" i="12" a="1"/>
  <c r="E335" i="12" a="1"/>
  <c r="E331" i="12" a="1"/>
  <c r="E327" i="12" a="1"/>
  <c r="E323" i="12" a="1"/>
  <c r="E486" i="12" a="1"/>
  <c r="E482" i="12" a="1"/>
  <c r="E478" i="12" a="1"/>
  <c r="E474" i="12" a="1"/>
  <c r="E470" i="12" a="1"/>
  <c r="E466" i="12" a="1"/>
  <c r="E462" i="12" a="1"/>
  <c r="E458" i="12" a="1"/>
  <c r="E454" i="12" a="1"/>
  <c r="E450" i="12" a="1"/>
  <c r="E446" i="12" a="1"/>
  <c r="E442" i="12" a="1"/>
  <c r="E438" i="12" a="1"/>
  <c r="E434" i="12" a="1"/>
  <c r="E430" i="12" a="1"/>
  <c r="E426" i="12" a="1"/>
  <c r="E422" i="12" a="1"/>
  <c r="E418" i="12" a="1"/>
  <c r="E414" i="12" a="1"/>
  <c r="E410" i="12" a="1"/>
  <c r="E406" i="12" a="1"/>
  <c r="E402" i="12" a="1"/>
  <c r="E398" i="12" a="1"/>
  <c r="E394" i="12" a="1"/>
  <c r="E390" i="12" a="1"/>
  <c r="E386" i="12" a="1"/>
  <c r="E382" i="12" a="1"/>
  <c r="E378" i="12" a="1"/>
  <c r="E374" i="12" a="1"/>
  <c r="E370" i="12" a="1"/>
  <c r="E366" i="12" a="1"/>
  <c r="E362" i="12" a="1"/>
  <c r="E358" i="12" a="1"/>
  <c r="E354" i="12" a="1"/>
  <c r="E350" i="12" a="1"/>
  <c r="E346" i="12" a="1"/>
  <c r="E342" i="12" a="1"/>
  <c r="E338" i="12" a="1"/>
  <c r="E334" i="12" a="1"/>
  <c r="E330" i="12" a="1"/>
  <c r="E326" i="12" a="1"/>
  <c r="E322" i="12" a="1"/>
  <c r="E319" i="12" a="1"/>
  <c r="E317" i="12" a="1"/>
  <c r="E315" i="12" a="1"/>
  <c r="E313" i="12" a="1"/>
  <c r="E311" i="12" a="1"/>
  <c r="E309" i="12" a="1"/>
  <c r="E307" i="12" a="1"/>
  <c r="E305" i="12" a="1"/>
  <c r="E303" i="12" a="1"/>
  <c r="E301" i="12" a="1"/>
  <c r="E299" i="12" a="1"/>
  <c r="E297" i="12" a="1"/>
  <c r="E295" i="12" a="1"/>
  <c r="E293" i="12" a="1"/>
  <c r="E291" i="12" a="1"/>
  <c r="E289" i="12" a="1"/>
  <c r="E287" i="12" a="1"/>
  <c r="E285" i="12" a="1"/>
  <c r="E283" i="12" a="1"/>
  <c r="E281" i="12" a="1"/>
  <c r="E279" i="12" a="1"/>
  <c r="E277" i="12" a="1"/>
  <c r="E275" i="12" a="1"/>
  <c r="E273" i="12" a="1"/>
  <c r="E271" i="12" a="1"/>
  <c r="E485" i="12" a="1"/>
  <c r="E469" i="12" a="1"/>
  <c r="E453" i="12" a="1"/>
  <c r="E437" i="12" a="1"/>
  <c r="E421" i="12" a="1"/>
  <c r="E405" i="12" a="1"/>
  <c r="E389" i="12" a="1"/>
  <c r="E373" i="12" a="1"/>
  <c r="E357" i="12" a="1"/>
  <c r="E341" i="12" a="1"/>
  <c r="E325" i="12" a="1"/>
  <c r="E268" i="12" a="1"/>
  <c r="E265" i="12" a="1"/>
  <c r="E260" i="12" a="1"/>
  <c r="E257" i="12" a="1"/>
  <c r="E252" i="12" a="1"/>
  <c r="E249" i="12" a="1"/>
  <c r="E244" i="12" a="1"/>
  <c r="E241" i="12" a="1"/>
  <c r="E236" i="12" a="1"/>
  <c r="E233" i="12" a="1"/>
  <c r="E228" i="12" a="1"/>
  <c r="E225" i="12" a="1"/>
  <c r="E220" i="12" a="1"/>
  <c r="E217" i="12" a="1"/>
  <c r="E212" i="12" a="1"/>
  <c r="E209" i="12" a="1"/>
  <c r="E481" i="12" a="1"/>
  <c r="E465" i="12" a="1"/>
  <c r="E449" i="12" a="1"/>
  <c r="E433" i="12" a="1"/>
  <c r="E417" i="12" a="1"/>
  <c r="E401" i="12" a="1"/>
  <c r="E385" i="12" a="1"/>
  <c r="E369" i="12" a="1"/>
  <c r="E353" i="12" a="1"/>
  <c r="E337" i="12" a="1"/>
  <c r="E321" i="12" a="1"/>
  <c r="E282" i="12" a="1"/>
  <c r="E278" i="12" a="1"/>
  <c r="E274" i="12" a="1"/>
  <c r="E270" i="12" a="1"/>
  <c r="E267" i="12" a="1"/>
  <c r="E262" i="12" a="1"/>
  <c r="E259" i="12" a="1"/>
  <c r="E254" i="12" a="1"/>
  <c r="E251" i="12" a="1"/>
  <c r="E246" i="12" a="1"/>
  <c r="E243" i="12" a="1"/>
  <c r="E238" i="12" a="1"/>
  <c r="E235" i="12" a="1"/>
  <c r="E230" i="12" a="1"/>
  <c r="E227" i="12" a="1"/>
  <c r="E222" i="12" a="1"/>
  <c r="E219" i="12" a="1"/>
  <c r="E214" i="12" a="1"/>
  <c r="E211" i="12" a="1"/>
  <c r="E206" i="12" a="1"/>
  <c r="E477" i="12" a="1"/>
  <c r="E461" i="12" a="1"/>
  <c r="E445" i="12" a="1"/>
  <c r="E429" i="12" a="1"/>
  <c r="E413" i="12" a="1"/>
  <c r="E397" i="12" a="1"/>
  <c r="E381" i="12" a="1"/>
  <c r="E365" i="12" a="1"/>
  <c r="E349" i="12" a="1"/>
  <c r="E333" i="12" a="1"/>
  <c r="E269" i="12" a="1"/>
  <c r="E264" i="12" a="1"/>
  <c r="E261" i="12" a="1"/>
  <c r="E256" i="12" a="1"/>
  <c r="E253" i="12" a="1"/>
  <c r="E248" i="12" a="1"/>
  <c r="E245" i="12" a="1"/>
  <c r="E240" i="12" a="1"/>
  <c r="E237" i="12" a="1"/>
  <c r="E232" i="12" a="1"/>
  <c r="E229" i="12" a="1"/>
  <c r="E224" i="12" a="1"/>
  <c r="E221" i="12" a="1"/>
  <c r="E216" i="12" a="1"/>
  <c r="E213" i="12" a="1"/>
  <c r="E208" i="12" a="1"/>
  <c r="E473" i="12" a="1"/>
  <c r="E409" i="12" a="1"/>
  <c r="E345" i="12" a="1"/>
  <c r="E276" i="12" a="1"/>
  <c r="E263" i="12" a="1"/>
  <c r="E242" i="12" a="1"/>
  <c r="E231" i="12" a="1"/>
  <c r="E210" i="12" a="1"/>
  <c r="E203" i="12" a="1"/>
  <c r="E199" i="12" a="1"/>
  <c r="E195" i="12" a="1"/>
  <c r="E191" i="12" a="1"/>
  <c r="E187" i="12" a="1"/>
  <c r="E182" i="12" a="1"/>
  <c r="E179" i="12" a="1"/>
  <c r="E174" i="12" a="1"/>
  <c r="E171" i="12" a="1"/>
  <c r="E166" i="12" a="1"/>
  <c r="E163" i="12" a="1"/>
  <c r="E158" i="12" a="1"/>
  <c r="E155" i="12" a="1"/>
  <c r="E150" i="12" a="1"/>
  <c r="E147" i="12" a="1"/>
  <c r="E142" i="12" a="1"/>
  <c r="E139" i="12" a="1"/>
  <c r="E134" i="12" a="1"/>
  <c r="E131" i="12" a="1"/>
  <c r="E126" i="12" a="1"/>
  <c r="E123" i="12" a="1"/>
  <c r="E118" i="12" a="1"/>
  <c r="E115" i="12" a="1"/>
  <c r="E110" i="12" a="1"/>
  <c r="E107" i="12" a="1"/>
  <c r="E102" i="12" a="1"/>
  <c r="E100" i="12" a="1"/>
  <c r="E98" i="12" a="1"/>
  <c r="E96" i="12" a="1"/>
  <c r="E94" i="12" a="1"/>
  <c r="E92" i="12" a="1"/>
  <c r="E90" i="12" a="1"/>
  <c r="E88" i="12" a="1"/>
  <c r="E86" i="12" a="1"/>
  <c r="E84" i="12" a="1"/>
  <c r="E82" i="12" a="1"/>
  <c r="E80" i="12" a="1"/>
  <c r="E78" i="12" a="1"/>
  <c r="E76" i="12" a="1"/>
  <c r="E74" i="12" a="1"/>
  <c r="E72" i="12" a="1"/>
  <c r="E70" i="12" a="1"/>
  <c r="E68" i="12" a="1"/>
  <c r="E457" i="12" a="1"/>
  <c r="E393" i="12" a="1"/>
  <c r="E329" i="12" a="1"/>
  <c r="E272" i="12" a="1"/>
  <c r="E250" i="12" a="1"/>
  <c r="E239" i="12" a="1"/>
  <c r="E218" i="12" a="1"/>
  <c r="E207" i="12" a="1"/>
  <c r="E202" i="12" a="1"/>
  <c r="E198" i="12" a="1"/>
  <c r="E194" i="12" a="1"/>
  <c r="E190" i="12" a="1"/>
  <c r="E184" i="12" a="1"/>
  <c r="E181" i="12" a="1"/>
  <c r="E176" i="12" a="1"/>
  <c r="E173" i="12" a="1"/>
  <c r="E168" i="12" a="1"/>
  <c r="E165" i="12" a="1"/>
  <c r="E160" i="12" a="1"/>
  <c r="E157" i="12" a="1"/>
  <c r="E152" i="12" a="1"/>
  <c r="E149" i="12" a="1"/>
  <c r="E144" i="12" a="1"/>
  <c r="E141" i="12" a="1"/>
  <c r="E136" i="12" a="1"/>
  <c r="E133" i="12" a="1"/>
  <c r="E128" i="12" a="1"/>
  <c r="E125" i="12" a="1"/>
  <c r="E120" i="12" a="1"/>
  <c r="E117" i="12" a="1"/>
  <c r="E112" i="12" a="1"/>
  <c r="E109" i="12" a="1"/>
  <c r="E104" i="12" a="1"/>
  <c r="E441" i="12" a="1"/>
  <c r="E377" i="12" a="1"/>
  <c r="E258" i="12" a="1"/>
  <c r="E247" i="12" a="1"/>
  <c r="E226" i="12" a="1"/>
  <c r="E215" i="12" a="1"/>
  <c r="E205" i="12" a="1"/>
  <c r="E201" i="12" a="1"/>
  <c r="E197" i="12" a="1"/>
  <c r="E193" i="12" a="1"/>
  <c r="E189" i="12" a="1"/>
  <c r="E186" i="12" a="1"/>
  <c r="E183" i="12" a="1"/>
  <c r="E178" i="12" a="1"/>
  <c r="E175" i="12" a="1"/>
  <c r="E170" i="12" a="1"/>
  <c r="E167" i="12" a="1"/>
  <c r="E162" i="12" a="1"/>
  <c r="E159" i="12" a="1"/>
  <c r="E154" i="12" a="1"/>
  <c r="E151" i="12" a="1"/>
  <c r="E146" i="12" a="1"/>
  <c r="E143" i="12" a="1"/>
  <c r="E138" i="12" a="1"/>
  <c r="E135" i="12" a="1"/>
  <c r="E130" i="12" a="1"/>
  <c r="E127" i="12" a="1"/>
  <c r="E122" i="12" a="1"/>
  <c r="E119" i="12" a="1"/>
  <c r="E114" i="12" a="1"/>
  <c r="E111" i="12" a="1"/>
  <c r="E106" i="12" a="1"/>
  <c r="E103" i="12" a="1"/>
  <c r="E101" i="12" a="1"/>
  <c r="E99" i="12" a="1"/>
  <c r="E97" i="12" a="1"/>
  <c r="E95" i="12" a="1"/>
  <c r="E93" i="12" a="1"/>
  <c r="E91" i="12" a="1"/>
  <c r="E89" i="12" a="1"/>
  <c r="E87" i="12" a="1"/>
  <c r="E425" i="12" a="1"/>
  <c r="E361" i="12" a="1"/>
  <c r="E280" i="12" a="1"/>
  <c r="E266" i="12" a="1"/>
  <c r="E255" i="12" a="1"/>
  <c r="E234" i="12" a="1"/>
  <c r="E223" i="12" a="1"/>
  <c r="E204" i="12" a="1"/>
  <c r="E200" i="12" a="1"/>
  <c r="E196" i="12" a="1"/>
  <c r="E192" i="12" a="1"/>
  <c r="E188" i="12" a="1"/>
  <c r="E185" i="12" a="1"/>
  <c r="E180" i="12" a="1"/>
  <c r="E177" i="12" a="1"/>
  <c r="E172" i="12" a="1"/>
  <c r="E169" i="12" a="1"/>
  <c r="E164" i="12" a="1"/>
  <c r="E161" i="12" a="1"/>
  <c r="E156" i="12" a="1"/>
  <c r="E153" i="12" a="1"/>
  <c r="E148" i="12" a="1"/>
  <c r="E145" i="12" a="1"/>
  <c r="E140" i="12" a="1"/>
  <c r="E137" i="12" a="1"/>
  <c r="E132" i="12" a="1"/>
  <c r="E129" i="12" a="1"/>
  <c r="E124" i="12" a="1"/>
  <c r="E121" i="12" a="1"/>
  <c r="E116" i="12" a="1"/>
  <c r="E113" i="12" a="1"/>
  <c r="E108" i="12" a="1"/>
  <c r="E105" i="12" a="1"/>
  <c r="E85" i="12" a="1"/>
  <c r="E77" i="12" a="1"/>
  <c r="E69" i="12" a="1"/>
  <c r="E64" i="12" a="1"/>
  <c r="E60" i="12" a="1"/>
  <c r="E56" i="12" a="1"/>
  <c r="E52" i="12" a="1"/>
  <c r="E48" i="12" a="1"/>
  <c r="E44" i="12" a="1"/>
  <c r="E40" i="12" a="1"/>
  <c r="E36" i="12" a="1"/>
  <c r="E32" i="12" a="1"/>
  <c r="E28" i="12" a="1"/>
  <c r="E24" i="12" a="1"/>
  <c r="E20" i="12" a="1"/>
  <c r="E16" i="12" a="1"/>
  <c r="E12" i="12" a="1"/>
  <c r="E8" i="12" a="1"/>
  <c r="E83" i="12" a="1"/>
  <c r="E75" i="12" a="1"/>
  <c r="E67" i="12" a="1"/>
  <c r="E63" i="12" a="1"/>
  <c r="E59" i="12" a="1"/>
  <c r="E55" i="12" a="1"/>
  <c r="E51" i="12" a="1"/>
  <c r="E47" i="12" a="1"/>
  <c r="E43" i="12" a="1"/>
  <c r="E39" i="12" a="1"/>
  <c r="E35" i="12" a="1"/>
  <c r="E31" i="12" a="1"/>
  <c r="E27" i="12" a="1"/>
  <c r="E23" i="12" a="1"/>
  <c r="E19" i="12" a="1"/>
  <c r="E15" i="12" a="1"/>
  <c r="E11" i="12" a="1"/>
  <c r="E7" i="12" a="1"/>
  <c r="E81" i="12" a="1"/>
  <c r="E73" i="12" a="1"/>
  <c r="E66" i="12" a="1"/>
  <c r="E62" i="12" a="1"/>
  <c r="E58" i="12" a="1"/>
  <c r="E54" i="12" a="1"/>
  <c r="E50" i="12" a="1"/>
  <c r="E46" i="12" a="1"/>
  <c r="E42" i="12" a="1"/>
  <c r="E38" i="12" a="1"/>
  <c r="E34" i="12" a="1"/>
  <c r="E30" i="12" a="1"/>
  <c r="E26" i="12" a="1"/>
  <c r="E22" i="12" a="1"/>
  <c r="E18" i="12" a="1"/>
  <c r="E14" i="12" a="1"/>
  <c r="E10" i="12" a="1"/>
  <c r="E6" i="12" a="1"/>
  <c r="E79" i="12" a="1"/>
  <c r="E71" i="12" a="1"/>
  <c r="E65" i="12" a="1"/>
  <c r="E61" i="12" a="1"/>
  <c r="E57" i="12" a="1"/>
  <c r="E53" i="12" a="1"/>
  <c r="E49" i="12" a="1"/>
  <c r="E45" i="12" a="1"/>
  <c r="E41" i="12" a="1"/>
  <c r="E37" i="12" a="1"/>
  <c r="E33" i="12" a="1"/>
  <c r="E29" i="12" a="1"/>
  <c r="E25" i="12" a="1"/>
  <c r="E21" i="12" a="1"/>
  <c r="E17" i="12" a="1"/>
  <c r="E13" i="12" a="1"/>
  <c r="E9" i="12" a="1"/>
  <c r="E5" i="12" a="1"/>
  <c r="E4" i="12" a="1"/>
  <c r="E61" i="14" a="1"/>
  <c r="E58" i="14" a="1"/>
  <c r="E54" i="14" a="1"/>
  <c r="E44" i="14" a="1"/>
  <c r="E41" i="14" a="1"/>
  <c r="E40" i="14" a="1"/>
  <c r="E50" i="14" a="1"/>
  <c r="E60" i="14" a="1"/>
  <c r="E52" i="14" a="1"/>
  <c r="E39" i="14" a="1"/>
  <c r="E59" i="14" a="1"/>
  <c r="E57" i="14" a="1"/>
  <c r="E53" i="14" a="1"/>
  <c r="E43" i="14" a="1"/>
  <c r="E38" i="14" a="1"/>
  <c r="E36" i="14" a="1"/>
  <c r="E37" i="14" a="1"/>
  <c r="E15" i="14" a="1"/>
  <c r="E55" i="14" a="1"/>
  <c r="E48" i="14" a="1"/>
  <c r="E46" i="14" a="1"/>
  <c r="E62" i="14" a="1"/>
  <c r="E56" i="14" a="1"/>
  <c r="E51" i="14" a="1"/>
  <c r="E47" i="14" a="1"/>
  <c r="E42" i="14" a="1"/>
  <c r="E35" i="14" a="1"/>
  <c r="E49" i="14" a="1"/>
  <c r="E63" i="14" a="1"/>
  <c r="E45" i="14" a="1"/>
  <c r="E3" i="12" a="1"/>
  <c r="G23" i="3" l="1"/>
  <c r="H64" i="13"/>
  <c r="E4" i="12"/>
  <c r="E5" i="12"/>
  <c r="E9" i="12"/>
  <c r="E13" i="12"/>
  <c r="E17" i="12"/>
  <c r="E21" i="12"/>
  <c r="E25" i="12"/>
  <c r="E29" i="12"/>
  <c r="E33" i="12"/>
  <c r="E37" i="12"/>
  <c r="E41" i="12"/>
  <c r="E45" i="12"/>
  <c r="E49" i="12"/>
  <c r="E53" i="12"/>
  <c r="E57" i="12"/>
  <c r="E61" i="12"/>
  <c r="E65" i="12"/>
  <c r="E71" i="12"/>
  <c r="E79" i="12"/>
  <c r="E6" i="12"/>
  <c r="E10" i="12"/>
  <c r="E14" i="12"/>
  <c r="E18" i="12"/>
  <c r="E22" i="12"/>
  <c r="E26" i="12"/>
  <c r="E30" i="12"/>
  <c r="E34" i="12"/>
  <c r="E38" i="12"/>
  <c r="E42" i="12"/>
  <c r="E46" i="12"/>
  <c r="E50" i="12"/>
  <c r="E54" i="12"/>
  <c r="E58" i="12"/>
  <c r="E62" i="12"/>
  <c r="E66" i="12"/>
  <c r="E73" i="12"/>
  <c r="E81" i="12"/>
  <c r="E7" i="12"/>
  <c r="E11" i="12"/>
  <c r="E15" i="12"/>
  <c r="E19" i="12"/>
  <c r="E23" i="12"/>
  <c r="E27" i="12"/>
  <c r="E31" i="12"/>
  <c r="E35" i="12"/>
  <c r="E39" i="12"/>
  <c r="E43" i="12"/>
  <c r="E47" i="12"/>
  <c r="E51" i="12"/>
  <c r="E55" i="12"/>
  <c r="E59" i="12"/>
  <c r="E63" i="12"/>
  <c r="E67" i="12"/>
  <c r="E75" i="12"/>
  <c r="E83" i="12"/>
  <c r="E8" i="12"/>
  <c r="E12" i="12"/>
  <c r="E16" i="12"/>
  <c r="E20" i="12"/>
  <c r="E24" i="12"/>
  <c r="E28" i="12"/>
  <c r="E32" i="12"/>
  <c r="E36" i="12"/>
  <c r="E40" i="12"/>
  <c r="E44" i="12"/>
  <c r="E48" i="12"/>
  <c r="E52" i="12"/>
  <c r="E56" i="12"/>
  <c r="E60" i="12"/>
  <c r="E64" i="12"/>
  <c r="E69" i="12"/>
  <c r="E77" i="12"/>
  <c r="E85" i="12"/>
  <c r="E105" i="12"/>
  <c r="E108" i="12"/>
  <c r="E113" i="12"/>
  <c r="E116" i="12"/>
  <c r="E121" i="12"/>
  <c r="E124" i="12"/>
  <c r="E129" i="12"/>
  <c r="E132" i="12"/>
  <c r="E137" i="12"/>
  <c r="E140" i="12"/>
  <c r="E145" i="12"/>
  <c r="E148" i="12"/>
  <c r="E153" i="12"/>
  <c r="E156" i="12"/>
  <c r="E161" i="12"/>
  <c r="E164" i="12"/>
  <c r="E169" i="12"/>
  <c r="E172" i="12"/>
  <c r="E177" i="12"/>
  <c r="E180" i="12"/>
  <c r="E185" i="12"/>
  <c r="E188" i="12"/>
  <c r="E192" i="12"/>
  <c r="E196" i="12"/>
  <c r="E200" i="12"/>
  <c r="E204" i="12"/>
  <c r="E223" i="12"/>
  <c r="E234" i="12"/>
  <c r="E255" i="12"/>
  <c r="E266" i="12"/>
  <c r="E280" i="12"/>
  <c r="E361" i="12"/>
  <c r="E425" i="12"/>
  <c r="E87" i="12"/>
  <c r="E89" i="12"/>
  <c r="E91" i="12"/>
  <c r="E93" i="12"/>
  <c r="E95" i="12"/>
  <c r="E97" i="12"/>
  <c r="E99" i="12"/>
  <c r="E101" i="12"/>
  <c r="E103" i="12"/>
  <c r="E106" i="12"/>
  <c r="E111" i="12"/>
  <c r="E114" i="12"/>
  <c r="E119" i="12"/>
  <c r="E122" i="12"/>
  <c r="E127" i="12"/>
  <c r="E130" i="12"/>
  <c r="E135" i="12"/>
  <c r="E138" i="12"/>
  <c r="E143" i="12"/>
  <c r="E146" i="12"/>
  <c r="E151" i="12"/>
  <c r="E154" i="12"/>
  <c r="E159" i="12"/>
  <c r="E162" i="12"/>
  <c r="E167" i="12"/>
  <c r="E170" i="12"/>
  <c r="E175" i="12"/>
  <c r="E178" i="12"/>
  <c r="E183" i="12"/>
  <c r="E186" i="12"/>
  <c r="E189" i="12"/>
  <c r="E193" i="12"/>
  <c r="E197" i="12"/>
  <c r="E201" i="12"/>
  <c r="E205" i="12"/>
  <c r="E215" i="12"/>
  <c r="E226" i="12"/>
  <c r="E247" i="12"/>
  <c r="E258" i="12"/>
  <c r="E377" i="12"/>
  <c r="E441" i="12"/>
  <c r="E104" i="12"/>
  <c r="E109" i="12"/>
  <c r="E112" i="12"/>
  <c r="E117" i="12"/>
  <c r="E120" i="12"/>
  <c r="E125" i="12"/>
  <c r="E128" i="12"/>
  <c r="E133" i="12"/>
  <c r="E136" i="12"/>
  <c r="E141" i="12"/>
  <c r="E144" i="12"/>
  <c r="E149" i="12"/>
  <c r="E152" i="12"/>
  <c r="E157" i="12"/>
  <c r="E160" i="12"/>
  <c r="E165" i="12"/>
  <c r="E168" i="12"/>
  <c r="E173" i="12"/>
  <c r="E176" i="12"/>
  <c r="E181" i="12"/>
  <c r="E184" i="12"/>
  <c r="E190" i="12"/>
  <c r="E194" i="12"/>
  <c r="E198" i="12"/>
  <c r="E202" i="12"/>
  <c r="E207" i="12"/>
  <c r="E218" i="12"/>
  <c r="E239" i="12"/>
  <c r="E250" i="12"/>
  <c r="E272" i="12"/>
  <c r="E329" i="12"/>
  <c r="E393" i="12"/>
  <c r="E457" i="12"/>
  <c r="E68" i="12"/>
  <c r="E70" i="12"/>
  <c r="E72" i="12"/>
  <c r="E74" i="12"/>
  <c r="E76" i="12"/>
  <c r="E78" i="12"/>
  <c r="E80" i="12"/>
  <c r="E82" i="12"/>
  <c r="E84" i="12"/>
  <c r="E86" i="12"/>
  <c r="E88" i="12"/>
  <c r="E90" i="12"/>
  <c r="E92" i="12"/>
  <c r="E94" i="12"/>
  <c r="E96" i="12"/>
  <c r="E98" i="12"/>
  <c r="E100" i="12"/>
  <c r="E102" i="12"/>
  <c r="E107" i="12"/>
  <c r="E110" i="12"/>
  <c r="E115" i="12"/>
  <c r="E118" i="12"/>
  <c r="E123" i="12"/>
  <c r="E126" i="12"/>
  <c r="E131" i="12"/>
  <c r="E134" i="12"/>
  <c r="E139" i="12"/>
  <c r="E142" i="12"/>
  <c r="E147" i="12"/>
  <c r="E150" i="12"/>
  <c r="E155" i="12"/>
  <c r="E158" i="12"/>
  <c r="E163" i="12"/>
  <c r="E166" i="12"/>
  <c r="E171" i="12"/>
  <c r="E174" i="12"/>
  <c r="E179" i="12"/>
  <c r="E182" i="12"/>
  <c r="E187" i="12"/>
  <c r="E191" i="12"/>
  <c r="E195" i="12"/>
  <c r="E199" i="12"/>
  <c r="E203" i="12"/>
  <c r="E210" i="12"/>
  <c r="E231" i="12"/>
  <c r="E242" i="12"/>
  <c r="E263" i="12"/>
  <c r="E276" i="12"/>
  <c r="E345" i="12"/>
  <c r="E409" i="12"/>
  <c r="E473" i="12"/>
  <c r="E208" i="12"/>
  <c r="E213" i="12"/>
  <c r="E216" i="12"/>
  <c r="E221" i="12"/>
  <c r="E224" i="12"/>
  <c r="E229" i="12"/>
  <c r="E232" i="12"/>
  <c r="E237" i="12"/>
  <c r="E240" i="12"/>
  <c r="E245" i="12"/>
  <c r="E248" i="12"/>
  <c r="E253" i="12"/>
  <c r="E256" i="12"/>
  <c r="E261" i="12"/>
  <c r="E264" i="12"/>
  <c r="E269" i="12"/>
  <c r="E333" i="12"/>
  <c r="E349" i="12"/>
  <c r="E365" i="12"/>
  <c r="E381" i="12"/>
  <c r="E397" i="12"/>
  <c r="E413" i="12"/>
  <c r="E429" i="12"/>
  <c r="E445" i="12"/>
  <c r="E461" i="12"/>
  <c r="E477" i="12"/>
  <c r="E206" i="12"/>
  <c r="E211" i="12"/>
  <c r="E214" i="12"/>
  <c r="E219" i="12"/>
  <c r="E222" i="12"/>
  <c r="E227" i="12"/>
  <c r="E230" i="12"/>
  <c r="E235" i="12"/>
  <c r="E238" i="12"/>
  <c r="E243" i="12"/>
  <c r="E246" i="12"/>
  <c r="E251" i="12"/>
  <c r="E254" i="12"/>
  <c r="E259" i="12"/>
  <c r="E262" i="12"/>
  <c r="E267" i="12"/>
  <c r="E270" i="12"/>
  <c r="E274" i="12"/>
  <c r="E278" i="12"/>
  <c r="E282" i="12"/>
  <c r="E321" i="12"/>
  <c r="E337" i="12"/>
  <c r="E353" i="12"/>
  <c r="E369" i="12"/>
  <c r="E385" i="12"/>
  <c r="E401" i="12"/>
  <c r="E417" i="12"/>
  <c r="E433" i="12"/>
  <c r="E449" i="12"/>
  <c r="E465" i="12"/>
  <c r="E481" i="12"/>
  <c r="E209" i="12"/>
  <c r="E212" i="12"/>
  <c r="E217" i="12"/>
  <c r="E220" i="12"/>
  <c r="E225" i="12"/>
  <c r="E228" i="12"/>
  <c r="E233" i="12"/>
  <c r="E236" i="12"/>
  <c r="E241" i="12"/>
  <c r="E244" i="12"/>
  <c r="E249" i="12"/>
  <c r="E252" i="12"/>
  <c r="E257" i="12"/>
  <c r="E260" i="12"/>
  <c r="E265" i="12"/>
  <c r="E268" i="12"/>
  <c r="E325" i="12"/>
  <c r="E341" i="12"/>
  <c r="E357" i="12"/>
  <c r="E373" i="12"/>
  <c r="E389" i="12"/>
  <c r="E405" i="12"/>
  <c r="E421" i="12"/>
  <c r="E437" i="12"/>
  <c r="E453" i="12"/>
  <c r="E469" i="12"/>
  <c r="E485" i="12"/>
  <c r="E271" i="12"/>
  <c r="E273" i="12"/>
  <c r="E275" i="12"/>
  <c r="E277" i="12"/>
  <c r="E279" i="12"/>
  <c r="E281" i="12"/>
  <c r="E283" i="12"/>
  <c r="E285" i="12"/>
  <c r="E287" i="12"/>
  <c r="E289" i="12"/>
  <c r="E291" i="12"/>
  <c r="E293" i="12"/>
  <c r="E295" i="12"/>
  <c r="E297" i="12"/>
  <c r="E299" i="12"/>
  <c r="E301" i="12"/>
  <c r="E303" i="12"/>
  <c r="E305" i="12"/>
  <c r="E307" i="12"/>
  <c r="E309" i="12"/>
  <c r="E311" i="12"/>
  <c r="E313" i="12"/>
  <c r="E315" i="12"/>
  <c r="E317" i="12"/>
  <c r="E319" i="12"/>
  <c r="E322" i="12"/>
  <c r="E326" i="12"/>
  <c r="E330" i="12"/>
  <c r="E334" i="12"/>
  <c r="E338" i="12"/>
  <c r="E342" i="12"/>
  <c r="E346" i="12"/>
  <c r="E350" i="12"/>
  <c r="E354" i="12"/>
  <c r="E358" i="12"/>
  <c r="E362" i="12"/>
  <c r="E366" i="12"/>
  <c r="E370" i="12"/>
  <c r="E374" i="12"/>
  <c r="E378" i="12"/>
  <c r="E382" i="12"/>
  <c r="E386" i="12"/>
  <c r="E390" i="12"/>
  <c r="E394" i="12"/>
  <c r="E398" i="12"/>
  <c r="E402" i="12"/>
  <c r="E406" i="12"/>
  <c r="E410" i="12"/>
  <c r="E414" i="12"/>
  <c r="E418" i="12"/>
  <c r="E422" i="12"/>
  <c r="E426" i="12"/>
  <c r="E430" i="12"/>
  <c r="E434" i="12"/>
  <c r="E438" i="12"/>
  <c r="E442" i="12"/>
  <c r="E446" i="12"/>
  <c r="E450" i="12"/>
  <c r="E454" i="12"/>
  <c r="E458" i="12"/>
  <c r="E462" i="12"/>
  <c r="E466" i="12"/>
  <c r="E470" i="12"/>
  <c r="E474" i="12"/>
  <c r="E478" i="12"/>
  <c r="E482" i="12"/>
  <c r="E486" i="12"/>
  <c r="E323" i="12"/>
  <c r="E327" i="12"/>
  <c r="E331" i="12"/>
  <c r="E335" i="12"/>
  <c r="E339" i="12"/>
  <c r="E343" i="12"/>
  <c r="E347" i="12"/>
  <c r="E351" i="12"/>
  <c r="E355" i="12"/>
  <c r="E359" i="12"/>
  <c r="E363" i="12"/>
  <c r="E367" i="12"/>
  <c r="E371" i="12"/>
  <c r="E375" i="12"/>
  <c r="E379" i="12"/>
  <c r="E383" i="12"/>
  <c r="E387" i="12"/>
  <c r="E391" i="12"/>
  <c r="E395" i="12"/>
  <c r="E399" i="12"/>
  <c r="E403" i="12"/>
  <c r="E407" i="12"/>
  <c r="E411" i="12"/>
  <c r="E415" i="12"/>
  <c r="E419" i="12"/>
  <c r="E423" i="12"/>
  <c r="E427" i="12"/>
  <c r="E431" i="12"/>
  <c r="E435" i="12"/>
  <c r="E439" i="12"/>
  <c r="E443" i="12"/>
  <c r="E447" i="12"/>
  <c r="E451" i="12"/>
  <c r="E455" i="12"/>
  <c r="E459" i="12"/>
  <c r="E463" i="12"/>
  <c r="E467" i="12"/>
  <c r="E471" i="12"/>
  <c r="E475" i="12"/>
  <c r="E479" i="12"/>
  <c r="E483" i="12"/>
  <c r="E487" i="12"/>
  <c r="E284" i="12"/>
  <c r="E286" i="12"/>
  <c r="E288" i="12"/>
  <c r="E290" i="12"/>
  <c r="E292" i="12"/>
  <c r="E294" i="12"/>
  <c r="E296" i="12"/>
  <c r="E298" i="12"/>
  <c r="E300" i="12"/>
  <c r="E302" i="12"/>
  <c r="E304" i="12"/>
  <c r="E306" i="12"/>
  <c r="E308" i="12"/>
  <c r="E310" i="12"/>
  <c r="E312" i="12"/>
  <c r="E314" i="12"/>
  <c r="E316" i="12"/>
  <c r="E318" i="12"/>
  <c r="E320" i="12"/>
  <c r="E324" i="12"/>
  <c r="E328" i="12"/>
  <c r="E332" i="12"/>
  <c r="E336" i="12"/>
  <c r="E340" i="12"/>
  <c r="E344" i="12"/>
  <c r="E348" i="12"/>
  <c r="E352" i="12"/>
  <c r="E356" i="12"/>
  <c r="E360" i="12"/>
  <c r="E364" i="12"/>
  <c r="E368" i="12"/>
  <c r="E372" i="12"/>
  <c r="E376" i="12"/>
  <c r="E380" i="12"/>
  <c r="E384" i="12"/>
  <c r="E388" i="12"/>
  <c r="E392" i="12"/>
  <c r="E396" i="12"/>
  <c r="E400" i="12"/>
  <c r="E404" i="12"/>
  <c r="E408" i="12"/>
  <c r="E412" i="12"/>
  <c r="E416" i="12"/>
  <c r="E420" i="12"/>
  <c r="E424" i="12"/>
  <c r="E428" i="12"/>
  <c r="E432" i="12"/>
  <c r="E436" i="12"/>
  <c r="E440" i="12"/>
  <c r="E444" i="12"/>
  <c r="E448" i="12"/>
  <c r="E452" i="12"/>
  <c r="E456" i="12"/>
  <c r="E460" i="12"/>
  <c r="E464" i="12"/>
  <c r="E468" i="12"/>
  <c r="E472" i="12"/>
  <c r="E476" i="12"/>
  <c r="E480" i="12"/>
  <c r="E484" i="12"/>
  <c r="E488" i="12"/>
  <c r="E489" i="12"/>
  <c r="G231" i="3"/>
  <c r="G225" i="3"/>
  <c r="G175" i="3"/>
  <c r="G40" i="3"/>
  <c r="G425" i="3"/>
  <c r="G226" i="3"/>
  <c r="G213" i="3"/>
  <c r="G83" i="3"/>
  <c r="G24" i="3"/>
  <c r="G22" i="3"/>
  <c r="E60" i="14"/>
  <c r="E62" i="14"/>
  <c r="E59" i="14"/>
  <c r="E61" i="14"/>
  <c r="E63" i="14"/>
  <c r="E58" i="14"/>
  <c r="E57" i="14"/>
  <c r="E55" i="14"/>
  <c r="E56" i="14"/>
  <c r="E54" i="14"/>
  <c r="E52" i="14"/>
  <c r="E51" i="14"/>
  <c r="E53" i="14"/>
  <c r="H63" i="13"/>
  <c r="H62" i="13"/>
  <c r="H60" i="13"/>
  <c r="H61" i="13"/>
  <c r="H59" i="13"/>
  <c r="H58" i="13"/>
  <c r="H57" i="13"/>
  <c r="H56" i="13"/>
  <c r="H55" i="13"/>
  <c r="H54" i="13"/>
  <c r="H53" i="13"/>
  <c r="B3" i="14"/>
  <c r="H52" i="13"/>
  <c r="H51" i="13"/>
  <c r="B28" i="14"/>
  <c r="G81" i="3"/>
  <c r="G99" i="3"/>
  <c r="G82" i="3"/>
  <c r="G80" i="3"/>
  <c r="G79" i="3"/>
  <c r="E37" i="14"/>
  <c r="E40" i="14"/>
  <c r="E45" i="14"/>
  <c r="E48" i="14"/>
  <c r="E15" i="14"/>
  <c r="E39" i="14"/>
  <c r="E42" i="14"/>
  <c r="E47" i="14"/>
  <c r="E50" i="14"/>
  <c r="E35" i="14"/>
  <c r="E38" i="14"/>
  <c r="E43" i="14"/>
  <c r="E46" i="14"/>
  <c r="E36" i="14"/>
  <c r="E41" i="14"/>
  <c r="E44" i="14"/>
  <c r="E49" i="14"/>
  <c r="E3" i="12"/>
  <c r="H50" i="13"/>
  <c r="H48" i="13"/>
  <c r="H46" i="13"/>
  <c r="H44" i="13"/>
  <c r="H42" i="13"/>
  <c r="H40" i="13"/>
  <c r="H38" i="13"/>
  <c r="H36" i="13"/>
  <c r="H25" i="13"/>
  <c r="H23" i="13"/>
  <c r="H21" i="13"/>
  <c r="H19" i="13"/>
  <c r="H17" i="13"/>
  <c r="H15" i="13"/>
  <c r="H13" i="13"/>
  <c r="H8" i="13"/>
  <c r="H34" i="13"/>
  <c r="H7" i="13"/>
  <c r="H32" i="13"/>
  <c r="H30" i="13"/>
  <c r="H3" i="13"/>
  <c r="H27" i="13"/>
  <c r="H11" i="13"/>
  <c r="H5" i="1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9" i="13"/>
  <c r="H4" i="13"/>
  <c r="H33" i="13"/>
  <c r="H6" i="13"/>
  <c r="H31" i="13"/>
  <c r="H29" i="13"/>
  <c r="H12" i="13"/>
  <c r="H26" i="13"/>
  <c r="H10" i="13"/>
  <c r="H28" i="13"/>
  <c r="G104" i="3"/>
  <c r="G443" i="3"/>
  <c r="G166" i="3"/>
  <c r="G256" i="3"/>
  <c r="G257" i="3"/>
  <c r="G129" i="3"/>
  <c r="G255" i="3"/>
  <c r="G497" i="3"/>
  <c r="G494" i="3"/>
  <c r="G489" i="3"/>
  <c r="G486" i="3"/>
  <c r="G481" i="3"/>
  <c r="G478" i="3"/>
  <c r="G472" i="3"/>
  <c r="G467" i="3"/>
  <c r="G464" i="3"/>
  <c r="G446" i="3"/>
  <c r="G456" i="3"/>
  <c r="G452" i="3"/>
  <c r="G448" i="3"/>
  <c r="G444" i="3"/>
  <c r="G439" i="3"/>
  <c r="G435" i="3"/>
  <c r="G431" i="3"/>
  <c r="G427" i="3"/>
  <c r="G422" i="3"/>
  <c r="G416" i="3"/>
  <c r="G408" i="3"/>
  <c r="G400" i="3"/>
  <c r="G392" i="3"/>
  <c r="G384" i="3"/>
  <c r="G375" i="3"/>
  <c r="G368" i="3"/>
  <c r="G144" i="3"/>
  <c r="G71" i="3"/>
  <c r="G499" i="3"/>
  <c r="G496" i="3"/>
  <c r="G491" i="3"/>
  <c r="G488" i="3"/>
  <c r="G483" i="3"/>
  <c r="G480" i="3"/>
  <c r="G475" i="3"/>
  <c r="G471" i="3"/>
  <c r="G466" i="3"/>
  <c r="G463" i="3"/>
  <c r="G459" i="3"/>
  <c r="G455" i="3"/>
  <c r="G451" i="3"/>
  <c r="G447" i="3"/>
  <c r="G428" i="3"/>
  <c r="G438" i="3"/>
  <c r="G434" i="3"/>
  <c r="G430" i="3"/>
  <c r="G426" i="3"/>
  <c r="G421" i="3"/>
  <c r="G414" i="3"/>
  <c r="G399" i="3"/>
  <c r="G398" i="3"/>
  <c r="G390" i="3"/>
  <c r="G382" i="3"/>
  <c r="G380" i="3"/>
  <c r="G366" i="3"/>
  <c r="G131" i="3"/>
  <c r="G55" i="3"/>
  <c r="G479" i="3"/>
  <c r="G498" i="3"/>
  <c r="G493" i="3"/>
  <c r="G490" i="3"/>
  <c r="G485" i="3"/>
  <c r="G482" i="3"/>
  <c r="G460" i="3"/>
  <c r="G474" i="3"/>
  <c r="G470" i="3"/>
  <c r="G465" i="3"/>
  <c r="G462" i="3"/>
  <c r="G458" i="3"/>
  <c r="G454" i="3"/>
  <c r="G450" i="3"/>
  <c r="G445" i="3"/>
  <c r="G441" i="3"/>
  <c r="G437" i="3"/>
  <c r="G433" i="3"/>
  <c r="G429" i="3"/>
  <c r="G411" i="3"/>
  <c r="G420" i="3"/>
  <c r="G412" i="3"/>
  <c r="G404" i="3"/>
  <c r="G396" i="3"/>
  <c r="G388" i="3"/>
  <c r="G379" i="3"/>
  <c r="G363" i="3"/>
  <c r="G178" i="3"/>
  <c r="G110" i="3"/>
  <c r="G37" i="3"/>
  <c r="G124" i="3"/>
  <c r="G500" i="3"/>
  <c r="G495" i="3"/>
  <c r="G492" i="3"/>
  <c r="G487" i="3"/>
  <c r="G484" i="3"/>
  <c r="G477" i="3"/>
  <c r="G476" i="3"/>
  <c r="G473" i="3"/>
  <c r="G468" i="3"/>
  <c r="G469" i="3"/>
  <c r="G461" i="3"/>
  <c r="G457" i="3"/>
  <c r="G453" i="3"/>
  <c r="G449" i="3"/>
  <c r="G442" i="3"/>
  <c r="G440" i="3"/>
  <c r="G436" i="3"/>
  <c r="G432" i="3"/>
  <c r="G424" i="3"/>
  <c r="G423" i="3"/>
  <c r="G418" i="3"/>
  <c r="G410" i="3"/>
  <c r="G402" i="3"/>
  <c r="G394" i="3"/>
  <c r="G386" i="3"/>
  <c r="G377" i="3"/>
  <c r="G370" i="3"/>
  <c r="G160" i="3"/>
  <c r="G92" i="3"/>
  <c r="G18" i="3"/>
  <c r="G173" i="3"/>
  <c r="G155" i="3"/>
  <c r="G103" i="3"/>
  <c r="G122" i="3"/>
  <c r="G106" i="3"/>
  <c r="G88" i="3"/>
  <c r="G65" i="3"/>
  <c r="G50" i="3"/>
  <c r="G36" i="3"/>
  <c r="G14" i="3"/>
  <c r="G419" i="3"/>
  <c r="G417" i="3"/>
  <c r="G415" i="3"/>
  <c r="G413" i="3"/>
  <c r="G406" i="3"/>
  <c r="G409" i="3"/>
  <c r="G407" i="3"/>
  <c r="G405" i="3"/>
  <c r="G403" i="3"/>
  <c r="G401" i="3"/>
  <c r="G372" i="3"/>
  <c r="G397" i="3"/>
  <c r="G395" i="3"/>
  <c r="G393" i="3"/>
  <c r="G391" i="3"/>
  <c r="G389" i="3"/>
  <c r="G387" i="3"/>
  <c r="G385" i="3"/>
  <c r="G383" i="3"/>
  <c r="G381" i="3"/>
  <c r="G378" i="3"/>
  <c r="G376" i="3"/>
  <c r="G374" i="3"/>
  <c r="G373" i="3"/>
  <c r="G371" i="3"/>
  <c r="G369" i="3"/>
  <c r="G367" i="3"/>
  <c r="G365" i="3"/>
  <c r="G186" i="3"/>
  <c r="G169" i="3"/>
  <c r="G152" i="3"/>
  <c r="G136" i="3"/>
  <c r="G118" i="3"/>
  <c r="G101" i="3"/>
  <c r="G84" i="3"/>
  <c r="G63" i="3"/>
  <c r="G46" i="3"/>
  <c r="G29" i="3"/>
  <c r="G10" i="3"/>
  <c r="G182" i="3"/>
  <c r="G164" i="3"/>
  <c r="G148" i="3"/>
  <c r="G134" i="3"/>
  <c r="G114" i="3"/>
  <c r="G96" i="3"/>
  <c r="G75" i="3"/>
  <c r="G59" i="3"/>
  <c r="G42" i="3"/>
  <c r="G25" i="3"/>
  <c r="G6" i="3"/>
  <c r="G364" i="3"/>
  <c r="G362" i="3"/>
  <c r="G355" i="3"/>
  <c r="G358" i="3"/>
  <c r="G356" i="3"/>
  <c r="G354" i="3"/>
  <c r="G352" i="3"/>
  <c r="G350" i="3"/>
  <c r="G348" i="3"/>
  <c r="G346" i="3"/>
  <c r="G344" i="3"/>
  <c r="G342" i="3"/>
  <c r="G340" i="3"/>
  <c r="G338" i="3"/>
  <c r="G336" i="3"/>
  <c r="G330" i="3"/>
  <c r="G332" i="3"/>
  <c r="G329" i="3"/>
  <c r="G327" i="3"/>
  <c r="G325" i="3"/>
  <c r="G324" i="3"/>
  <c r="G322" i="3"/>
  <c r="G320" i="3"/>
  <c r="G318" i="3"/>
  <c r="G316" i="3"/>
  <c r="G314" i="3"/>
  <c r="G312" i="3"/>
  <c r="G310" i="3"/>
  <c r="G308" i="3"/>
  <c r="G306" i="3"/>
  <c r="G301" i="3"/>
  <c r="G302" i="3"/>
  <c r="G300" i="3"/>
  <c r="G298" i="3"/>
  <c r="G296" i="3"/>
  <c r="G294" i="3"/>
  <c r="G291" i="3"/>
  <c r="G290" i="3"/>
  <c r="G288" i="3"/>
  <c r="G286" i="3"/>
  <c r="G284" i="3"/>
  <c r="G282" i="3"/>
  <c r="G280" i="3"/>
  <c r="G278" i="3"/>
  <c r="G276" i="3"/>
  <c r="G274" i="3"/>
  <c r="G272" i="3"/>
  <c r="G268" i="3"/>
  <c r="G252" i="3"/>
  <c r="G266" i="3"/>
  <c r="G264" i="3"/>
  <c r="G262" i="3"/>
  <c r="G260" i="3"/>
  <c r="G258" i="3"/>
  <c r="G253" i="3"/>
  <c r="G251" i="3"/>
  <c r="G249" i="3"/>
  <c r="G247" i="3"/>
  <c r="G245" i="3"/>
  <c r="G243" i="3"/>
  <c r="G241" i="3"/>
  <c r="G239" i="3"/>
  <c r="G237" i="3"/>
  <c r="G235" i="3"/>
  <c r="G233" i="3"/>
  <c r="G230" i="3"/>
  <c r="G224" i="3"/>
  <c r="G222" i="3"/>
  <c r="G220" i="3"/>
  <c r="G218" i="3"/>
  <c r="G216" i="3"/>
  <c r="G214" i="3"/>
  <c r="G212" i="3"/>
  <c r="G227" i="3"/>
  <c r="G209" i="3"/>
  <c r="G207" i="3"/>
  <c r="G205" i="3"/>
  <c r="G203" i="3"/>
  <c r="G201" i="3"/>
  <c r="G199" i="3"/>
  <c r="G197" i="3"/>
  <c r="G195" i="3"/>
  <c r="G193" i="3"/>
  <c r="G189" i="3"/>
  <c r="G188" i="3"/>
  <c r="G185" i="3"/>
  <c r="G181" i="3"/>
  <c r="G167" i="3"/>
  <c r="G172" i="3"/>
  <c r="G168" i="3"/>
  <c r="G163" i="3"/>
  <c r="G159" i="3"/>
  <c r="G158" i="3"/>
  <c r="G151" i="3"/>
  <c r="G146" i="3"/>
  <c r="G143" i="3"/>
  <c r="G139" i="3"/>
  <c r="G135" i="3"/>
  <c r="G130" i="3"/>
  <c r="G126" i="3"/>
  <c r="G121" i="3"/>
  <c r="G117" i="3"/>
  <c r="G113" i="3"/>
  <c r="G109" i="3"/>
  <c r="G105" i="3"/>
  <c r="G100" i="3"/>
  <c r="G95" i="3"/>
  <c r="G91" i="3"/>
  <c r="G87" i="3"/>
  <c r="G78" i="3"/>
  <c r="G74" i="3"/>
  <c r="G70" i="3"/>
  <c r="G66" i="3"/>
  <c r="G51" i="3"/>
  <c r="G58" i="3"/>
  <c r="G54" i="3"/>
  <c r="G49" i="3"/>
  <c r="G45" i="3"/>
  <c r="G41" i="3"/>
  <c r="G35" i="3"/>
  <c r="G32" i="3"/>
  <c r="G28" i="3"/>
  <c r="G21" i="3"/>
  <c r="G17" i="3"/>
  <c r="G13" i="3"/>
  <c r="G9" i="3"/>
  <c r="G5" i="3"/>
  <c r="G187" i="3"/>
  <c r="G177" i="3"/>
  <c r="G180" i="3"/>
  <c r="G176" i="3"/>
  <c r="G171" i="3"/>
  <c r="G145" i="3"/>
  <c r="G162" i="3"/>
  <c r="G157" i="3"/>
  <c r="G154" i="3"/>
  <c r="G150" i="3"/>
  <c r="G147" i="3"/>
  <c r="G142" i="3"/>
  <c r="G138" i="3"/>
  <c r="G133" i="3"/>
  <c r="G128" i="3"/>
  <c r="G125" i="3"/>
  <c r="G120" i="3"/>
  <c r="G116" i="3"/>
  <c r="G112" i="3"/>
  <c r="G108" i="3"/>
  <c r="G93" i="3"/>
  <c r="G98" i="3"/>
  <c r="G94" i="3"/>
  <c r="G90" i="3"/>
  <c r="G73" i="3"/>
  <c r="G77" i="3"/>
  <c r="G67" i="3"/>
  <c r="G69" i="3"/>
  <c r="G62" i="3"/>
  <c r="G61" i="3"/>
  <c r="G57" i="3"/>
  <c r="G53" i="3"/>
  <c r="G48" i="3"/>
  <c r="G44" i="3"/>
  <c r="G39" i="3"/>
  <c r="G34" i="3"/>
  <c r="G31" i="3"/>
  <c r="G27" i="3"/>
  <c r="G20" i="3"/>
  <c r="G16" i="3"/>
  <c r="G12" i="3"/>
  <c r="G8" i="3"/>
  <c r="G4" i="3"/>
  <c r="G360" i="3"/>
  <c r="G361" i="3"/>
  <c r="G359" i="3"/>
  <c r="G357" i="3"/>
  <c r="G334" i="3"/>
  <c r="G353" i="3"/>
  <c r="G351" i="3"/>
  <c r="G349" i="3"/>
  <c r="G347" i="3"/>
  <c r="G345" i="3"/>
  <c r="G343" i="3"/>
  <c r="G341" i="3"/>
  <c r="G339" i="3"/>
  <c r="G337" i="3"/>
  <c r="G335" i="3"/>
  <c r="G333" i="3"/>
  <c r="G331" i="3"/>
  <c r="G328" i="3"/>
  <c r="G326" i="3"/>
  <c r="G323" i="3"/>
  <c r="G321" i="3"/>
  <c r="G304" i="3"/>
  <c r="G319" i="3"/>
  <c r="G317" i="3"/>
  <c r="G315" i="3"/>
  <c r="G313" i="3"/>
  <c r="G311" i="3"/>
  <c r="G309" i="3"/>
  <c r="G307" i="3"/>
  <c r="G305" i="3"/>
  <c r="G303" i="3"/>
  <c r="G295" i="3"/>
  <c r="G299" i="3"/>
  <c r="G297" i="3"/>
  <c r="G293" i="3"/>
  <c r="G292" i="3"/>
  <c r="G270" i="3"/>
  <c r="G289" i="3"/>
  <c r="G287" i="3"/>
  <c r="G285" i="3"/>
  <c r="G283" i="3"/>
  <c r="G281" i="3"/>
  <c r="G279" i="3"/>
  <c r="G277" i="3"/>
  <c r="G275" i="3"/>
  <c r="G273" i="3"/>
  <c r="G271" i="3"/>
  <c r="G269" i="3"/>
  <c r="G267" i="3"/>
  <c r="G265" i="3"/>
  <c r="G263" i="3"/>
  <c r="G261" i="3"/>
  <c r="G259" i="3"/>
  <c r="G254" i="3"/>
  <c r="G234" i="3"/>
  <c r="G250" i="3"/>
  <c r="G248" i="3"/>
  <c r="G246" i="3"/>
  <c r="G244" i="3"/>
  <c r="G242" i="3"/>
  <c r="G240" i="3"/>
  <c r="G238" i="3"/>
  <c r="G236" i="3"/>
  <c r="G192" i="3"/>
  <c r="G232" i="3"/>
  <c r="G229" i="3"/>
  <c r="G223" i="3"/>
  <c r="G221" i="3"/>
  <c r="G219" i="3"/>
  <c r="G217" i="3"/>
  <c r="G215" i="3"/>
  <c r="G228" i="3"/>
  <c r="G211" i="3"/>
  <c r="G210" i="3"/>
  <c r="G208" i="3"/>
  <c r="G206" i="3"/>
  <c r="G204" i="3"/>
  <c r="G202" i="3"/>
  <c r="G200" i="3"/>
  <c r="G198" i="3"/>
  <c r="G196" i="3"/>
  <c r="G194" i="3"/>
  <c r="G191" i="3"/>
  <c r="G190" i="3"/>
  <c r="G184" i="3"/>
  <c r="G183" i="3"/>
  <c r="G179" i="3"/>
  <c r="G174" i="3"/>
  <c r="G170" i="3"/>
  <c r="G165" i="3"/>
  <c r="G161" i="3"/>
  <c r="G156" i="3"/>
  <c r="G153" i="3"/>
  <c r="G149" i="3"/>
  <c r="G140" i="3"/>
  <c r="G141" i="3"/>
  <c r="G137" i="3"/>
  <c r="G132" i="3"/>
  <c r="G127" i="3"/>
  <c r="G123" i="3"/>
  <c r="G119" i="3"/>
  <c r="G115" i="3"/>
  <c r="G111" i="3"/>
  <c r="G107" i="3"/>
  <c r="G102" i="3"/>
  <c r="G97" i="3"/>
  <c r="G86" i="3"/>
  <c r="G89" i="3"/>
  <c r="G85" i="3"/>
  <c r="G76" i="3"/>
  <c r="G72" i="3"/>
  <c r="G68" i="3"/>
  <c r="G64" i="3"/>
  <c r="G60" i="3"/>
  <c r="G56" i="3"/>
  <c r="G52" i="3"/>
  <c r="G47" i="3"/>
  <c r="G43" i="3"/>
  <c r="G38" i="3"/>
  <c r="G33" i="3"/>
  <c r="G30" i="3"/>
  <c r="G26" i="3"/>
  <c r="G19" i="3"/>
  <c r="G15" i="3"/>
  <c r="G11" i="3"/>
  <c r="G7" i="3"/>
  <c r="G3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24" i="14" a="1"/>
  <c r="E33" i="14" a="1"/>
  <c r="E14" i="14" a="1"/>
  <c r="E21" i="14" a="1"/>
  <c r="E31" i="14" a="1"/>
  <c r="E12" i="14" a="1"/>
  <c r="E18" i="14" a="1"/>
  <c r="E19" i="14" a="1"/>
  <c r="E17" i="14" a="1"/>
  <c r="E32" i="14" a="1"/>
  <c r="E13" i="14" a="1"/>
  <c r="E34" i="14" a="1"/>
  <c r="E9" i="14" a="1"/>
  <c r="E20" i="14" a="1"/>
  <c r="E4" i="14" a="1"/>
  <c r="E25" i="14" a="1"/>
  <c r="E22" i="14" a="1"/>
  <c r="E29" i="14" a="1"/>
  <c r="E30" i="14" a="1"/>
  <c r="E16" i="14" a="1"/>
  <c r="E23" i="14" a="1"/>
  <c r="E14" i="14" l="1"/>
  <c r="E34" i="14"/>
  <c r="E25" i="14"/>
  <c r="E17" i="14"/>
  <c r="E30" i="14"/>
  <c r="E12" i="14"/>
  <c r="E32" i="14"/>
  <c r="E21" i="14"/>
  <c r="E9" i="14"/>
  <c r="E24" i="14"/>
  <c r="E31" i="14"/>
  <c r="E16" i="14"/>
  <c r="E18" i="14"/>
  <c r="E22" i="14"/>
  <c r="E23" i="14"/>
  <c r="E20" i="14"/>
  <c r="E33" i="14"/>
  <c r="E13" i="14"/>
  <c r="E4" i="14"/>
  <c r="E19" i="14"/>
  <c r="E29" i="14"/>
  <c r="G27" i="13"/>
  <c r="C27" i="14" s="1"/>
  <c r="G10" i="13"/>
  <c r="C10" i="14" s="1"/>
  <c r="G28" i="13"/>
  <c r="C28" i="14" s="1"/>
  <c r="G11" i="13"/>
  <c r="C11" i="14" s="1"/>
  <c r="G26" i="13"/>
  <c r="C26" i="14" s="1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C3" i="14" l="1"/>
  <c r="E26" i="14" a="1"/>
  <c r="E6" i="14" a="1"/>
  <c r="E3" i="14" a="1"/>
  <c r="E8" i="14" a="1"/>
  <c r="E28" i="14" a="1"/>
  <c r="E7" i="14" a="1"/>
  <c r="E5" i="14" a="1"/>
  <c r="E11" i="14" a="1"/>
  <c r="E27" i="14" a="1"/>
  <c r="E10" i="14" a="1"/>
  <c r="E6" i="14" l="1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<sst xmlns="http://schemas.openxmlformats.org/spreadsheetml/2006/main" count="2715" uniqueCount="1961">
  <si>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</si>
  <si>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</si>
  <si>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</si>
  <si>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</si>
  <si>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</si>
  <si>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</si>
  <si>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</si>
  <si>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</si>
  <si>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</si>
  <si>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</si>
  <si>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</si>
  <si>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</si>
  <si>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</si>
  <si>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</si>
  <si>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</si>
  <si>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</si>
  <si>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</si>
  <si>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</si>
  <si>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</si>
  <si>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</si>
  <si>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</si>
  <si>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</si>
  <si>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</si>
  <si>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</si>
  <si>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</si>
  <si>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</si>
  <si>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</si>
  <si>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</si>
  <si>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</si>
  <si>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</si>
  <si>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</si>
  <si>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</si>
  <si>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</si>
  <si>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</si>
  <si>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</si>
  <si>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</si>
  <si>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</si>
  <si>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</si>
  <si>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</si>
  <si>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</si>
  <si>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</si>
  <si>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</si>
  <si>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</si>
  <si>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</si>
  <si>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</si>
  <si>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</si>
  <si>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</si>
  <si>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</si>
  <si>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</si>
  <si>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</si>
  <si>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</si>
  <si>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</si>
  <si>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</si>
  <si>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</si>
  <si>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</si>
  <si>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</si>
  <si>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</si>
  <si>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</si>
  <si>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</si>
  <si>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</si>
  <si>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</si>
  <si>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</si>
  <si>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</si>
  <si>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</si>
  <si>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</si>
  <si>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</si>
  <si>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</si>
  <si>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</si>
  <si>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</si>
  <si>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</si>
  <si>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</si>
  <si>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</si>
  <si>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</si>
  <si>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</si>
  <si>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</si>
  <si>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</si>
  <si>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</si>
  <si>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</si>
  <si>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</si>
  <si>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</si>
  <si>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</si>
  <si>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</si>
  <si>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</si>
  <si>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</si>
  <si>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</si>
  <si>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</si>
  <si>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</si>
  <si>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</si>
  <si>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</si>
  <si>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</si>
  <si>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</si>
  <si>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</si>
  <si>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</si>
  <si>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</si>
  <si>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</si>
  <si>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</si>
  <si>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</si>
  <si>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</si>
  <si>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</si>
  <si>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</si>
  <si>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</si>
  <si>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</si>
  <si>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</si>
  <si>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</si>
  <si>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</si>
  <si>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</si>
  <si>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</si>
  <si>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</si>
  <si>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</si>
  <si>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</si>
  <si>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</si>
  <si>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</si>
  <si>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</si>
  <si>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</si>
  <si>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</si>
  <si>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</si>
  <si>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</si>
  <si>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</si>
  <si>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</si>
  <si>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</si>
  <si>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</si>
  <si>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</si>
  <si>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</si>
  <si>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</si>
  <si>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</si>
  <si>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</si>
  <si>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</si>
  <si>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</si>
  <si>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</si>
  <si>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</si>
  <si>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</si>
  <si>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</si>
  <si>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</si>
  <si>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</si>
  <si>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</si>
  <si>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</si>
  <si>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</si>
  <si>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</si>
  <si>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</si>
  <si>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</si>
  <si>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</si>
  <si>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</si>
  <si>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</si>
  <si>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</si>
  <si>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</si>
  <si>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</si>
  <si>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</si>
  <si>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</si>
  <si>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</si>
  <si>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</si>
  <si>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</si>
  <si>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</si>
  <si>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</si>
  <si>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</si>
  <si>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</si>
  <si>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</si>
  <si>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</si>
  <si>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</si>
  <si>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</si>
  <si>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</si>
  <si>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</si>
  <si>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</si>
  <si>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</si>
  <si>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</si>
  <si>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</si>
  <si>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</si>
  <si>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</si>
  <si>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</si>
  <si>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</si>
  <si>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</si>
  <si>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</si>
  <si>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</si>
  <si>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</si>
  <si>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</si>
  <si>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</si>
  <si>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</si>
  <si>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</si>
  <si>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</si>
  <si>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</si>
  <si>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</si>
  <si>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</si>
  <si>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</si>
  <si>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</si>
  <si>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</si>
  <si>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</si>
  <si>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</si>
  <si>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</si>
  <si>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</si>
  <si>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</si>
  <si>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</si>
  <si>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</si>
  <si>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</si>
  <si>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</si>
  <si>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</si>
  <si>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</si>
  <si>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</si>
  <si>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</si>
  <si>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</si>
  <si>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</si>
  <si>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</si>
  <si>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</si>
  <si>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</si>
  <si>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</si>
  <si>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</si>
  <si>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</si>
  <si>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</si>
  <si>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</si>
  <si>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</si>
  <si>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</si>
  <si>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</si>
  <si>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</si>
  <si>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</si>
  <si>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</si>
  <si>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</si>
  <si>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</si>
  <si>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</si>
  <si>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</si>
  <si>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</si>
  <si>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</si>
  <si>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</si>
  <si>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</si>
  <si>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</si>
  <si>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</si>
  <si>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</si>
  <si>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</si>
  <si>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</si>
  <si>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</si>
  <si>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</si>
  <si>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</si>
  <si>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</si>
  <si>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</si>
  <si>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</si>
  <si>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</si>
  <si>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</si>
  <si>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</si>
  <si>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</si>
  <si>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</si>
  <si>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</si>
  <si>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</si>
  <si>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</si>
  <si>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</si>
  <si>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</si>
  <si>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</si>
  <si>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</si>
  <si>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</si>
  <si>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</si>
  <si>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</si>
  <si>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</si>
  <si>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</si>
  <si>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</si>
  <si>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</si>
  <si>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</si>
  <si>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</si>
  <si>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</si>
  <si>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</si>
  <si>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</si>
  <si>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</si>
  <si>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</si>
  <si>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</si>
  <si>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</si>
  <si>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</si>
  <si>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</si>
  <si>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</si>
  <si>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</si>
  <si>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</si>
  <si>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</si>
  <si>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</si>
  <si>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</si>
  <si>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</si>
  <si>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</si>
  <si>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</si>
  <si>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</si>
  <si>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</si>
  <si>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</si>
  <si>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</si>
  <si>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</si>
  <si>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</si>
  <si>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</si>
  <si>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</si>
  <si>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</si>
  <si>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</si>
  <si>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</si>
  <si>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</si>
  <si>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</si>
  <si>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</si>
  <si>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</si>
  <si>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</si>
  <si>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</si>
  <si>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</si>
  <si>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</si>
  <si>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</si>
  <si>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</si>
  <si>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</si>
  <si>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</si>
  <si>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</si>
  <si>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</si>
  <si>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</si>
  <si>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</si>
  <si>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</si>
  <si>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</si>
  <si>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</si>
  <si>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</si>
  <si>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</si>
  <si>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</si>
  <si>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</si>
  <si>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</si>
  <si>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</si>
  <si>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</si>
  <si>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</si>
  <si>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</si>
  <si>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</si>
  <si>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</si>
  <si>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</si>
  <si>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</si>
  <si>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</si>
  <si>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</si>
  <si>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</si>
  <si>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</si>
  <si>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</si>
  <si>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</si>
  <si>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</si>
  <si>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</si>
  <si>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</si>
  <si>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</si>
  <si>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</si>
  <si>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</si>
  <si>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</si>
  <si>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</si>
  <si>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</si>
  <si>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</si>
  <si>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</si>
  <si>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</si>
  <si>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</si>
  <si>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</si>
  <si>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</si>
  <si>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</si>
  <si>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</si>
  <si>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</si>
  <si>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</si>
  <si>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</si>
  <si>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</si>
  <si>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</si>
  <si>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</si>
  <si>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</si>
  <si>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</si>
  <si>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</si>
  <si>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</si>
  <si>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</si>
  <si>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</si>
  <si>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</si>
  <si>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</si>
  <si>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</si>
  <si>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</si>
  <si>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</si>
  <si>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</si>
  <si>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</si>
  <si>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</si>
  <si>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</si>
  <si>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</si>
  <si>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</si>
  <si>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</si>
  <si>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</si>
  <si>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</si>
  <si>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</si>
  <si>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</si>
  <si>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</si>
  <si>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</si>
  <si>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</si>
  <si>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</si>
  <si>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</si>
  <si>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</si>
  <si>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</si>
  <si>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</si>
  <si>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</si>
  <si>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</si>
  <si>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</si>
  <si>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</si>
  <si>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</si>
  <si>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</si>
  <si>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</si>
  <si>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</si>
  <si>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</si>
  <si>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</si>
  <si>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</si>
  <si>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</si>
  <si>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</si>
  <si>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</si>
  <si>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</si>
  <si>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</si>
  <si>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</si>
  <si>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</si>
  <si>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</si>
  <si>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</si>
  <si>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</si>
  <si>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</si>
  <si>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</si>
  <si>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</si>
  <si>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</si>
  <si>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</si>
  <si>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</si>
  <si>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</si>
  <si>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</si>
  <si>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</si>
  <si>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</si>
  <si>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</si>
  <si>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</si>
  <si>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</si>
  <si>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</si>
  <si>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</si>
  <si>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</si>
  <si>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</si>
  <si>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</si>
  <si>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</si>
  <si>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</si>
  <si>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</si>
  <si>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</si>
  <si>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</si>
  <si>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</si>
  <si>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</si>
  <si>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</si>
  <si>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</si>
  <si>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</si>
  <si>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</si>
  <si>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</si>
  <si>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</si>
  <si>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</si>
  <si>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</si>
  <si>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</si>
  <si>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</si>
  <si>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</si>
  <si>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</si>
  <si>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</si>
  <si>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</si>
  <si>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</si>
  <si>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</si>
  <si>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</si>
  <si>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</si>
  <si>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</si>
  <si>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</si>
  <si>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</si>
  <si>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</si>
  <si>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</si>
  <si>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</si>
  <si>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</si>
  <si>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</si>
  <si>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</si>
  <si>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</si>
  <si>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</si>
  <si>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</si>
  <si>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</si>
  <si>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</si>
  <si>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</si>
  <si>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</si>
  <si>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</si>
  <si>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</si>
  <si>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</si>
  <si>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</si>
  <si>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</si>
  <si>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</si>
  <si>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</si>
  <si>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</si>
  <si>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</si>
  <si>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</si>
  <si>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</si>
  <si>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</si>
  <si>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</si>
  <si>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</si>
  <si>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</si>
  <si>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</si>
  <si>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</si>
  <si>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</si>
  <si>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</si>
  <si>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</si>
  <si>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</si>
  <si>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</si>
  <si>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</si>
  <si>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</si>
  <si>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</si>
  <si>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</si>
  <si>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</si>
  <si>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</si>
  <si>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</si>
  <si>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</si>
  <si>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</si>
  <si>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</si>
  <si>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</si>
  <si>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</si>
  <si>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</si>
  <si>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</si>
  <si>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</si>
  <si>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</si>
  <si>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</si>
  <si>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</si>
  <si>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</si>
  <si>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</si>
  <si>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</si>
  <si>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</si>
  <si>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</si>
  <si>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</si>
  <si>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</si>
  <si>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</si>
  <si>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</si>
  <si>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</si>
  <si>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</si>
  <si>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</si>
  <si>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</si>
  <si>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</si>
  <si>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</si>
  <si>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</si>
  <si>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</si>
  <si>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</si>
  <si>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</si>
  <si>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</si>
  <si>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</si>
  <si>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</si>
  <si>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</si>
  <si>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</si>
  <si>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</si>
  <si>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</si>
  <si>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</si>
  <si>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</si>
  <si>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</si>
  <si>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</si>
  <si>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</si>
  <si>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</si>
  <si>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</si>
  <si>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</si>
  <si>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</si>
  <si>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</si>
  <si>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</si>
  <si>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</si>
  <si>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</si>
  <si>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</si>
  <si>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</si>
  <si>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</si>
  <si>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</si>
  <si>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</si>
  <si>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</si>
  <si>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</si>
  <si>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</si>
  <si>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</si>
  <si>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</si>
  <si>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</si>
  <si>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</si>
  <si>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</si>
  <si>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</si>
  <si>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</si>
  <si>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</si>
  <si>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</si>
  <si>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</si>
  <si>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</si>
  <si>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</si>
  <si>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</si>
  <si>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</si>
  <si>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</si>
  <si>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</si>
  <si>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</si>
  <si>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</si>
  <si>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</si>
  <si>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</si>
  <si>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</si>
  <si>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</si>
  <si>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</si>
  <si>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</si>
  <si>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</si>
  <si>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</si>
  <si>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</si>
  <si>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</si>
  <si>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</si>
  <si>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</si>
  <si>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</si>
  <si>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</si>
  <si>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</si>
  <si>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</si>
  <si>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</si>
  <si>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</si>
  <si>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</si>
  <si>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</si>
  <si>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</si>
  <si>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</si>
  <si>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</si>
  <si>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</si>
  <si>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</si>
  <si>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</si>
  <si>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</si>
  <si>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</si>
  <si>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</si>
  <si>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</si>
  <si>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</si>
  <si>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</si>
  <si>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</si>
  <si>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</si>
  <si>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</si>
  <si>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</si>
  <si>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</si>
  <si>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</si>
  <si>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</si>
  <si>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</si>
  <si>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</si>
  <si>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</si>
  <si>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</si>
  <si>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</si>
  <si>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</si>
  <si>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</si>
  <si>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</si>
  <si>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</si>
  <si>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</si>
  <si>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</si>
  <si>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</si>
  <si>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</si>
  <si>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</si>
  <si>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</si>
  <si>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</si>
  <si>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</si>
  <si>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</si>
  <si>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</si>
  <si>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</si>
  <si>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</si>
  <si>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</si>
  <si>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</si>
  <si>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</si>
  <si>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</si>
  <si>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</si>
  <si>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</si>
  <si>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</si>
  <si>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</si>
  <si>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</si>
  <si>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</si>
  <si>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</si>
  <si>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</si>
  <si>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</si>
  <si>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</si>
  <si>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</si>
  <si>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</si>
  <si>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</si>
  <si>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</si>
  <si>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</si>
  <si>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</si>
  <si>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</si>
  <si>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</si>
  <si>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</si>
  <si>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</si>
  <si>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</si>
  <si>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</si>
  <si>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</si>
  <si>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</si>
  <si>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</si>
  <si>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</si>
  <si>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</si>
  <si>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</si>
  <si>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</si>
  <si>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</si>
  <si>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</si>
  <si>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</si>
  <si>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</si>
  <si>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</si>
  <si>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</si>
  <si>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</si>
  <si>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</si>
  <si>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</si>
  <si>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</si>
  <si>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</si>
  <si>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</si>
  <si>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</si>
  <si>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</si>
  <si>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</si>
  <si>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</si>
  <si>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</si>
  <si>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</si>
  <si>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</si>
  <si>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</si>
  <si>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</si>
  <si>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</si>
  <si>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</si>
  <si>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</si>
  <si>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</si>
  <si>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</si>
  <si>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</si>
  <si>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</si>
  <si>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</si>
  <si>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</si>
  <si>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</si>
  <si>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</si>
  <si>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</si>
  <si>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</si>
  <si>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</si>
  <si>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</si>
  <si>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</si>
  <si>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</si>
  <si>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</si>
  <si>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</si>
  <si>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</si>
  <si>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</si>
  <si>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</si>
  <si>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</si>
  <si>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</si>
  <si>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</si>
  <si>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</si>
  <si>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</si>
  <si>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</si>
  <si>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</si>
  <si>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</si>
  <si>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</si>
  <si>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</si>
  <si>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</si>
  <si>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</si>
  <si>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</si>
  <si>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</si>
  <si>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</si>
  <si>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</si>
  <si>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</si>
  <si>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</si>
  <si>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</si>
  <si>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</si>
  <si>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</si>
  <si>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</si>
  <si>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</si>
  <si>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</si>
  <si>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</si>
  <si>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</si>
  <si>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</si>
  <si>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</si>
  <si>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</si>
  <si>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</si>
  <si>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</si>
  <si>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</si>
  <si>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</si>
  <si>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</si>
  <si>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</si>
  <si>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</si>
  <si>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</si>
  <si>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</si>
  <si>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</si>
  <si>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</si>
  <si>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</si>
  <si>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</si>
  <si>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</si>
  <si>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</si>
  <si>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</si>
  <si>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</si>
  <si>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</si>
  <si>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</si>
  <si>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</si>
  <si>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</si>
  <si>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</si>
  <si>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</si>
  <si>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</si>
  <si>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</si>
  <si>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</si>
  <si>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</si>
  <si>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</si>
  <si>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</si>
  <si>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</si>
  <si>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</si>
  <si>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</si>
  <si>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</si>
  <si>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</si>
  <si>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</si>
  <si>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</si>
  <si>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</si>
  <si>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</si>
  <si>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</si>
  <si>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</si>
  <si>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</si>
  <si>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</si>
  <si>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</si>
  <si>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</si>
  <si>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</si>
  <si>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</si>
  <si>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</si>
  <si>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</si>
  <si>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</si>
  <si>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</si>
  <si>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</si>
  <si>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</si>
  <si>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</si>
  <si>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</si>
  <si>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</si>
  <si>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</si>
  <si>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</si>
  <si>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</si>
  <si>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</si>
  <si>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</si>
  <si>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</si>
  <si>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</si>
  <si>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</si>
  <si>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</si>
  <si>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</si>
  <si>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</si>
  <si>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</si>
  <si>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</si>
  <si>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</si>
  <si>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</si>
  <si>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</si>
  <si>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</si>
  <si>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</si>
  <si>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</si>
  <si>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</si>
  <si>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</si>
  <si>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</si>
  <si>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</si>
  <si>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</si>
  <si>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</si>
  <si>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</si>
  <si>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</si>
  <si>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</si>
  <si>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</si>
  <si>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</si>
  <si>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</si>
  <si>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</si>
  <si>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</si>
  <si>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</si>
  <si>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</si>
  <si>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</si>
  <si>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</si>
  <si>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</si>
  <si>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</si>
  <si>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</si>
  <si>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</si>
  <si>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</si>
  <si>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</si>
  <si>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</si>
  <si>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</si>
  <si>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</si>
  <si>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</si>
  <si>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</si>
  <si>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</si>
  <si>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</si>
  <si>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</si>
  <si>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</si>
  <si>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</si>
  <si>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</si>
  <si>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</si>
  <si>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</si>
  <si>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</si>
  <si>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</si>
  <si>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</si>
  <si>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</si>
  <si>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</si>
  <si>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</si>
  <si>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</si>
  <si>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</si>
  <si>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</si>
  <si>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</si>
  <si>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</si>
  <si>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</si>
  <si>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</si>
  <si>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</si>
  <si>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</si>
  <si>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</si>
  <si>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</si>
  <si>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</si>
  <si>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</si>
  <si>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</si>
  <si>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</si>
  <si>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</si>
  <si>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</si>
  <si>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</si>
  <si>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</si>
  <si>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</si>
  <si>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</si>
  <si>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</si>
  <si>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</si>
  <si>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</si>
  <si>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</si>
  <si>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</si>
  <si>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</si>
  <si>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</si>
  <si>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</si>
  <si>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</si>
  <si>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</si>
  <si>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</si>
  <si>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</si>
  <si>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</si>
  <si>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</si>
  <si>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</si>
  <si>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</si>
  <si>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</si>
  <si>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</si>
  <si>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</si>
  <si>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</si>
  <si>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</si>
  <si>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</si>
  <si>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</si>
  <si>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</si>
  <si>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</si>
  <si>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</si>
  <si>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</si>
  <si>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</si>
  <si>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</si>
  <si>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</si>
  <si>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</si>
  <si>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</si>
  <si>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</si>
  <si>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</si>
  <si>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</si>
  <si>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</si>
  <si>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</si>
  <si>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</si>
  <si>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</si>
  <si>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</si>
  <si>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</si>
  <si>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</si>
  <si>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</si>
  <si>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</si>
  <si>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</si>
  <si>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</si>
  <si>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</si>
  <si>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</si>
  <si>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</si>
  <si>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</si>
  <si>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</si>
  <si>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</si>
  <si>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</si>
  <si>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</si>
  <si>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</si>
  <si>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</si>
  <si>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</si>
  <si>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</si>
  <si>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</si>
  <si>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</si>
  <si>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</si>
  <si>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</si>
  <si>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</si>
  <si>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</si>
  <si>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</si>
  <si>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</si>
  <si>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</si>
  <si>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</si>
  <si>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</si>
  <si>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</si>
  <si>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</si>
  <si>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</si>
  <si>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</si>
  <si>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</si>
  <si>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</si>
  <si>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</si>
  <si>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</si>
  <si>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</si>
  <si>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</si>
  <si>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</si>
  <si>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</si>
  <si>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</si>
  <si>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</si>
  <si>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</si>
  <si>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</si>
  <si>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</si>
  <si>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</si>
  <si>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</si>
  <si>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</si>
  <si>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</si>
  <si>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</si>
  <si>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</si>
  <si>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</si>
  <si>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</si>
  <si>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</si>
  <si>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</si>
  <si>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</si>
  <si>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</si>
  <si>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</si>
  <si>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</si>
  <si>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</si>
  <si>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</si>
  <si>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</si>
  <si>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</si>
  <si>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</si>
  <si>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</si>
  <si>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</si>
  <si>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</si>
  <si>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</si>
  <si>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</si>
  <si>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</si>
  <si>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</si>
  <si>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</si>
  <si>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</si>
  <si>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</si>
  <si>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</si>
  <si>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</si>
  <si>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</si>
  <si>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</si>
  <si>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</si>
  <si>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</si>
  <si>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</si>
  <si>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</si>
  <si>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</si>
  <si>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</si>
  <si>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</si>
  <si>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</si>
  <si>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</si>
  <si>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</si>
  <si>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</si>
  <si>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</si>
  <si>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</si>
  <si>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</si>
  <si>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</si>
  <si>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</si>
  <si>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</si>
  <si>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</si>
  <si>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</si>
  <si>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</si>
  <si>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</si>
  <si>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</si>
  <si>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</si>
  <si>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</si>
  <si>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</si>
  <si>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</si>
  <si>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</si>
  <si>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</si>
  <si>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</si>
  <si>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</si>
  <si>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</si>
  <si>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</si>
  <si>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</si>
  <si>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</si>
  <si>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</si>
  <si>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</si>
  <si>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</si>
  <si>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</si>
  <si>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</si>
  <si>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</si>
  <si>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</si>
  <si>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</si>
  <si>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</si>
  <si>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</si>
  <si>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</si>
  <si>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</si>
  <si>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</si>
  <si>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</si>
  <si>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</si>
  <si>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</si>
  <si>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</si>
  <si>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</si>
  <si>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</si>
  <si>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</si>
  <si>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</si>
  <si>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</si>
  <si>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</si>
  <si>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</si>
  <si>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</si>
  <si>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</si>
  <si>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</si>
  <si>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</si>
  <si>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</si>
  <si>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</si>
  <si>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</si>
  <si>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</si>
  <si>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</si>
  <si>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</si>
  <si>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</si>
  <si>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</si>
  <si>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</si>
  <si>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</si>
  <si>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</si>
  <si>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</si>
  <si>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</si>
  <si>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</si>
  <si>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</si>
  <si>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</si>
  <si>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</si>
  <si>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</si>
  <si>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</si>
  <si>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</si>
  <si>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</si>
  <si>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</si>
  <si>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</si>
  <si>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</si>
  <si>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</si>
  <si>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</si>
  <si>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</si>
  <si>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</si>
  <si>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</si>
  <si>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</si>
  <si>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</si>
  <si>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</si>
  <si>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</si>
  <si>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</si>
  <si>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</si>
  <si>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</si>
  <si>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</si>
  <si>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</si>
  <si>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</si>
  <si>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</si>
  <si>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</si>
  <si>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</si>
  <si>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</si>
  <si>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</si>
  <si>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</si>
  <si>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</si>
  <si>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</si>
  <si>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</si>
  <si>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</si>
  <si>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</si>
  <si>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</si>
  <si>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</si>
  <si>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</si>
  <si>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</si>
  <si>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</si>
  <si>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</si>
  <si>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</si>
  <si>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</si>
  <si>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</si>
  <si>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</si>
  <si>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</si>
  <si>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</si>
  <si>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</si>
  <si>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</si>
  <si>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</si>
  <si>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</si>
  <si>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</si>
  <si>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</si>
  <si>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</si>
  <si>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</si>
  <si>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</si>
  <si>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</si>
  <si>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</si>
  <si>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</si>
  <si>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</si>
  <si>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</si>
  <si>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</si>
  <si>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</si>
  <si>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</si>
  <si>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</si>
  <si>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</si>
  <si>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</si>
  <si>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</si>
  <si>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</si>
  <si>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</si>
  <si>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</si>
  <si>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</si>
  <si>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</si>
  <si>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</si>
  <si>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</si>
  <si>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</si>
  <si>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</si>
  <si>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</si>
  <si>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</si>
  <si>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</si>
  <si>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</si>
  <si>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</si>
  <si>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</si>
  <si>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</si>
  <si>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</si>
  <si>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</si>
  <si>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</si>
  <si>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</si>
  <si>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</si>
  <si>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</si>
  <si>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</si>
  <si>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</si>
  <si>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</si>
  <si>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</si>
  <si>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</si>
  <si>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</si>
  <si>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</si>
  <si>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</si>
  <si>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</si>
  <si>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</si>
  <si>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</si>
  <si>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</si>
  <si>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</si>
  <si>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</si>
  <si>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</si>
  <si>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</si>
  <si>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</si>
  <si>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</si>
  <si>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</si>
  <si>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</si>
  <si>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</si>
  <si>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</si>
  <si>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</si>
  <si>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</si>
  <si>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</si>
  <si>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</si>
  <si>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</si>
  <si>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</si>
  <si>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</si>
  <si>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</si>
  <si>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</si>
  <si>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</si>
  <si>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</si>
  <si>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</si>
  <si>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</si>
  <si>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</si>
  <si>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</si>
  <si>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</si>
  <si>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</si>
  <si>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</si>
  <si>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</si>
  <si>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</si>
  <si>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</si>
  <si>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</si>
  <si>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</si>
  <si>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</si>
  <si>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</si>
  <si>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</si>
  <si>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</si>
  <si>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</si>
  <si>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</si>
  <si>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</si>
  <si>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</si>
  <si>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</si>
  <si>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</si>
  <si>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</si>
  <si>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</si>
  <si>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</si>
  <si>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</si>
  <si>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</si>
  <si>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</si>
  <si>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</si>
  <si>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</si>
  <si>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</si>
  <si>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</si>
  <si>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</si>
  <si>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</si>
  <si>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</si>
  <si>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</si>
  <si>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</si>
  <si>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</si>
  <si>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</si>
  <si>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</si>
  <si>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</si>
  <si>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</si>
  <si>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</si>
  <si>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</si>
  <si>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</si>
  <si>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</si>
  <si>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</si>
  <si>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</si>
  <si>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</si>
  <si>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</si>
  <si>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</si>
  <si>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</si>
  <si>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</si>
  <si>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</si>
  <si>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</si>
  <si>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</si>
  <si>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</si>
  <si>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</si>
  <si>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</si>
  <si>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</si>
  <si>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</si>
  <si>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</si>
  <si>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</si>
  <si>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</si>
  <si>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</si>
  <si>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</si>
  <si>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</si>
  <si>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</si>
  <si>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</si>
  <si>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</si>
  <si>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</si>
  <si>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</si>
  <si>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</si>
  <si>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</si>
  <si>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</si>
  <si>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</si>
  <si>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</si>
  <si>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</si>
  <si>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</si>
  <si>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</si>
  <si>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</si>
  <si>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</si>
  <si>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</si>
  <si>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</si>
  <si>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</si>
  <si>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</si>
  <si>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</si>
  <si>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</si>
  <si>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</si>
  <si>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</si>
  <si>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</si>
  <si>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</si>
  <si>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</si>
  <si>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</si>
  <si>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</si>
  <si>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</si>
  <si>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</si>
  <si>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</si>
  <si>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</si>
  <si>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</si>
  <si>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</si>
  <si>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</si>
  <si>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</si>
  <si>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</si>
  <si>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</si>
  <si>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</si>
  <si>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</si>
  <si>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</si>
  <si>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</si>
  <si>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</si>
  <si>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</si>
  <si>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</si>
  <si>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</si>
  <si>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</si>
  <si>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</si>
  <si>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</si>
  <si>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</si>
  <si>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</si>
  <si>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</si>
  <si>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</si>
  <si>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</si>
  <si>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</si>
  <si>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</si>
  <si>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</si>
  <si>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</si>
  <si>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</si>
  <si>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</si>
  <si>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</si>
  <si>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</si>
  <si>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</si>
  <si>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</si>
  <si>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</si>
  <si>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</si>
  <si>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</si>
  <si>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</si>
  <si>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</si>
  <si>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</si>
  <si>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</si>
  <si>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</si>
  <si>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</si>
  <si>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</si>
  <si>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</si>
  <si>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</si>
  <si>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</si>
  <si>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</si>
  <si>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</si>
  <si>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</si>
  <si>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</si>
  <si>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</si>
  <si>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</si>
  <si>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</si>
  <si>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</si>
  <si>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</si>
  <si>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</si>
  <si>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</si>
  <si>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</si>
  <si>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</si>
  <si>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</si>
  <si>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</si>
  <si>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</si>
  <si>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</si>
  <si>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</si>
  <si>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</si>
  <si>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</si>
  <si>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</si>
  <si>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</si>
  <si>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</si>
  <si>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</si>
  <si>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</si>
  <si>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</si>
  <si>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</si>
  <si>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</si>
  <si>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</si>
  <si>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</si>
  <si>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</si>
  <si>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</si>
  <si>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</si>
  <si>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</si>
  <si>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</si>
  <si>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</si>
  <si>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</si>
  <si>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</si>
  <si>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</si>
  <si>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</si>
  <si>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</si>
  <si>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</si>
  <si>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</si>
  <si>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</si>
  <si>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</si>
  <si>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</si>
  <si>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</si>
  <si>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</si>
  <si>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</si>
  <si>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</si>
  <si>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</si>
  <si>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</si>
  <si>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</si>
  <si>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</si>
  <si>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</si>
  <si>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</si>
  <si>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</si>
  <si>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</si>
  <si>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</si>
  <si>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</si>
  <si>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</si>
  <si>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</si>
  <si>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</si>
  <si>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</si>
  <si>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</si>
  <si>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</si>
  <si>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</si>
  <si>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</si>
  <si>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</si>
  <si>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</si>
  <si>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</si>
  <si>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</si>
  <si>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</si>
  <si>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</si>
  <si>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</si>
  <si>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</si>
  <si>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</si>
  <si>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</si>
  <si>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</si>
  <si>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</si>
  <si>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</si>
  <si>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</si>
  <si>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</si>
  <si>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</si>
  <si>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</si>
  <si>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</si>
  <si>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</si>
  <si>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</si>
  <si>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</si>
  <si>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</si>
  <si>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</si>
  <si>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</si>
  <si>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</si>
  <si>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</si>
  <si>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</si>
  <si>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</si>
  <si>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</si>
  <si>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</si>
  <si>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</si>
  <si>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</si>
  <si>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</si>
  <si>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</si>
  <si>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</si>
  <si>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</si>
  <si>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</si>
  <si>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</si>
  <si>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</si>
  <si>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</si>
  <si>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</si>
  <si>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</si>
  <si>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</si>
  <si>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</si>
  <si>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</si>
  <si>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</si>
  <si>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</si>
  <si>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</si>
  <si>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</si>
  <si>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</si>
  <si>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</si>
  <si>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</si>
  <si>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</si>
  <si>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</si>
  <si>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</si>
  <si>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</si>
  <si>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</si>
  <si>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</si>
  <si>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</si>
  <si>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</si>
  <si>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</si>
  <si>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</si>
  <si>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</si>
  <si>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</si>
  <si>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</si>
  <si>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</si>
  <si>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</si>
  <si>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</si>
  <si>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</si>
  <si>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</si>
  <si>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</si>
  <si>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</si>
  <si>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</si>
  <si>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</si>
  <si>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</si>
  <si>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</si>
  <si>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</si>
  <si>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</si>
  <si>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</si>
  <si>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</si>
  <si>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</si>
  <si>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</si>
  <si>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</si>
  <si>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</si>
  <si>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</si>
  <si>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</si>
  <si>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</si>
  <si>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</si>
  <si>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</si>
  <si>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</si>
  <si>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</si>
  <si>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</si>
  <si>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</si>
  <si>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</si>
  <si>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</si>
  <si>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</si>
  <si>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</si>
  <si>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</si>
  <si>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</si>
  <si>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</si>
  <si>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</si>
  <si>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</si>
  <si>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</si>
  <si>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</si>
  <si>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</si>
  <si>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</si>
  <si>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</si>
  <si>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</si>
  <si>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</si>
  <si>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</si>
  <si>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</si>
  <si>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</si>
  <si>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</si>
  <si>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</si>
  <si>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</si>
  <si>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</si>
  <si>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</si>
  <si>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</si>
  <si>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</si>
  <si>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</si>
  <si>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</si>
  <si>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</si>
  <si>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</si>
  <si>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</si>
  <si>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</si>
  <si>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</si>
  <si>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</si>
  <si>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</si>
  <si>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</si>
  <si>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</si>
  <si>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</si>
  <si>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</si>
  <si>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</si>
  <si>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</si>
  <si>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</si>
  <si>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</si>
  <si>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</si>
  <si>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</si>
  <si>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</si>
  <si>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</si>
  <si>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</si>
  <si>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</si>
  <si>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</si>
  <si>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</si>
  <si>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</si>
  <si>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</si>
  <si>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</si>
  <si>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</si>
  <si>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</si>
  <si>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</si>
  <si>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</si>
  <si>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</si>
  <si>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</si>
  <si>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</si>
  <si>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</si>
  <si>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</si>
  <si>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</si>
  <si>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</si>
  <si>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</si>
  <si>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</si>
  <si>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</si>
  <si>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</si>
  <si>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</si>
  <si>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</si>
  <si>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</si>
  <si>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</si>
  <si>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</si>
  <si>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</si>
  <si>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</si>
  <si>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</si>
  <si>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</si>
  <si>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</si>
  <si>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</si>
  <si>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</si>
  <si>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</si>
  <si>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</si>
  <si>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</si>
  <si>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</si>
  <si>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</si>
  <si>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</si>
  <si>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</si>
  <si>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</si>
  <si>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</si>
  <si>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</si>
  <si>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</si>
  <si>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</si>
  <si>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</si>
  <si>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</si>
  <si>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</si>
  <si>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</si>
  <si>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</si>
  <si>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</si>
  <si>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</si>
  <si>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</si>
  <si>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</si>
  <si>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</si>
  <si>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</si>
  <si>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</si>
  <si>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</si>
  <si>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</si>
  <si>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</si>
  <si>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</si>
  <si>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</si>
  <si>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</si>
  <si>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</si>
  <si>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</si>
  <si>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</si>
  <si>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</si>
  <si>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</si>
  <si>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</si>
  <si>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</si>
  <si>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</si>
  <si>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</si>
  <si>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</si>
  <si>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</si>
  <si>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</si>
  <si>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</si>
  <si>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</si>
  <si>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</si>
  <si>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</si>
  <si>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</si>
  <si>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</si>
  <si>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</si>
  <si>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</si>
  <si>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</si>
  <si>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</si>
  <si>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</si>
  <si>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</si>
  <si>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</si>
  <si>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</si>
  <si>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</si>
  <si>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</si>
  <si>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</si>
  <si>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</si>
  <si>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</si>
  <si>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</si>
  <si>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</si>
  <si>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</si>
  <si>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</si>
  <si>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</si>
  <si>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</si>
  <si>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</si>
  <si>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</si>
  <si>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</si>
  <si>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</si>
  <si>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</si>
  <si>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</si>
  <si>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</si>
  <si>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</si>
  <si>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</si>
  <si>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</si>
  <si>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</si>
  <si>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</si>
  <si>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</si>
  <si>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</si>
  <si>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</si>
  <si>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</si>
  <si>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</si>
  <si>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</si>
  <si>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</si>
  <si>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</si>
  <si>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</si>
  <si>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</si>
  <si>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</si>
  <si>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</si>
  <si>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</si>
  <si>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</si>
  <si>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</si>
  <si>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</si>
  <si>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</si>
  <si>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</si>
  <si>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</si>
  <si>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</si>
  <si>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</si>
  <si>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</si>
  <si>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</si>
  <si>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</si>
  <si>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</si>
  <si>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</si>
  <si>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</si>
  <si>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</si>
  <si>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</si>
  <si>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</si>
  <si>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</si>
  <si>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</si>
  <si>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</si>
  <si>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</si>
  <si>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</si>
  <si>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</si>
  <si>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</si>
  <si>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</si>
  <si>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</si>
  <si>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</si>
  <si>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</si>
  <si>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</si>
  <si>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</si>
  <si>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</si>
  <si>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</si>
  <si>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</si>
  <si>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</si>
  <si>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</si>
  <si>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</si>
  <si>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</si>
  <si>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</si>
  <si>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</si>
  <si>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</si>
  <si>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</si>
  <si>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</si>
  <si>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</si>
  <si>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</si>
  <si>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</si>
  <si>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</si>
  <si>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</si>
  <si>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</si>
  <si>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</si>
  <si>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</si>
  <si>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</si>
  <si>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</si>
  <si>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</si>
  <si>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</si>
  <si>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</si>
  <si>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</si>
  <si>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</si>
  <si>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</si>
  <si>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</si>
  <si>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</si>
  <si>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</si>
  <si>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</si>
  <si>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</si>
  <si>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</si>
  <si>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</si>
  <si>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</si>
  <si>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</si>
  <si>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</si>
  <si>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</si>
  <si>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</si>
  <si>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</si>
  <si>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</si>
  <si>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</si>
  <si>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</si>
  <si>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</si>
  <si>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</si>
  <si>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</si>
  <si>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</si>
  <si>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</si>
  <si>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</si>
  <si>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</si>
  <si>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</si>
  <si>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</si>
  <si>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</si>
  <si>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</si>
  <si>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</si>
  <si>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</si>
  <si>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</si>
  <si>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</si>
  <si>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</si>
  <si>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</si>
  <si>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</si>
  <si>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</si>
  <si>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</si>
  <si>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</si>
  <si>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</si>
  <si>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</si>
  <si>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</si>
  <si>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</si>
  <si>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</si>
  <si>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</si>
  <si>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</si>
  <si>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</si>
  <si>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</si>
  <si>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</si>
  <si>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</si>
  <si>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</si>
  <si>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</si>
  <si>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</si>
  <si>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</si>
  <si>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</si>
  <si>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</si>
  <si>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</si>
  <si>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</si>
  <si>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</si>
  <si>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</si>
  <si>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</si>
  <si>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</si>
  <si>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</si>
  <si>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</si>
  <si>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</si>
  <si>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</si>
  <si>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</si>
  <si>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</si>
  <si>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</si>
  <si>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</si>
  <si>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</si>
  <si>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</si>
  <si>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</si>
  <si>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</si>
  <si>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</si>
  <si>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</si>
  <si>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</si>
  <si>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</si>
  <si>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</si>
  <si>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</si>
  <si>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</si>
  <si>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</si>
  <si>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</si>
  <si>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</si>
  <si>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</si>
  <si>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</si>
  <si>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</si>
  <si>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</si>
  <si>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</si>
  <si>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</si>
  <si>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</si>
  <si>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</si>
  <si>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</si>
  <si>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</si>
  <si>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</si>
  <si>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</si>
  <si>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</si>
  <si>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</si>
  <si>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</si>
  <si>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</si>
  <si>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</si>
  <si>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</si>
  <si>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</si>
  <si>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</si>
  <si>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</si>
  <si>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</si>
  <si>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</si>
  <si>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</si>
  <si>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</si>
  <si>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</si>
  <si>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</si>
  <si>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</si>
  <si>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</si>
  <si>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</si>
  <si>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</si>
  <si>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</si>
  <si>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</si>
  <si>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</si>
  <si>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</si>
  <si>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Edges Data</t>
  </si>
  <si>
    <t>Nodes Data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</si>
  <si>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</si>
  <si>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</si>
  <si>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</si>
  <si>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</si>
  <si>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</si>
  <si>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</si>
  <si>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</si>
  <si>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</si>
  <si>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</si>
  <si>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</si>
  <si>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</si>
  <si>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</si>
  <si>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</si>
  <si>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</si>
  <si>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</si>
  <si>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</si>
  <si>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</si>
  <si>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</si>
  <si>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</si>
  <si>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</si>
  <si>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</si>
  <si>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</si>
  <si>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</si>
  <si>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</si>
  <si>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</si>
  <si>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</si>
  <si>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</si>
  <si>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</si>
  <si>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</si>
  <si>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</si>
  <si>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</si>
  <si>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</si>
  <si>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</si>
  <si>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</si>
  <si>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</si>
  <si>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</si>
  <si>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</si>
  <si>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</si>
  <si>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</si>
  <si>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</si>
  <si>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</si>
  <si>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</si>
  <si>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</si>
  <si>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</si>
  <si>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</si>
  <si>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</si>
  <si>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</si>
  <si>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</si>
  <si>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</si>
  <si>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</si>
  <si>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</si>
  <si>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</si>
  <si>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</si>
  <si>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</si>
  <si>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</si>
  <si>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</si>
  <si>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</si>
  <si>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</si>
  <si>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</si>
  <si>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</si>
  <si>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</si>
  <si>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</si>
  <si>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</si>
  <si>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</si>
  <si>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</si>
  <si>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</si>
  <si>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</si>
  <si>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</si>
  <si>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</si>
  <si>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</si>
  <si>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</si>
  <si>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</si>
  <si>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</si>
  <si>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</si>
  <si>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</si>
  <si>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</si>
  <si>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</si>
  <si>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</si>
  <si>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</si>
  <si>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</si>
  <si>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</si>
  <si>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</si>
  <si>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</si>
  <si>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</si>
  <si>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</si>
  <si>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</si>
  <si>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Stolen Account</t>
  </si>
  <si>
    <t>control</t>
  </si>
  <si>
    <t>owns</t>
  </si>
  <si>
    <t>distinct from</t>
  </si>
  <si>
    <t>may be motivated by</t>
  </si>
  <si>
    <t>Financial Gain</t>
  </si>
  <si>
    <t>Causing Reputation Harm</t>
  </si>
  <si>
    <t>Identity Deception</t>
  </si>
  <si>
    <t>has not</t>
  </si>
  <si>
    <t>Identity Usage Authorization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</si>
  <si>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</si>
  <si>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</si>
  <si>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</si>
  <si>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</si>
  <si>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</si>
  <si>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</si>
  <si>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</si>
  <si>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</si>
  <si>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</si>
  <si>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</si>
  <si>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nF28EF766_A810_4024_A03F_F62A899E2EE6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</si>
  <si>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</si>
  <si>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</si>
  <si>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</si>
  <si>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</si>
  <si>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</si>
  <si>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</si>
  <si>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</si>
  <si>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</si>
  <si>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</si>
  <si>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</si>
  <si>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</si>
  <si>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</si>
  <si>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</si>
  <si>
    <t>n92868AF7_93B9_4EAD_AD7C_0A5965022A7E</t>
  </si>
  <si>
    <t>Motivations</t>
  </si>
  <si>
    <t>Group</t>
  </si>
  <si>
    <t>Victim</t>
  </si>
  <si>
    <t>Perpetrator</t>
  </si>
  <si>
    <t>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</si>
</sst>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5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3" fillId="0" borderId="2" xfId="2" applyAlignment="1"/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857250</xdr:colOff>
          <xdr:row>3</xdr:row>
          <xdr:rowOff>114300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2824163</xdr:colOff>
          <xdr:row>1</xdr:row>
          <xdr:rowOff>28575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G500" totalsRowShown="0" headerRowDxfId="35" dataDxfId="34">
  <autoFilter ref="A2:G500" xr:uid="{5C9712D2-CCDA-4E9C-B304-04B7352F99F1}"/>
  <sortState xmlns:xlrd2="http://schemas.microsoft.com/office/spreadsheetml/2017/richdata2" ref="A3:G500">
    <sortCondition ref="A2:A500"/>
  </sortState>
  <tableColumns count="7">
    <tableColumn id="3" xr3:uid="{1AC5B17D-613C-4D59-9B76-2B23701909EB}" name="Common Name" dataDxfId="33"/>
    <tableColumn id="2" xr3:uid="{90333BBB-2EEB-4564-A4DE-2C01EFC61D47}" name="Node ID" dataDxfId="32"/>
    <tableColumn id="4" xr3:uid="{6146B9E7-30B6-4E1C-8AE1-B6449F0E0DE8}" name="Class Disambiguation" dataDxfId="31"/>
    <tableColumn id="6" xr3:uid="{FD2E50A7-4489-4F3D-B755-6C2DCB54CAEE}" name="Unambiguous Name" dataDxfId="30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Group" dataDxfId="1"/>
    <tableColumn id="8" xr3:uid="{334909EF-6768-4210-A03B-B3B2782F8DF1}" name="URL" dataDxfId="29"/>
    <tableColumn id="5" xr3:uid="{C893231A-2AE1-4035-A471-BB69C36E6D4F}" name="GUID Generator" dataDxfId="2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2:H64" totalsRowShown="0" headerRowDxfId="27" dataDxfId="26">
  <autoFilter ref="A2:H64" xr:uid="{5C9712D2-CCDA-4E9C-B304-04B7352F99F1}"/>
  <sortState xmlns:xlrd2="http://schemas.microsoft.com/office/spreadsheetml/2017/richdata2" ref="A3:H50">
    <sortCondition ref="C2:C50"/>
  </sortState>
  <tableColumns count="8">
    <tableColumn id="5" xr3:uid="{CE3327DB-D425-4D19-AFBC-04AB47355E47}" name="Edge ID" dataDxfId="25"/>
    <tableColumn id="1" xr3:uid="{9CA13924-CA4A-44D4-8A07-E52B10C55BA7}" name="Node A ID" dataDxfId="24">
      <calculatedColumnFormula>VLOOKUP(EdgesData[[#This Row],[Node A]],NodesData[],2,FALSE)</calculatedColumnFormula>
    </tableColumn>
    <tableColumn id="3" xr3:uid="{BAA89F4B-F6C5-4ABD-86BE-5A8853F41E60}" name="Node A" dataDxfId="23"/>
    <tableColumn id="4" xr3:uid="{D3335F2C-7AD5-4D66-8BC3-253890C0E8B7}" name="Rel" dataDxfId="22"/>
    <tableColumn id="2" xr3:uid="{8D04C2D1-8FFA-4141-8A59-A1BFEFFAB089}" name="Dir" dataDxfId="21"/>
    <tableColumn id="6" xr3:uid="{C46C88E3-4516-403D-9A39-7617A8F5E08F}" name="Node B" dataDxfId="20"/>
    <tableColumn id="8" xr3:uid="{018119E0-D793-4DE2-91A3-9B20775CD938}" name="Node B ID" dataDxfId="19">
      <calculatedColumnFormula>VLOOKUP(EdgesData[[#This Row],[Node B]],NodesData[],2,FALSE)</calculatedColumnFormula>
    </tableColumn>
    <tableColumn id="7" xr3:uid="{648409CB-F2FA-4FEE-88C7-554D58380F3E}" name="GUID Generator" dataDxfId="1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489" totalsRowShown="0" headerRowDxfId="17" dataDxfId="16">
  <autoFilter ref="A2:E489" xr:uid="{5C9712D2-CCDA-4E9C-B304-04B7352F99F1}"/>
  <tableColumns count="5">
    <tableColumn id="2" xr3:uid="{7A433402-2F5D-4FF4-8541-52C3CCA58CBF}" name="label" dataDxfId="15">
      <calculatedColumnFormula>NodesData[[#This Row],[Common Name]]</calculatedColumnFormula>
    </tableColumn>
    <tableColumn id="1" xr3:uid="{9480A146-5094-4585-8E34-79B118723205}" name="group" dataDxfId="0">
      <calculatedColumnFormula>IF(NodesData[[#This Row],[Group]]="","",NodesData[[#This Row],[Group]])</calculatedColumnFormula>
    </tableColumn>
    <tableColumn id="5" xr3:uid="{DE7D344F-F0A4-42CA-BECA-DEC46A3C6044}" name="id" dataDxfId="14">
      <calculatedColumnFormula>NodesData[[#This Row],[Node ID]]</calculatedColumnFormula>
    </tableColumn>
    <tableColumn id="8" xr3:uid="{D32881FA-1331-4995-98E1-08014CC00B3B}" name="url" dataDxfId="13"/>
    <tableColumn id="4" xr3:uid="{C237D77B-2B8C-448A-9D3F-782001125820}" name="JSON" dataDxfId="2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3" totalsRowShown="0" headerRowDxfId="12" dataDxfId="11">
  <autoFilter ref="A2:E63" xr:uid="{2DC44691-7CC8-490A-BFD1-C0BACEDD8C5B}"/>
  <tableColumns count="5">
    <tableColumn id="6" xr3:uid="{7B6A1A21-3B7A-41BC-953A-E7E41C3DF49A}" name="id" dataDxfId="10">
      <calculatedColumnFormula>EdgesData[[#This Row],[Edge ID]]</calculatedColumnFormula>
    </tableColumn>
    <tableColumn id="2" xr3:uid="{3D9DE3B5-4740-491A-AF2C-F3365D8C031F}" name="from" dataDxfId="9">
      <calculatedColumnFormula>EdgesData[[#This Row],[Node A ID]]</calculatedColumnFormula>
    </tableColumn>
    <tableColumn id="5" xr3:uid="{17306F30-E2AC-4FAA-A3C9-6B06FA97B7CD}" name="to" dataDxfId="8">
      <calculatedColumnFormula>EdgesData[[#This Row],[Node B ID]]</calculatedColumnFormula>
    </tableColumn>
    <tableColumn id="8" xr3:uid="{B166B7F9-2FC2-4259-83C8-E55C58025CC9}" name="label" dataDxfId="7">
      <calculatedColumnFormula>EdgesData[[#This Row],[Rel]]</calculatedColumnFormula>
    </tableColumn>
    <tableColumn id="4" xr3:uid="{BC79FDF8-B819-4DED-9F3A-54E94785DD2A}" name="JSON" dataDxfId="6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5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4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3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tabSelected="1" workbookViewId="0">
      <selection activeCell="B8" sqref="B8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G500"/>
  <sheetViews>
    <sheetView zoomScale="120" zoomScaleNormal="120" workbookViewId="0">
      <selection activeCell="A23" sqref="A23"/>
    </sheetView>
  </sheetViews>
  <sheetFormatPr defaultRowHeight="12.75" x14ac:dyDescent="0.35"/>
  <cols>
    <col min="1" max="1" width="34.06640625" style="13" bestFit="1" customWidth="1"/>
    <col min="2" max="2" width="23" style="13" bestFit="1" customWidth="1"/>
    <col min="3" max="3" width="12.19921875" style="13" customWidth="1"/>
    <col min="4" max="4" width="34.06640625" style="13" bestFit="1" customWidth="1"/>
    <col min="5" max="5" width="23.73046875" style="13" customWidth="1"/>
    <col min="6" max="6" width="23" style="13" bestFit="1" customWidth="1"/>
    <col min="7" max="7" width="60" style="13" customWidth="1"/>
    <col min="8" max="16384" width="9.06640625" style="13"/>
  </cols>
  <sheetData>
    <row r="1" spans="1:7" s="11" customFormat="1" ht="19.899999999999999" thickBot="1" x14ac:dyDescent="0.65">
      <c r="A1" s="11" t="s">
        <v>1834</v>
      </c>
    </row>
    <row r="2" spans="1:7" ht="13.15" thickTop="1" x14ac:dyDescent="0.35">
      <c r="A2" s="12" t="s">
        <v>1906</v>
      </c>
      <c r="B2" s="12" t="s">
        <v>1907</v>
      </c>
      <c r="C2" s="12" t="s">
        <v>1908</v>
      </c>
      <c r="D2" s="12" t="s">
        <v>1909</v>
      </c>
      <c r="E2" s="12" t="s">
        <v>1957</v>
      </c>
      <c r="F2" s="12" t="s">
        <v>520</v>
      </c>
      <c r="G2" s="12" t="s">
        <v>1910</v>
      </c>
    </row>
    <row r="3" spans="1:7" x14ac:dyDescent="0.35">
      <c r="A3" s="12" t="s">
        <v>1830</v>
      </c>
      <c r="B3" s="14" t="s">
        <v>1355</v>
      </c>
      <c r="C3" s="13" t="s">
        <v>1337</v>
      </c>
      <c r="D3" s="19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E3" s="19"/>
      <c r="G3" s="20" t="str" cm="1">
        <f t="array" ref="G3">"n"&amp;SUBSTITUTE(CreateGuidString(),"-","_")</f>
        <v>n5259E5F0_75B5_42C5_A379_D81F8A87FA49</v>
      </c>
    </row>
    <row r="4" spans="1:7" x14ac:dyDescent="0.35">
      <c r="A4" s="13" t="s">
        <v>5</v>
      </c>
      <c r="B4" s="14" t="s">
        <v>1356</v>
      </c>
      <c r="C4" s="12" t="s">
        <v>1829</v>
      </c>
      <c r="D4" s="13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F4" s="13" t="s">
        <v>523</v>
      </c>
      <c r="G4" s="20" t="str" cm="1">
        <f t="array" ref="G4">"n"&amp;SUBSTITUTE(CreateGuidString(),"-","_")</f>
        <v>n21AA01EE_888C_4BE2_A1D3_C0FE24C652E4</v>
      </c>
    </row>
    <row r="5" spans="1:7" x14ac:dyDescent="0.35">
      <c r="A5" s="13" t="s">
        <v>7</v>
      </c>
      <c r="B5" s="14" t="s">
        <v>1357</v>
      </c>
      <c r="D5" s="13" t="str">
        <f>IF(NodesData[[#This Row],[Class Disambiguation]]="",NodesData[[#This Row],[Common Name]],NodesData[[#This Row],[Common Name]]&amp;" ("&amp;NodesData[[#This Row],[Class Disambiguation]]&amp;")")</f>
        <v>Access</v>
      </c>
      <c r="F5" s="13" t="s">
        <v>524</v>
      </c>
      <c r="G5" s="20" t="str" cm="1">
        <f t="array" ref="G5">"n"&amp;SUBSTITUTE(CreateGuidString(),"-","_")</f>
        <v>n20A94559_9F59_49EF_98D9_15DB4F31C0A6</v>
      </c>
    </row>
    <row r="6" spans="1:7" x14ac:dyDescent="0.35">
      <c r="A6" s="13" t="s">
        <v>525</v>
      </c>
      <c r="B6" s="14" t="s">
        <v>1358</v>
      </c>
      <c r="D6" s="13" t="str">
        <f>IF(NodesData[[#This Row],[Class Disambiguation]]="",NodesData[[#This Row],[Common Name]],NodesData[[#This Row],[Common Name]]&amp;" ("&amp;NodesData[[#This Row],[Class Disambiguation]]&amp;")")</f>
        <v>Access Audit</v>
      </c>
      <c r="F6" s="13" t="s">
        <v>526</v>
      </c>
      <c r="G6" s="20" t="str" cm="1">
        <f t="array" ref="G6">"n"&amp;SUBSTITUTE(CreateGuidString(),"-","_")</f>
        <v>n2AF87978_59AD_4032_A7FD_0EDAFB780373</v>
      </c>
    </row>
    <row r="7" spans="1:7" x14ac:dyDescent="0.35">
      <c r="A7" s="13" t="s">
        <v>9</v>
      </c>
      <c r="B7" s="14" t="s">
        <v>1359</v>
      </c>
      <c r="D7" s="13" t="str">
        <f>IF(NodesData[[#This Row],[Class Disambiguation]]="",NodesData[[#This Row],[Common Name]],NodesData[[#This Row],[Common Name]]&amp;" ("&amp;NodesData[[#This Row],[Class Disambiguation]]&amp;")")</f>
        <v>Access Continuum</v>
      </c>
      <c r="F7" s="13" t="s">
        <v>527</v>
      </c>
      <c r="G7" s="20" t="str" cm="1">
        <f t="array" ref="G7">"n"&amp;SUBSTITUTE(CreateGuidString(),"-","_")</f>
        <v>nB118250B_0185_43B4_B08F_D2EB1402DD2E</v>
      </c>
    </row>
    <row r="8" spans="1:7" x14ac:dyDescent="0.35">
      <c r="A8" s="13" t="s">
        <v>528</v>
      </c>
      <c r="B8" s="14" t="s">
        <v>1360</v>
      </c>
      <c r="D8" s="13" t="str">
        <f>IF(NodesData[[#This Row],[Class Disambiguation]]="",NodesData[[#This Row],[Common Name]],NodesData[[#This Row],[Common Name]]&amp;" ("&amp;NodesData[[#This Row],[Class Disambiguation]]&amp;")")</f>
        <v>Access Control</v>
      </c>
      <c r="F8" s="13" t="s">
        <v>529</v>
      </c>
      <c r="G8" s="20" t="str" cm="1">
        <f t="array" ref="G8">"n"&amp;SUBSTITUTE(CreateGuidString(),"-","_")</f>
        <v>nDE77A640_53DE_4F44_919D_C8BB42515E32</v>
      </c>
    </row>
    <row r="9" spans="1:7" x14ac:dyDescent="0.35">
      <c r="A9" s="13" t="s">
        <v>530</v>
      </c>
      <c r="B9" s="14" t="s">
        <v>1361</v>
      </c>
      <c r="D9" s="13" t="str">
        <f>IF(NodesData[[#This Row],[Class Disambiguation]]="",NodesData[[#This Row],[Common Name]],NodesData[[#This Row],[Common Name]]&amp;" ("&amp;NodesData[[#This Row],[Class Disambiguation]]&amp;")")</f>
        <v>Access Control List</v>
      </c>
      <c r="F9" s="13" t="s">
        <v>531</v>
      </c>
      <c r="G9" s="20" t="str" cm="1">
        <f t="array" ref="G9">"n"&amp;SUBSTITUTE(CreateGuidString(),"-","_")</f>
        <v>nA05B68F8_D48C_4223_951E_0D009967C846</v>
      </c>
    </row>
    <row r="10" spans="1:7" x14ac:dyDescent="0.35">
      <c r="A10" s="13" t="s">
        <v>532</v>
      </c>
      <c r="B10" s="14" t="s">
        <v>1362</v>
      </c>
      <c r="D10" s="13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F10" s="13" t="s">
        <v>533</v>
      </c>
      <c r="G10" s="20" t="str" cm="1">
        <f t="array" ref="G10">"n"&amp;SUBSTITUTE(CreateGuidString(),"-","_")</f>
        <v>nAD73BEEF_D21E_4BA3_83D9_CBAAD35F1436</v>
      </c>
    </row>
    <row r="11" spans="1:7" x14ac:dyDescent="0.35">
      <c r="A11" s="13" t="s">
        <v>534</v>
      </c>
      <c r="B11" s="14" t="s">
        <v>1363</v>
      </c>
      <c r="D11" s="13" t="str">
        <f>IF(NodesData[[#This Row],[Class Disambiguation]]="",NodesData[[#This Row],[Common Name]],NodesData[[#This Row],[Common Name]]&amp;" ("&amp;NodesData[[#This Row],[Class Disambiguation]]&amp;")")</f>
        <v>Access Control Model</v>
      </c>
      <c r="F11" s="13" t="s">
        <v>535</v>
      </c>
      <c r="G11" s="20" t="str" cm="1">
        <f t="array" ref="G11">"n"&amp;SUBSTITUTE(CreateGuidString(),"-","_")</f>
        <v>nF57CE453_3CA2_4C19_A838_B1380FFD89B0</v>
      </c>
    </row>
    <row r="12" spans="1:7" x14ac:dyDescent="0.35">
      <c r="A12" s="13" t="s">
        <v>536</v>
      </c>
      <c r="B12" s="14" t="s">
        <v>1364</v>
      </c>
      <c r="D12" s="13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F12" s="13" t="s">
        <v>537</v>
      </c>
      <c r="G12" s="20" t="str" cm="1">
        <f t="array" ref="G12">"n"&amp;SUBSTITUTE(CreateGuidString(),"-","_")</f>
        <v>n359343E7_5A01_4392_AA52_347421C58AF5</v>
      </c>
    </row>
    <row r="13" spans="1:7" x14ac:dyDescent="0.35">
      <c r="A13" s="13" t="s">
        <v>1</v>
      </c>
      <c r="B13" s="14" t="s">
        <v>1365</v>
      </c>
      <c r="C13" s="12" t="s">
        <v>1831</v>
      </c>
      <c r="D13" s="13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F13" s="13" t="s">
        <v>538</v>
      </c>
      <c r="G13" s="20" t="str" cm="1">
        <f t="array" ref="G13">"n"&amp;SUBSTITUTE(CreateGuidString(),"-","_")</f>
        <v>nD361D768_E11A_48BD_A536_D10884FB661E</v>
      </c>
    </row>
    <row r="14" spans="1:7" x14ac:dyDescent="0.35">
      <c r="A14" s="13" t="s">
        <v>539</v>
      </c>
      <c r="B14" s="14" t="s">
        <v>1366</v>
      </c>
      <c r="D14" s="13" t="str">
        <f>IF(NodesData[[#This Row],[Class Disambiguation]]="",NodesData[[#This Row],[Common Name]],NodesData[[#This Row],[Common Name]]&amp;" ("&amp;NodesData[[#This Row],[Class Disambiguation]]&amp;")")</f>
        <v>Access Privilege</v>
      </c>
      <c r="F14" s="13" t="s">
        <v>540</v>
      </c>
      <c r="G14" s="20" t="str" cm="1">
        <f t="array" ref="G14">"n"&amp;SUBSTITUTE(CreateGuidString(),"-","_")</f>
        <v>nF87A7F6E_D82E_4286_8AE9_32388494CA71</v>
      </c>
    </row>
    <row r="15" spans="1:7" x14ac:dyDescent="0.35">
      <c r="A15" s="13" t="s">
        <v>541</v>
      </c>
      <c r="B15" s="14" t="s">
        <v>1367</v>
      </c>
      <c r="D15" s="13" t="str">
        <f>IF(NodesData[[#This Row],[Class Disambiguation]]="",NodesData[[#This Row],[Common Name]],NodesData[[#This Row],[Common Name]]&amp;" ("&amp;NodesData[[#This Row],[Class Disambiguation]]&amp;")")</f>
        <v>Access Right</v>
      </c>
      <c r="F15" s="13" t="s">
        <v>542</v>
      </c>
      <c r="G15" s="20" t="str" cm="1">
        <f t="array" ref="G15">"n"&amp;SUBSTITUTE(CreateGuidString(),"-","_")</f>
        <v>nFE7B07E5_C01B_4A7D_B896_187BE73F6AA4</v>
      </c>
    </row>
    <row r="16" spans="1:7" x14ac:dyDescent="0.35">
      <c r="A16" s="13" t="s">
        <v>543</v>
      </c>
      <c r="B16" s="14" t="s">
        <v>1368</v>
      </c>
      <c r="D16" s="13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F16" s="13" t="s">
        <v>544</v>
      </c>
      <c r="G16" s="20" t="str" cm="1">
        <f t="array" ref="G16">"n"&amp;SUBSTITUTE(CreateGuidString(),"-","_")</f>
        <v>n48A98DA8_668A_464A_9767_E0D39941D792</v>
      </c>
    </row>
    <row r="17" spans="1:7" x14ac:dyDescent="0.35">
      <c r="A17" s="13" t="s">
        <v>19</v>
      </c>
      <c r="B17" s="14" t="s">
        <v>1369</v>
      </c>
      <c r="D17" s="13" t="str">
        <f>IF(NodesData[[#This Row],[Class Disambiguation]]="",NodesData[[#This Row],[Common Name]],NodesData[[#This Row],[Common Name]]&amp;" ("&amp;NodesData[[#This Row],[Class Disambiguation]]&amp;")")</f>
        <v>Access Token</v>
      </c>
      <c r="F17" s="13" t="s">
        <v>545</v>
      </c>
      <c r="G17" s="20" t="str" cm="1">
        <f t="array" ref="G17">"n"&amp;SUBSTITUTE(CreateGuidString(),"-","_")</f>
        <v>n937F0D14_BDEC_4B8F_9F3E_083AE65B9736</v>
      </c>
    </row>
    <row r="18" spans="1:7" x14ac:dyDescent="0.35">
      <c r="A18" s="13" t="s">
        <v>20</v>
      </c>
      <c r="B18" s="14" t="s">
        <v>1370</v>
      </c>
      <c r="D18" s="13" t="str">
        <f>IF(NodesData[[#This Row],[Class Disambiguation]]="",NodesData[[#This Row],[Common Name]],NodesData[[#This Row],[Common Name]]&amp;" ("&amp;NodesData[[#This Row],[Class Disambiguation]]&amp;")")</f>
        <v>Account</v>
      </c>
      <c r="F18" s="13" t="s">
        <v>546</v>
      </c>
      <c r="G18" s="20" t="str" cm="1">
        <f t="array" ref="G18">"n"&amp;SUBSTITUTE(CreateGuidString(),"-","_")</f>
        <v>n4E8F2342_9176_4E65_A9B3_236D87B090F1</v>
      </c>
    </row>
    <row r="19" spans="1:7" x14ac:dyDescent="0.35">
      <c r="A19" s="13" t="s">
        <v>547</v>
      </c>
      <c r="B19" s="14" t="s">
        <v>1371</v>
      </c>
      <c r="D19" s="13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F19" s="13" t="s">
        <v>548</v>
      </c>
      <c r="G19" s="20" t="str" cm="1">
        <f t="array" ref="G19">"n"&amp;SUBSTITUTE(CreateGuidString(),"-","_")</f>
        <v>nBF5D5427_8960_4DF6_B731_07DB2C46F91C</v>
      </c>
    </row>
    <row r="20" spans="1:7" x14ac:dyDescent="0.35">
      <c r="A20" s="13" t="s">
        <v>549</v>
      </c>
      <c r="B20" s="14" t="s">
        <v>1372</v>
      </c>
      <c r="D20" s="13" t="str">
        <f>IF(NodesData[[#This Row],[Class Disambiguation]]="",NodesData[[#This Row],[Common Name]],NodesData[[#This Row],[Common Name]]&amp;" ("&amp;NodesData[[#This Row],[Class Disambiguation]]&amp;")")</f>
        <v>Account Management</v>
      </c>
      <c r="F20" s="13" t="s">
        <v>550</v>
      </c>
      <c r="G20" s="20" t="str" cm="1">
        <f t="array" ref="G20">"n"&amp;SUBSTITUTE(CreateGuidString(),"-","_")</f>
        <v>n41D725D6_8925_4C21_A234_7488D3C12220</v>
      </c>
    </row>
    <row r="21" spans="1:7" x14ac:dyDescent="0.35">
      <c r="A21" s="13" t="s">
        <v>4</v>
      </c>
      <c r="B21" s="14" t="s">
        <v>1373</v>
      </c>
      <c r="D21" s="13" t="str">
        <f>IF(NodesData[[#This Row],[Class Disambiguation]]="",NodesData[[#This Row],[Common Name]],NodesData[[#This Row],[Common Name]]&amp;" ("&amp;NodesData[[#This Row],[Class Disambiguation]]&amp;")")</f>
        <v>Account Takeover</v>
      </c>
      <c r="E21" s="19" t="s">
        <v>4</v>
      </c>
      <c r="F21" s="13" t="s">
        <v>551</v>
      </c>
      <c r="G21" s="20" t="str" cm="1">
        <f t="array" ref="G21">"n"&amp;SUBSTITUTE(CreateGuidString(),"-","_")</f>
        <v>nA330E56E_E78D_41AF_B2D7_051740F5AC9A</v>
      </c>
    </row>
    <row r="22" spans="1:7" x14ac:dyDescent="0.35">
      <c r="A22" s="32" t="s">
        <v>1959</v>
      </c>
      <c r="B22" s="14" t="s">
        <v>1932</v>
      </c>
      <c r="D22" s="19" t="str">
        <f>IF(NodesData[[#This Row],[Class Disambiguation]]="",NodesData[[#This Row],[Common Name]],NodesData[[#This Row],[Common Name]]&amp;" ("&amp;NodesData[[#This Row],[Class Disambiguation]]&amp;")")</f>
        <v>Perpetrator</v>
      </c>
      <c r="E22" s="19" t="s">
        <v>4</v>
      </c>
      <c r="G22" s="21" t="str" cm="1">
        <f t="array" ref="G22">"n"&amp;SUBSTITUTE(CreateGuidString(),"-","_")</f>
        <v>n0C544558_ECBC_4537_8CA1_074F5D67D8F6</v>
      </c>
    </row>
    <row r="23" spans="1:7" x14ac:dyDescent="0.35">
      <c r="A23" s="32" t="s">
        <v>1956</v>
      </c>
      <c r="B23" s="14" t="s">
        <v>1955</v>
      </c>
      <c r="D23" s="19" t="str">
        <f>IF(NodesData[[#This Row],[Class Disambiguation]]="",NodesData[[#This Row],[Common Name]],NodesData[[#This Row],[Common Name]]&amp;" ("&amp;NodesData[[#This Row],[Class Disambiguation]]&amp;")")</f>
        <v>Motivations</v>
      </c>
      <c r="E23" s="19" t="s">
        <v>4</v>
      </c>
      <c r="G23" s="21" t="str" cm="1">
        <f t="array" ref="G23">"n"&amp;SUBSTITUTE(CreateGuidString(),"-","_")</f>
        <v>n5C1A5742_3FE9_4B73_A1DB_8E624FCBD26E</v>
      </c>
    </row>
    <row r="24" spans="1:7" x14ac:dyDescent="0.35">
      <c r="A24" s="33" t="s">
        <v>1958</v>
      </c>
      <c r="B24" s="14" t="s">
        <v>1933</v>
      </c>
      <c r="D24" s="19" t="str">
        <f>IF(NodesData[[#This Row],[Class Disambiguation]]="",NodesData[[#This Row],[Common Name]],NodesData[[#This Row],[Common Name]]&amp;" ("&amp;NodesData[[#This Row],[Class Disambiguation]]&amp;")")</f>
        <v>Victim</v>
      </c>
      <c r="E24" s="19" t="s">
        <v>4</v>
      </c>
      <c r="G24" s="21" t="str" cm="1">
        <f t="array" ref="G24">"n"&amp;SUBSTITUTE(CreateGuidString(),"-","_")</f>
        <v>nC1A35599_3C3A_4028_8912_39459CE052D0</v>
      </c>
    </row>
    <row r="25" spans="1:7" x14ac:dyDescent="0.35">
      <c r="A25" s="13" t="s">
        <v>1264</v>
      </c>
      <c r="B25" s="14" t="s">
        <v>1374</v>
      </c>
      <c r="D25" s="13" t="str">
        <f>IF(NodesData[[#This Row],[Class Disambiguation]]="",NodesData[[#This Row],[Common Name]],NodesData[[#This Row],[Common Name]]&amp;" ("&amp;NodesData[[#This Row],[Class Disambiguation]]&amp;")")</f>
        <v>Accountability</v>
      </c>
      <c r="F25" s="13" t="s">
        <v>552</v>
      </c>
      <c r="G25" s="20" t="str" cm="1">
        <f t="array" ref="G25">"n"&amp;SUBSTITUTE(CreateGuidString(),"-","_")</f>
        <v>n9CBAA5F6_5D6D_43A6_A570_E0A4BB4B5A81</v>
      </c>
    </row>
    <row r="26" spans="1:7" x14ac:dyDescent="0.35">
      <c r="A26" s="13" t="s">
        <v>553</v>
      </c>
      <c r="B26" s="14" t="s">
        <v>1375</v>
      </c>
      <c r="D26" s="13" t="str">
        <f>IF(NodesData[[#This Row],[Class Disambiguation]]="",NodesData[[#This Row],[Common Name]],NodesData[[#This Row],[Common Name]]&amp;" ("&amp;NodesData[[#This Row],[Class Disambiguation]]&amp;")")</f>
        <v>Accreditation</v>
      </c>
      <c r="F26" s="13" t="s">
        <v>554</v>
      </c>
      <c r="G26" s="20" t="str" cm="1">
        <f t="array" ref="G26">"n"&amp;SUBSTITUTE(CreateGuidString(),"-","_")</f>
        <v>n4682AA1F_1392_4769_B066_5481B59929FD</v>
      </c>
    </row>
    <row r="27" spans="1:7" x14ac:dyDescent="0.35">
      <c r="A27" s="13" t="s">
        <v>555</v>
      </c>
      <c r="B27" s="14" t="s">
        <v>1376</v>
      </c>
      <c r="D27" s="13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F27" s="13" t="s">
        <v>556</v>
      </c>
      <c r="G27" s="20" t="str" cm="1">
        <f t="array" ref="G27">"n"&amp;SUBSTITUTE(CreateGuidString(),"-","_")</f>
        <v>n349F802D_1766_42AB_9E62_9C69D854A685</v>
      </c>
    </row>
    <row r="28" spans="1:7" x14ac:dyDescent="0.35">
      <c r="A28" s="13" t="s">
        <v>29</v>
      </c>
      <c r="B28" s="14" t="s">
        <v>1377</v>
      </c>
      <c r="C28" s="13" t="s">
        <v>1270</v>
      </c>
      <c r="D28" s="13" t="str">
        <f>IF(NodesData[[#This Row],[Class Disambiguation]]="",NodesData[[#This Row],[Common Name]],NodesData[[#This Row],[Common Name]]&amp;" ("&amp;NodesData[[#This Row],[Class Disambiguation]]&amp;")")</f>
        <v>AP (Acronym)</v>
      </c>
      <c r="F28" s="13" t="s">
        <v>557</v>
      </c>
      <c r="G28" s="20" t="str" cm="1">
        <f t="array" ref="G28">"n"&amp;SUBSTITUTE(CreateGuidString(),"-","_")</f>
        <v>nE8091F45_4BBD_4BA1_AE81_3D6FBDF77C7B</v>
      </c>
    </row>
    <row r="29" spans="1:7" x14ac:dyDescent="0.35">
      <c r="A29" s="13" t="s">
        <v>558</v>
      </c>
      <c r="B29" s="14" t="s">
        <v>1378</v>
      </c>
      <c r="D29" s="13" t="str">
        <f>IF(NodesData[[#This Row],[Class Disambiguation]]="",NodesData[[#This Row],[Common Name]],NodesData[[#This Row],[Common Name]]&amp;" ("&amp;NodesData[[#This Row],[Class Disambiguation]]&amp;")")</f>
        <v>Applicant</v>
      </c>
      <c r="F29" s="13" t="s">
        <v>559</v>
      </c>
      <c r="G29" s="20" t="str" cm="1">
        <f t="array" ref="G29">"n"&amp;SUBSTITUTE(CreateGuidString(),"-","_")</f>
        <v>n30562533_8693_426B_881E_9B31EB870F04</v>
      </c>
    </row>
    <row r="30" spans="1:7" x14ac:dyDescent="0.35">
      <c r="A30" s="13" t="s">
        <v>31</v>
      </c>
      <c r="B30" s="14" t="s">
        <v>1379</v>
      </c>
      <c r="D30" s="13" t="str">
        <f>IF(NodesData[[#This Row],[Class Disambiguation]]="",NodesData[[#This Row],[Common Name]],NodesData[[#This Row],[Common Name]]&amp;" ("&amp;NodesData[[#This Row],[Class Disambiguation]]&amp;")")</f>
        <v>Application</v>
      </c>
      <c r="F30" s="13" t="s">
        <v>560</v>
      </c>
      <c r="G30" s="20" t="str" cm="1">
        <f t="array" ref="G30">"n"&amp;SUBSTITUTE(CreateGuidString(),"-","_")</f>
        <v>nFA6FD5FD_D391_4B1B_A301_1875966C2454</v>
      </c>
    </row>
    <row r="31" spans="1:7" x14ac:dyDescent="0.35">
      <c r="A31" s="13" t="s">
        <v>561</v>
      </c>
      <c r="B31" s="14" t="s">
        <v>1380</v>
      </c>
      <c r="D31" s="13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F31" s="13" t="s">
        <v>562</v>
      </c>
      <c r="G31" s="20" t="str" cm="1">
        <f t="array" ref="G31">"n"&amp;SUBSTITUTE(CreateGuidString(),"-","_")</f>
        <v>n47225958_F29F_44E6_8023_BAF524BAB33A</v>
      </c>
    </row>
    <row r="32" spans="1:7" x14ac:dyDescent="0.35">
      <c r="A32" s="13" t="s">
        <v>563</v>
      </c>
      <c r="B32" s="14" t="s">
        <v>1381</v>
      </c>
      <c r="D32" s="13" t="str">
        <f>IF(NodesData[[#This Row],[Class Disambiguation]]="",NodesData[[#This Row],[Common Name]],NodesData[[#This Row],[Common Name]]&amp;" ("&amp;NodesData[[#This Row],[Class Disambiguation]]&amp;")")</f>
        <v>Application Instance</v>
      </c>
      <c r="F32" s="13" t="s">
        <v>564</v>
      </c>
      <c r="G32" s="20" t="str" cm="1">
        <f t="array" ref="G32">"n"&amp;SUBSTITUTE(CreateGuidString(),"-","_")</f>
        <v>nDC54D43A_F1F9_4BF0_AAC5_11A4B43CDDFB</v>
      </c>
    </row>
    <row r="33" spans="1:7" x14ac:dyDescent="0.35">
      <c r="A33" s="13" t="s">
        <v>35</v>
      </c>
      <c r="B33" s="14" t="s">
        <v>1383</v>
      </c>
      <c r="D33" s="13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F33" s="13" t="s">
        <v>565</v>
      </c>
      <c r="G33" s="20" t="str" cm="1">
        <f t="array" ref="G33">"n"&amp;SUBSTITUTE(CreateGuidString(),"-","_")</f>
        <v>n35726CBE_DD04_4451_BABC_B640F0355C87</v>
      </c>
    </row>
    <row r="34" spans="1:7" x14ac:dyDescent="0.35">
      <c r="A34" s="13" t="s">
        <v>566</v>
      </c>
      <c r="B34" s="14" t="s">
        <v>1384</v>
      </c>
      <c r="D34" s="13" t="str">
        <f>IF(NodesData[[#This Row],[Class Disambiguation]]="",NodesData[[#This Row],[Common Name]],NodesData[[#This Row],[Common Name]]&amp;" ("&amp;NodesData[[#This Row],[Class Disambiguation]]&amp;")")</f>
        <v>Application Package</v>
      </c>
      <c r="F34" s="13" t="s">
        <v>567</v>
      </c>
      <c r="G34" s="20" t="str" cm="1">
        <f t="array" ref="G34">"n"&amp;SUBSTITUTE(CreateGuidString(),"-","_")</f>
        <v>nF25D9A1D_8C35_45EF_8F1A_0E0120DD676C</v>
      </c>
    </row>
    <row r="35" spans="1:7" x14ac:dyDescent="0.35">
      <c r="A35" s="13" t="s">
        <v>37</v>
      </c>
      <c r="B35" s="14" t="s">
        <v>1385</v>
      </c>
      <c r="D35" s="13" t="str">
        <f>IF(NodesData[[#This Row],[Class Disambiguation]]="",NodesData[[#This Row],[Common Name]],NodesData[[#This Row],[Common Name]]&amp;" ("&amp;NodesData[[#This Row],[Class Disambiguation]]&amp;")")</f>
        <v>Application Program</v>
      </c>
      <c r="F35" s="13" t="s">
        <v>568</v>
      </c>
      <c r="G35" s="20" t="str" cm="1">
        <f t="array" ref="G35">"n"&amp;SUBSTITUTE(CreateGuidString(),"-","_")</f>
        <v>nFE50638F_14E9_46EB_B02C_25C6E4AF71B1</v>
      </c>
    </row>
    <row r="36" spans="1:7" x14ac:dyDescent="0.35">
      <c r="A36" s="13" t="s">
        <v>569</v>
      </c>
      <c r="B36" s="14" t="s">
        <v>1382</v>
      </c>
      <c r="D36" s="13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F36" s="13" t="s">
        <v>570</v>
      </c>
      <c r="G36" s="20" t="str" cm="1">
        <f t="array" ref="G36">"n"&amp;SUBSTITUTE(CreateGuidString(),"-","_")</f>
        <v>nD2893AB2_BA0E_485E_B807_AEE2E4CB5073</v>
      </c>
    </row>
    <row r="37" spans="1:7" x14ac:dyDescent="0.35">
      <c r="A37" s="13" t="s">
        <v>571</v>
      </c>
      <c r="B37" s="14" t="s">
        <v>1386</v>
      </c>
      <c r="D37" s="13" t="str">
        <f>IF(NodesData[[#This Row],[Class Disambiguation]]="",NodesData[[#This Row],[Common Name]],NodesData[[#This Row],[Common Name]]&amp;" ("&amp;NodesData[[#This Row],[Class Disambiguation]]&amp;")")</f>
        <v>Archive</v>
      </c>
      <c r="F37" s="13" t="s">
        <v>572</v>
      </c>
      <c r="G37" s="20" t="str" cm="1">
        <f t="array" ref="G37">"n"&amp;SUBSTITUTE(CreateGuidString(),"-","_")</f>
        <v>nB154F549_AF9D_4A9C_BEF0_F4E7C84A4F4F</v>
      </c>
    </row>
    <row r="38" spans="1:7" x14ac:dyDescent="0.35">
      <c r="A38" s="13" t="s">
        <v>39</v>
      </c>
      <c r="B38" s="14" t="s">
        <v>1387</v>
      </c>
      <c r="C38" s="13" t="s">
        <v>1270</v>
      </c>
      <c r="D38" s="13" t="str">
        <f>IF(NodesData[[#This Row],[Class Disambiguation]]="",NodesData[[#This Row],[Common Name]],NodesData[[#This Row],[Common Name]]&amp;" ("&amp;NodesData[[#This Row],[Class Disambiguation]]&amp;")")</f>
        <v>ARM (Acronym)</v>
      </c>
      <c r="F38" s="13" t="s">
        <v>573</v>
      </c>
      <c r="G38" s="20" t="str" cm="1">
        <f t="array" ref="G38">"n"&amp;SUBSTITUTE(CreateGuidString(),"-","_")</f>
        <v>nEB01D5E1_38FF_4251_A75E_72534EFCACA2</v>
      </c>
    </row>
    <row r="39" spans="1:7" x14ac:dyDescent="0.35">
      <c r="A39" s="13" t="s">
        <v>574</v>
      </c>
      <c r="B39" s="14" t="s">
        <v>1388</v>
      </c>
      <c r="D39" s="13" t="str">
        <f>IF(NodesData[[#This Row],[Class Disambiguation]]="",NodesData[[#This Row],[Common Name]],NodesData[[#This Row],[Common Name]]&amp;" ("&amp;NodesData[[#This Row],[Class Disambiguation]]&amp;")")</f>
        <v>Asset Custody</v>
      </c>
      <c r="F39" s="13" t="s">
        <v>575</v>
      </c>
      <c r="G39" s="20" t="str" cm="1">
        <f t="array" ref="G39">"n"&amp;SUBSTITUTE(CreateGuidString(),"-","_")</f>
        <v>n43C42B65_B8CA_48D5_A7C3_5D9DD4B307D4</v>
      </c>
    </row>
    <row r="40" spans="1:7" x14ac:dyDescent="0.35">
      <c r="A40" s="33" t="s">
        <v>1918</v>
      </c>
      <c r="B40" s="14" t="s">
        <v>1934</v>
      </c>
      <c r="D40" s="19" t="str">
        <f>IF(NodesData[[#This Row],[Class Disambiguation]]="",NodesData[[#This Row],[Common Name]],NodesData[[#This Row],[Common Name]]&amp;" ("&amp;NodesData[[#This Row],[Class Disambiguation]]&amp;")")</f>
        <v>Attack Class</v>
      </c>
      <c r="E40" s="19"/>
      <c r="G40" s="21" t="str" cm="1">
        <f t="array" ref="G40">"n"&amp;SUBSTITUTE(CreateGuidString(),"-","_")</f>
        <v>n17A8A953_CD7A_4216_8611_C9890D4488D5</v>
      </c>
    </row>
    <row r="41" spans="1:7" x14ac:dyDescent="0.35">
      <c r="A41" s="13" t="s">
        <v>41</v>
      </c>
      <c r="B41" s="14" t="s">
        <v>1389</v>
      </c>
      <c r="D41" s="13" t="str">
        <f>IF(NodesData[[#This Row],[Class Disambiguation]]="",NodesData[[#This Row],[Common Name]],NodesData[[#This Row],[Common Name]]&amp;" ("&amp;NodesData[[#This Row],[Class Disambiguation]]&amp;")")</f>
        <v>Attestation</v>
      </c>
      <c r="F41" s="13" t="s">
        <v>576</v>
      </c>
      <c r="G41" s="20" t="str" cm="1">
        <f t="array" ref="G41">"n"&amp;SUBSTITUTE(CreateGuidString(),"-","_")</f>
        <v>nA72BEB15_E59A_4AEC_865E_7E14BEC7ACDA</v>
      </c>
    </row>
    <row r="42" spans="1:7" x14ac:dyDescent="0.35">
      <c r="A42" s="13" t="s">
        <v>1265</v>
      </c>
      <c r="B42" s="14" t="s">
        <v>1390</v>
      </c>
      <c r="D42" s="13" t="str">
        <f>IF(NodesData[[#This Row],[Class Disambiguation]]="",NodesData[[#This Row],[Common Name]],NodesData[[#This Row],[Common Name]]&amp;" ("&amp;NodesData[[#This Row],[Class Disambiguation]]&amp;")")</f>
        <v>Attribute</v>
      </c>
      <c r="F42" s="13" t="s">
        <v>577</v>
      </c>
      <c r="G42" s="20" t="str" cm="1">
        <f t="array" ref="G42">"n"&amp;SUBSTITUTE(CreateGuidString(),"-","_")</f>
        <v>n2E6FD5C9_0E6C_43EC_82A6_4B6E69A7FE57</v>
      </c>
    </row>
    <row r="43" spans="1:7" x14ac:dyDescent="0.35">
      <c r="A43" s="13" t="s">
        <v>578</v>
      </c>
      <c r="B43" s="14" t="s">
        <v>1391</v>
      </c>
      <c r="D43" s="13" t="str">
        <f>IF(NodesData[[#This Row],[Class Disambiguation]]="",NodesData[[#This Row],[Common Name]],NodesData[[#This Row],[Common Name]]&amp;" ("&amp;NodesData[[#This Row],[Class Disambiguation]]&amp;")")</f>
        <v>Attribute Provider</v>
      </c>
      <c r="F43" s="13" t="s">
        <v>579</v>
      </c>
      <c r="G43" s="20" t="str" cm="1">
        <f t="array" ref="G43">"n"&amp;SUBSTITUTE(CreateGuidString(),"-","_")</f>
        <v>n2B3D7DD7_B87F_49B8_B332_094BE44E3321</v>
      </c>
    </row>
    <row r="44" spans="1:7" x14ac:dyDescent="0.35">
      <c r="A44" s="13" t="s">
        <v>580</v>
      </c>
      <c r="B44" s="14" t="s">
        <v>1392</v>
      </c>
      <c r="D44" s="13" t="str">
        <f>IF(NodesData[[#This Row],[Class Disambiguation]]="",NodesData[[#This Row],[Common Name]],NodesData[[#This Row],[Common Name]]&amp;" ("&amp;NodesData[[#This Row],[Class Disambiguation]]&amp;")")</f>
        <v>Authenticated Users</v>
      </c>
      <c r="F44" s="13" t="s">
        <v>581</v>
      </c>
      <c r="G44" s="20" t="str" cm="1">
        <f t="array" ref="G44">"n"&amp;SUBSTITUTE(CreateGuidString(),"-","_")</f>
        <v>n7E0766B2_0051_409E_B92B_19ABA5D45E18</v>
      </c>
    </row>
    <row r="45" spans="1:7" x14ac:dyDescent="0.35">
      <c r="A45" s="13" t="s">
        <v>582</v>
      </c>
      <c r="B45" s="14" t="s">
        <v>1393</v>
      </c>
      <c r="D45" s="13" t="str">
        <f>IF(NodesData[[#This Row],[Class Disambiguation]]="",NodesData[[#This Row],[Common Name]],NodesData[[#This Row],[Common Name]]&amp;" ("&amp;NodesData[[#This Row],[Class Disambiguation]]&amp;")")</f>
        <v>Authentication</v>
      </c>
      <c r="F45" s="13" t="s">
        <v>583</v>
      </c>
      <c r="G45" s="20" t="str" cm="1">
        <f t="array" ref="G45">"n"&amp;SUBSTITUTE(CreateGuidString(),"-","_")</f>
        <v>n9A205599_8C6E_49B2_A358_310BCF1E9513</v>
      </c>
    </row>
    <row r="46" spans="1:7" x14ac:dyDescent="0.35">
      <c r="A46" s="13" t="s">
        <v>0</v>
      </c>
      <c r="B46" s="14" t="s">
        <v>1394</v>
      </c>
      <c r="D46" s="13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F46" s="13" t="s">
        <v>584</v>
      </c>
      <c r="G46" s="20" t="str" cm="1">
        <f t="array" ref="G46">"n"&amp;SUBSTITUTE(CreateGuidString(),"-","_")</f>
        <v>n88E74033_C559_47C2_BD65_E0284DB3627E</v>
      </c>
    </row>
    <row r="47" spans="1:7" x14ac:dyDescent="0.35">
      <c r="A47" s="13" t="s">
        <v>1332</v>
      </c>
      <c r="B47" s="14" t="s">
        <v>1395</v>
      </c>
      <c r="D47" s="13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G47" s="20" t="str" cm="1">
        <f t="array" ref="G47">"n"&amp;SUBSTITUTE(CreateGuidString(),"-","_")</f>
        <v>nCB14C5D6_ECFA_493A_B22C_F15A098FC74C</v>
      </c>
    </row>
    <row r="48" spans="1:7" x14ac:dyDescent="0.35">
      <c r="A48" s="13" t="s">
        <v>585</v>
      </c>
      <c r="B48" s="14" t="s">
        <v>1396</v>
      </c>
      <c r="D48" s="13" t="str">
        <f>IF(NodesData[[#This Row],[Class Disambiguation]]="",NodesData[[#This Row],[Common Name]],NodesData[[#This Row],[Common Name]]&amp;" ("&amp;NodesData[[#This Row],[Class Disambiguation]]&amp;")")</f>
        <v>Authenticator</v>
      </c>
      <c r="F48" s="13" t="s">
        <v>586</v>
      </c>
      <c r="G48" s="20" t="str" cm="1">
        <f t="array" ref="G48">"n"&amp;SUBSTITUTE(CreateGuidString(),"-","_")</f>
        <v>n3F92B289_0F89_4D67_BE2F_E7E4026B9CCD</v>
      </c>
    </row>
    <row r="49" spans="1:7" x14ac:dyDescent="0.35">
      <c r="A49" s="13" t="s">
        <v>587</v>
      </c>
      <c r="B49" s="14" t="s">
        <v>1397</v>
      </c>
      <c r="D49" s="13" t="str">
        <f>IF(NodesData[[#This Row],[Class Disambiguation]]="",NodesData[[#This Row],[Common Name]],NodesData[[#This Row],[Common Name]]&amp;" ("&amp;NodesData[[#This Row],[Class Disambiguation]]&amp;")")</f>
        <v>Authority</v>
      </c>
      <c r="F49" s="13" t="s">
        <v>588</v>
      </c>
      <c r="G49" s="20" t="str" cm="1">
        <f t="array" ref="G49">"n"&amp;SUBSTITUTE(CreateGuidString(),"-","_")</f>
        <v>n64FE0825_289F_42CE_8B2A_2E402CF4C140</v>
      </c>
    </row>
    <row r="50" spans="1:7" x14ac:dyDescent="0.35">
      <c r="A50" s="13" t="s">
        <v>589</v>
      </c>
      <c r="B50" s="14" t="s">
        <v>1398</v>
      </c>
      <c r="D50" s="13" t="str">
        <f>IF(NodesData[[#This Row],[Class Disambiguation]]="",NodesData[[#This Row],[Common Name]],NodesData[[#This Row],[Common Name]]&amp;" ("&amp;NodesData[[#This Row],[Class Disambiguation]]&amp;")")</f>
        <v>Authorization</v>
      </c>
      <c r="F50" s="13" t="s">
        <v>590</v>
      </c>
      <c r="G50" s="20" t="str" cm="1">
        <f t="array" ref="G50">"n"&amp;SUBSTITUTE(CreateGuidString(),"-","_")</f>
        <v>n00363FDF_A077_43E4_8CAE_3D623278552A</v>
      </c>
    </row>
    <row r="51" spans="1:7" x14ac:dyDescent="0.35">
      <c r="A51" s="13" t="s">
        <v>50</v>
      </c>
      <c r="B51" s="14" t="s">
        <v>1409</v>
      </c>
      <c r="D51" s="13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F51" s="13" t="s">
        <v>591</v>
      </c>
      <c r="G51" s="20" t="str" cm="1">
        <f t="array" ref="G51">"n"&amp;SUBSTITUTE(CreateGuidString(),"-","_")</f>
        <v>nA03866E7_D978_4921_B3D7_474F54E922E4</v>
      </c>
    </row>
    <row r="52" spans="1:7" x14ac:dyDescent="0.35">
      <c r="A52" s="13" t="s">
        <v>592</v>
      </c>
      <c r="B52" s="14" t="s">
        <v>1399</v>
      </c>
      <c r="D52" s="13" t="str">
        <f>IF(NodesData[[#This Row],[Class Disambiguation]]="",NodesData[[#This Row],[Common Name]],NodesData[[#This Row],[Common Name]]&amp;" ("&amp;NodesData[[#This Row],[Class Disambiguation]]&amp;")")</f>
        <v>Awareness</v>
      </c>
      <c r="F52" s="13" t="s">
        <v>593</v>
      </c>
      <c r="G52" s="20" t="str" cm="1">
        <f t="array" ref="G52">"n"&amp;SUBSTITUTE(CreateGuidString(),"-","_")</f>
        <v>n182B43F8_1623_4649_AECD_F15E2C37BA2B</v>
      </c>
    </row>
    <row r="53" spans="1:7" x14ac:dyDescent="0.35">
      <c r="A53" s="13" t="s">
        <v>594</v>
      </c>
      <c r="B53" s="14" t="s">
        <v>1400</v>
      </c>
      <c r="D53" s="13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F53" s="13" t="s">
        <v>595</v>
      </c>
      <c r="G53" s="20" t="str" cm="1">
        <f t="array" ref="G53">"n"&amp;SUBSTITUTE(CreateGuidString(),"-","_")</f>
        <v>n01B36990_A341_45A4_9B89_A0B931966E64</v>
      </c>
    </row>
    <row r="54" spans="1:7" x14ac:dyDescent="0.35">
      <c r="A54" s="13" t="s">
        <v>596</v>
      </c>
      <c r="B54" s="14" t="s">
        <v>1401</v>
      </c>
      <c r="C54" s="13" t="s">
        <v>1270</v>
      </c>
      <c r="D54" s="13" t="str">
        <f>IF(NodesData[[#This Row],[Class Disambiguation]]="",NodesData[[#This Row],[Common Name]],NodesData[[#This Row],[Common Name]]&amp;" ("&amp;NodesData[[#This Row],[Class Disambiguation]]&amp;")")</f>
        <v>AWS ACL (Acronym)</v>
      </c>
      <c r="F54" s="13" t="s">
        <v>597</v>
      </c>
      <c r="G54" s="20" t="str" cm="1">
        <f t="array" ref="G54">"n"&amp;SUBSTITUTE(CreateGuidString(),"-","_")</f>
        <v>n8A4852BD_4376_4907_818C_D0DEF5470124</v>
      </c>
    </row>
    <row r="55" spans="1:7" x14ac:dyDescent="0.35">
      <c r="A55" s="13" t="s">
        <v>598</v>
      </c>
      <c r="B55" s="14" t="s">
        <v>1402</v>
      </c>
      <c r="C55" s="13" t="s">
        <v>1270</v>
      </c>
      <c r="D55" s="13" t="str">
        <f>IF(NodesData[[#This Row],[Class Disambiguation]]="",NodesData[[#This Row],[Common Name]],NodesData[[#This Row],[Common Name]]&amp;" ("&amp;NodesData[[#This Row],[Class Disambiguation]]&amp;")")</f>
        <v>AWS IAM (Acronym)</v>
      </c>
      <c r="F55" s="13" t="s">
        <v>599</v>
      </c>
      <c r="G55" s="20" t="str" cm="1">
        <f t="array" ref="G55">"n"&amp;SUBSTITUTE(CreateGuidString(),"-","_")</f>
        <v>nB7236136_3DFC_4934_AD7E_F7AF41830D20</v>
      </c>
    </row>
    <row r="56" spans="1:7" x14ac:dyDescent="0.35">
      <c r="A56" s="13" t="s">
        <v>600</v>
      </c>
      <c r="B56" s="14" t="s">
        <v>1403</v>
      </c>
      <c r="C56" s="13" t="s">
        <v>1270</v>
      </c>
      <c r="D56" s="13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F56" s="13" t="s">
        <v>601</v>
      </c>
      <c r="G56" s="20" t="str" cm="1">
        <f t="array" ref="G56">"n"&amp;SUBSTITUTE(CreateGuidString(),"-","_")</f>
        <v>n564BE104_8210_4024_BDB6_832DCC857CFE</v>
      </c>
    </row>
    <row r="57" spans="1:7" x14ac:dyDescent="0.35">
      <c r="A57" s="13" t="s">
        <v>602</v>
      </c>
      <c r="B57" s="14" t="s">
        <v>1404</v>
      </c>
      <c r="C57" s="13" t="s">
        <v>1270</v>
      </c>
      <c r="D57" s="13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F57" s="13" t="s">
        <v>603</v>
      </c>
      <c r="G57" s="20" t="str" cm="1">
        <f t="array" ref="G57">"n"&amp;SUBSTITUTE(CreateGuidString(),"-","_")</f>
        <v>n08502880_2DF0_4180_98D0_1FA510F4F9BA</v>
      </c>
    </row>
    <row r="58" spans="1:7" x14ac:dyDescent="0.35">
      <c r="A58" s="13" t="s">
        <v>604</v>
      </c>
      <c r="B58" s="14" t="s">
        <v>1405</v>
      </c>
      <c r="C58" s="13" t="s">
        <v>1270</v>
      </c>
      <c r="D58" s="13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F58" s="13" t="s">
        <v>605</v>
      </c>
      <c r="G58" s="20" t="str" cm="1">
        <f t="array" ref="G58">"n"&amp;SUBSTITUTE(CreateGuidString(),"-","_")</f>
        <v>nEBA49E14_984E_4810_A248_7E1A9EAE41AA</v>
      </c>
    </row>
    <row r="59" spans="1:7" x14ac:dyDescent="0.35">
      <c r="A59" s="13" t="s">
        <v>606</v>
      </c>
      <c r="B59" s="14" t="s">
        <v>1406</v>
      </c>
      <c r="C59" s="13" t="s">
        <v>1270</v>
      </c>
      <c r="D59" s="13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F59" s="13" t="s">
        <v>607</v>
      </c>
      <c r="G59" s="20" t="str" cm="1">
        <f t="array" ref="G59">"n"&amp;SUBSTITUTE(CreateGuidString(),"-","_")</f>
        <v>nD8F122A4_ABA5_43CD_BBDB_5C561D67FB76</v>
      </c>
    </row>
    <row r="60" spans="1:7" x14ac:dyDescent="0.35">
      <c r="A60" s="13" t="s">
        <v>608</v>
      </c>
      <c r="B60" s="14" t="s">
        <v>1407</v>
      </c>
      <c r="C60" s="13" t="s">
        <v>1270</v>
      </c>
      <c r="D60" s="13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F60" s="13" t="s">
        <v>609</v>
      </c>
      <c r="G60" s="20" t="str" cm="1">
        <f t="array" ref="G60">"n"&amp;SUBSTITUTE(CreateGuidString(),"-","_")</f>
        <v>nE2B2BFA3_EE2B_490B_A72C_0232F3A1535F</v>
      </c>
    </row>
    <row r="61" spans="1:7" x14ac:dyDescent="0.35">
      <c r="A61" s="13" t="s">
        <v>610</v>
      </c>
      <c r="B61" s="14" t="s">
        <v>1408</v>
      </c>
      <c r="C61" s="13" t="s">
        <v>1270</v>
      </c>
      <c r="D61" s="13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F61" s="13" t="s">
        <v>611</v>
      </c>
      <c r="G61" s="20" t="str" cm="1">
        <f t="array" ref="G61">"n"&amp;SUBSTITUTE(CreateGuidString(),"-","_")</f>
        <v>nEC54E990_920C_429C_8E89_C41005083B02</v>
      </c>
    </row>
    <row r="62" spans="1:7" x14ac:dyDescent="0.35">
      <c r="A62" s="13" t="s">
        <v>1301</v>
      </c>
      <c r="B62" s="14" t="s">
        <v>1412</v>
      </c>
      <c r="D62" s="13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G62" s="20" t="str" cm="1">
        <f t="array" ref="G62">"n"&amp;SUBSTITUTE(CreateGuidString(),"-","_")</f>
        <v>nAE1AB0FC_12A9_4C82_AC66_0657D68CA50B</v>
      </c>
    </row>
    <row r="63" spans="1:7" x14ac:dyDescent="0.35">
      <c r="A63" s="13" t="s">
        <v>612</v>
      </c>
      <c r="B63" s="14" t="s">
        <v>1410</v>
      </c>
      <c r="C63" s="13" t="s">
        <v>1270</v>
      </c>
      <c r="D63" s="13" t="str">
        <f>IF(NodesData[[#This Row],[Class Disambiguation]]="",NodesData[[#This Row],[Common Name]],NodesData[[#This Row],[Common Name]]&amp;" ("&amp;NodesData[[#This Row],[Class Disambiguation]]&amp;")")</f>
        <v>BankID (Acronym)</v>
      </c>
      <c r="F63" s="13" t="s">
        <v>613</v>
      </c>
      <c r="G63" s="20" t="str" cm="1">
        <f t="array" ref="G63">"n"&amp;SUBSTITUTE(CreateGuidString(),"-","_")</f>
        <v>nA4C52FD5_88A7_45B4_992F_21216AA11C26</v>
      </c>
    </row>
    <row r="64" spans="1:7" x14ac:dyDescent="0.35">
      <c r="A64" s="13" t="s">
        <v>614</v>
      </c>
      <c r="B64" s="14" t="s">
        <v>1411</v>
      </c>
      <c r="D64" s="13" t="str">
        <f>IF(NodesData[[#This Row],[Class Disambiguation]]="",NodesData[[#This Row],[Common Name]],NodesData[[#This Row],[Common Name]]&amp;" ("&amp;NodesData[[#This Row],[Class Disambiguation]]&amp;")")</f>
        <v>Basic Z Rule</v>
      </c>
      <c r="F64" s="13" t="s">
        <v>615</v>
      </c>
      <c r="G64" s="20" t="str" cm="1">
        <f t="array" ref="G64">"n"&amp;SUBSTITUTE(CreateGuidString(),"-","_")</f>
        <v>n1A33857B_6884_400C_AE5A_EEC6B5D55994</v>
      </c>
    </row>
    <row r="65" spans="1:7" x14ac:dyDescent="0.35">
      <c r="A65" s="13" t="s">
        <v>70</v>
      </c>
      <c r="B65" s="14" t="s">
        <v>1414</v>
      </c>
      <c r="D65" s="13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F65" s="13" t="s">
        <v>616</v>
      </c>
      <c r="G65" s="20" t="str" cm="1">
        <f t="array" ref="G65">"n"&amp;SUBSTITUTE(CreateGuidString(),"-","_")</f>
        <v>n2AB64843_80BC_4F16_AB6F_40728DD65EFC</v>
      </c>
    </row>
    <row r="66" spans="1:7" x14ac:dyDescent="0.35">
      <c r="A66" s="13" t="s">
        <v>72</v>
      </c>
      <c r="B66" s="14" t="s">
        <v>1413</v>
      </c>
      <c r="D66" s="13" t="str">
        <f>IF(NodesData[[#This Row],[Class Disambiguation]]="",NodesData[[#This Row],[Common Name]],NodesData[[#This Row],[Common Name]]&amp;" ("&amp;NodesData[[#This Row],[Class Disambiguation]]&amp;")")</f>
        <v>Bell-LaPadula Model</v>
      </c>
      <c r="F66" s="13" t="s">
        <v>617</v>
      </c>
      <c r="G66" s="20" t="str" cm="1">
        <f t="array" ref="G66">"n"&amp;SUBSTITUTE(CreateGuidString(),"-","_")</f>
        <v>nF2510CDF_B05E_4214_859F_8C8251A20925</v>
      </c>
    </row>
    <row r="67" spans="1:7" x14ac:dyDescent="0.35">
      <c r="A67" s="13" t="s">
        <v>1302</v>
      </c>
      <c r="B67" s="14" t="s">
        <v>1420</v>
      </c>
      <c r="D67" s="13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G67" s="20" t="str" cm="1">
        <f t="array" ref="G67">"n"&amp;SUBSTITUTE(CreateGuidString(),"-","_")</f>
        <v>n84DCD6BA_A46C_4693_AF11_AA6A4076AE48</v>
      </c>
    </row>
    <row r="68" spans="1:7" x14ac:dyDescent="0.35">
      <c r="A68" s="13" t="s">
        <v>618</v>
      </c>
      <c r="B68" s="14" t="s">
        <v>1415</v>
      </c>
      <c r="D68" s="13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F68" s="13" t="s">
        <v>619</v>
      </c>
      <c r="G68" s="20" t="str" cm="1">
        <f t="array" ref="G68">"n"&amp;SUBSTITUTE(CreateGuidString(),"-","_")</f>
        <v>n91222464_A8E2_4A18_A40A_7C5730BE3E40</v>
      </c>
    </row>
    <row r="69" spans="1:7" x14ac:dyDescent="0.35">
      <c r="A69" s="13" t="s">
        <v>620</v>
      </c>
      <c r="B69" s="14" t="s">
        <v>1416</v>
      </c>
      <c r="D69" s="13" t="str">
        <f>IF(NodesData[[#This Row],[Class Disambiguation]]="",NodesData[[#This Row],[Common Name]],NodesData[[#This Row],[Common Name]]&amp;" ("&amp;NodesData[[#This Row],[Class Disambiguation]]&amp;")")</f>
        <v>Biometrics</v>
      </c>
      <c r="F69" s="13" t="s">
        <v>621</v>
      </c>
      <c r="G69" s="20" t="str" cm="1">
        <f t="array" ref="G69">"n"&amp;SUBSTITUTE(CreateGuidString(),"-","_")</f>
        <v>nBC464A19_C3A2_4957_9FCC_57930B8C5F60</v>
      </c>
    </row>
    <row r="70" spans="1:7" x14ac:dyDescent="0.35">
      <c r="A70" s="13" t="s">
        <v>622</v>
      </c>
      <c r="B70" s="14" t="s">
        <v>1417</v>
      </c>
      <c r="D70" s="13" t="str">
        <f>IF(NodesData[[#This Row],[Class Disambiguation]]="",NodesData[[#This Row],[Common Name]],NodesData[[#This Row],[Common Name]]&amp;" ("&amp;NodesData[[#This Row],[Class Disambiguation]]&amp;")")</f>
        <v>Birth Certificate</v>
      </c>
      <c r="F70" s="13" t="s">
        <v>623</v>
      </c>
      <c r="G70" s="20" t="str" cm="1">
        <f t="array" ref="G70">"n"&amp;SUBSTITUTE(CreateGuidString(),"-","_")</f>
        <v>n412B80CA_A0F7_4972_BE94_37C4E85CE3B9</v>
      </c>
    </row>
    <row r="71" spans="1:7" x14ac:dyDescent="0.35">
      <c r="A71" s="13" t="s">
        <v>624</v>
      </c>
      <c r="B71" s="14" t="s">
        <v>1418</v>
      </c>
      <c r="D71" s="13" t="str">
        <f>IF(NodesData[[#This Row],[Class Disambiguation]]="",NodesData[[#This Row],[Common Name]],NodesData[[#This Row],[Common Name]]&amp;" ("&amp;NodesData[[#This Row],[Class Disambiguation]]&amp;")")</f>
        <v>Blast Radius</v>
      </c>
      <c r="F71" s="13" t="s">
        <v>625</v>
      </c>
      <c r="G71" s="20" t="str" cm="1">
        <f t="array" ref="G71">"n"&amp;SUBSTITUTE(CreateGuidString(),"-","_")</f>
        <v>nFB2F7825_6CA8_417C_A5AE_BF555D650E9F</v>
      </c>
    </row>
    <row r="72" spans="1:7" x14ac:dyDescent="0.35">
      <c r="A72" s="13" t="s">
        <v>79</v>
      </c>
      <c r="B72" s="14" t="s">
        <v>1419</v>
      </c>
      <c r="D72" s="13" t="str">
        <f>IF(NodesData[[#This Row],[Class Disambiguation]]="",NodesData[[#This Row],[Common Name]],NodesData[[#This Row],[Common Name]]&amp;" ("&amp;NodesData[[#This Row],[Class Disambiguation]]&amp;")")</f>
        <v>Boundary Control</v>
      </c>
      <c r="F72" s="13" t="s">
        <v>626</v>
      </c>
      <c r="G72" s="20" t="str" cm="1">
        <f t="array" ref="G72">"n"&amp;SUBSTITUTE(CreateGuidString(),"-","_")</f>
        <v>n333EE9E9_F116_4DA4_8465_2407D619FC3B</v>
      </c>
    </row>
    <row r="73" spans="1:7" x14ac:dyDescent="0.35">
      <c r="A73" s="13" t="s">
        <v>1303</v>
      </c>
      <c r="B73" s="14" t="s">
        <v>1428</v>
      </c>
      <c r="D73" s="13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G73" s="20" t="str" cm="1">
        <f t="array" ref="G73">"n"&amp;SUBSTITUTE(CreateGuidString(),"-","_")</f>
        <v>n44B292B6_D9A4_4B12_9F99_7A0BC0253115</v>
      </c>
    </row>
    <row r="74" spans="1:7" x14ac:dyDescent="0.35">
      <c r="A74" s="13" t="s">
        <v>627</v>
      </c>
      <c r="B74" s="14" t="s">
        <v>1421</v>
      </c>
      <c r="D74" s="13" t="str">
        <f>IF(NodesData[[#This Row],[Class Disambiguation]]="",NodesData[[#This Row],[Common Name]],NodesData[[#This Row],[Common Name]]&amp;" ("&amp;NodesData[[#This Row],[Class Disambiguation]]&amp;")")</f>
        <v>Broker</v>
      </c>
      <c r="F74" s="13" t="s">
        <v>628</v>
      </c>
      <c r="G74" s="20" t="str" cm="1">
        <f t="array" ref="G74">"n"&amp;SUBSTITUTE(CreateGuidString(),"-","_")</f>
        <v>n1E73FF98_224C_4C23_9300_B9FB615D6932</v>
      </c>
    </row>
    <row r="75" spans="1:7" x14ac:dyDescent="0.35">
      <c r="A75" s="13" t="s">
        <v>81</v>
      </c>
      <c r="B75" s="14" t="s">
        <v>1422</v>
      </c>
      <c r="D75" s="13" t="str">
        <f>IF(NodesData[[#This Row],[Class Disambiguation]]="",NodesData[[#This Row],[Common Name]],NodesData[[#This Row],[Common Name]]&amp;" ("&amp;NodesData[[#This Row],[Class Disambiguation]]&amp;")")</f>
        <v>Brute Force Attack</v>
      </c>
      <c r="F75" s="13" t="s">
        <v>629</v>
      </c>
      <c r="G75" s="20" t="str" cm="1">
        <f t="array" ref="G75">"n"&amp;SUBSTITUTE(CreateGuidString(),"-","_")</f>
        <v>n1650E2AC_48C1_4B46_815A_14E0CC498449</v>
      </c>
    </row>
    <row r="76" spans="1:7" x14ac:dyDescent="0.35">
      <c r="A76" s="13" t="s">
        <v>630</v>
      </c>
      <c r="B76" s="14" t="s">
        <v>1423</v>
      </c>
      <c r="D76" s="13" t="str">
        <f>IF(NodesData[[#This Row],[Class Disambiguation]]="",NodesData[[#This Row],[Common Name]],NodesData[[#This Row],[Common Name]]&amp;" ("&amp;NodesData[[#This Row],[Class Disambiguation]]&amp;")")</f>
        <v>Built-in</v>
      </c>
      <c r="F76" s="13" t="s">
        <v>631</v>
      </c>
      <c r="G76" s="20" t="str" cm="1">
        <f t="array" ref="G76">"n"&amp;SUBSTITUTE(CreateGuidString(),"-","_")</f>
        <v>nA4BDACA8_CEAE_4566_A2D4_0D9DCE0C0AF5</v>
      </c>
    </row>
    <row r="77" spans="1:7" x14ac:dyDescent="0.35">
      <c r="A77" s="13" t="s">
        <v>83</v>
      </c>
      <c r="B77" s="14" t="s">
        <v>1424</v>
      </c>
      <c r="C77" s="13" t="s">
        <v>1270</v>
      </c>
      <c r="D77" s="13" t="str">
        <f>IF(NodesData[[#This Row],[Class Disambiguation]]="",NodesData[[#This Row],[Common Name]],NodesData[[#This Row],[Common Name]]&amp;" ("&amp;NodesData[[#This Row],[Class Disambiguation]]&amp;")")</f>
        <v>BZR (Acronym)</v>
      </c>
      <c r="F77" s="13" t="s">
        <v>632</v>
      </c>
      <c r="G77" s="20" t="str" cm="1">
        <f t="array" ref="G77">"n"&amp;SUBSTITUTE(CreateGuidString(),"-","_")</f>
        <v>n03959027_6B5F_4F66_8274_2236031A69C1</v>
      </c>
    </row>
    <row r="78" spans="1:7" x14ac:dyDescent="0.35">
      <c r="A78" s="13" t="s">
        <v>84</v>
      </c>
      <c r="B78" s="14" t="s">
        <v>1425</v>
      </c>
      <c r="D78" s="13" t="str">
        <f>IF(NodesData[[#This Row],[Class Disambiguation]]="",NodesData[[#This Row],[Common Name]],NodesData[[#This Row],[Common Name]]&amp;" ("&amp;NodesData[[#This Row],[Class Disambiguation]]&amp;")")</f>
        <v>Cached Credential</v>
      </c>
      <c r="F78" s="13" t="s">
        <v>633</v>
      </c>
      <c r="G78" s="20" t="str" cm="1">
        <f t="array" ref="G78">"n"&amp;SUBSTITUTE(CreateGuidString(),"-","_")</f>
        <v>n3A812ACA_C927_4289_9F6B_5E71E8E37419</v>
      </c>
    </row>
    <row r="79" spans="1:7" x14ac:dyDescent="0.35">
      <c r="A79" s="13" t="s">
        <v>1348</v>
      </c>
      <c r="B79" s="14" t="s">
        <v>1912</v>
      </c>
      <c r="D79" s="19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E79" s="19"/>
      <c r="G79" s="21" t="str" cm="1">
        <f t="array" ref="G79">"n"&amp;SUBSTITUTE(CreateGuidString(),"-","_")</f>
        <v>nC90CB783_0BE6_4F9E_A2C8_8754443AF3E7</v>
      </c>
    </row>
    <row r="80" spans="1:7" x14ac:dyDescent="0.35">
      <c r="A80" s="13" t="s">
        <v>1349</v>
      </c>
      <c r="B80" s="14" t="s">
        <v>1913</v>
      </c>
      <c r="D80" s="19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E80" s="19"/>
      <c r="G80" s="21" t="str" cm="1">
        <f t="array" ref="G80">"n"&amp;SUBSTITUTE(CreateGuidString(),"-","_")</f>
        <v>n21FB594C_E6DE_4440_9F2B_211AF9F53D87</v>
      </c>
    </row>
    <row r="81" spans="1:7" x14ac:dyDescent="0.35">
      <c r="A81" s="13" t="s">
        <v>1350</v>
      </c>
      <c r="B81" s="14" t="s">
        <v>1914</v>
      </c>
      <c r="D81" s="19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E81" s="19"/>
      <c r="G81" s="21" t="str" cm="1">
        <f t="array" ref="G81">"n"&amp;SUBSTITUTE(CreateGuidString(),"-","_")</f>
        <v>nDDD08674_674F_4526_8A62_90D8B483EC76</v>
      </c>
    </row>
    <row r="82" spans="1:7" x14ac:dyDescent="0.35">
      <c r="A82" s="13" t="s">
        <v>1347</v>
      </c>
      <c r="B82" s="14" t="s">
        <v>1915</v>
      </c>
      <c r="D82" s="19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E82" s="19"/>
      <c r="G82" s="21" t="str" cm="1">
        <f t="array" ref="G82">"n"&amp;SUBSTITUTE(CreateGuidString(),"-","_")</f>
        <v>nA16DA813_66AC_4E9E_8BAA_D02C1B8D991A</v>
      </c>
    </row>
    <row r="83" spans="1:7" x14ac:dyDescent="0.35">
      <c r="A83" s="32" t="s">
        <v>1927</v>
      </c>
      <c r="B83" s="14" t="s">
        <v>1935</v>
      </c>
      <c r="D83" s="19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E83" s="19"/>
      <c r="G83" s="21" t="str" cm="1">
        <f t="array" ref="G83">"n"&amp;SUBSTITUTE(CreateGuidString(),"-","_")</f>
        <v>n680C7C64_1F21_467F_BC2A_29AE50EBD226</v>
      </c>
    </row>
    <row r="84" spans="1:7" x14ac:dyDescent="0.35">
      <c r="A84" s="13" t="s">
        <v>88</v>
      </c>
      <c r="B84" s="14" t="s">
        <v>1426</v>
      </c>
      <c r="C84" s="13" t="s">
        <v>1270</v>
      </c>
      <c r="D84" s="13" t="str">
        <f>IF(NodesData[[#This Row],[Class Disambiguation]]="",NodesData[[#This Row],[Common Name]],NodesData[[#This Row],[Common Name]]&amp;" ("&amp;NodesData[[#This Row],[Class Disambiguation]]&amp;")")</f>
        <v>CDD (Acronym)</v>
      </c>
      <c r="F84" s="13" t="s">
        <v>634</v>
      </c>
      <c r="G84" s="20" t="str" cm="1">
        <f t="array" ref="G84">"n"&amp;SUBSTITUTE(CreateGuidString(),"-","_")</f>
        <v>n3E693B45_EA38_4363_B79A_6ED10153D676</v>
      </c>
    </row>
    <row r="85" spans="1:7" x14ac:dyDescent="0.35">
      <c r="A85" s="13" t="s">
        <v>635</v>
      </c>
      <c r="B85" s="14" t="s">
        <v>1427</v>
      </c>
      <c r="D85" s="13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F85" s="13" t="s">
        <v>636</v>
      </c>
      <c r="G85" s="20" t="str" cm="1">
        <f t="array" ref="G85">"n"&amp;SUBSTITUTE(CreateGuidString(),"-","_")</f>
        <v>n700B4FB7_F9C7_46B3_98FF_6FD7BA9CCC20</v>
      </c>
    </row>
    <row r="86" spans="1:7" x14ac:dyDescent="0.35">
      <c r="A86" s="13" t="s">
        <v>1316</v>
      </c>
      <c r="B86" s="14" t="s">
        <v>1435</v>
      </c>
      <c r="D86" s="13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G86" s="20" t="str" cm="1">
        <f t="array" ref="G86">"n"&amp;SUBSTITUTE(CreateGuidString(),"-","_")</f>
        <v>n0A5DAD59_F37E_461E_B612_75E1587E1ABF</v>
      </c>
    </row>
    <row r="87" spans="1:7" x14ac:dyDescent="0.35">
      <c r="A87" s="13" t="s">
        <v>637</v>
      </c>
      <c r="B87" s="14" t="s">
        <v>1429</v>
      </c>
      <c r="D87" s="13" t="str">
        <f>IF(NodesData[[#This Row],[Class Disambiguation]]="",NodesData[[#This Row],[Common Name]],NodesData[[#This Row],[Common Name]]&amp;" ("&amp;NodesData[[#This Row],[Class Disambiguation]]&amp;")")</f>
        <v>Certification</v>
      </c>
      <c r="F87" s="13" t="s">
        <v>638</v>
      </c>
      <c r="G87" s="20" t="str" cm="1">
        <f t="array" ref="G87">"n"&amp;SUBSTITUTE(CreateGuidString(),"-","_")</f>
        <v>n668722D0_A333_4802_B99D_442DE640092B</v>
      </c>
    </row>
    <row r="88" spans="1:7" x14ac:dyDescent="0.35">
      <c r="A88" s="13" t="s">
        <v>91</v>
      </c>
      <c r="B88" s="14" t="s">
        <v>1430</v>
      </c>
      <c r="C88" s="13" t="s">
        <v>1270</v>
      </c>
      <c r="D88" s="13" t="str">
        <f>IF(NodesData[[#This Row],[Class Disambiguation]]="",NodesData[[#This Row],[Common Name]],NodesData[[#This Row],[Common Name]]&amp;" ("&amp;NodesData[[#This Row],[Class Disambiguation]]&amp;")")</f>
        <v>CIBA (Acronym)</v>
      </c>
      <c r="F88" s="13" t="s">
        <v>639</v>
      </c>
      <c r="G88" s="20" t="str" cm="1">
        <f t="array" ref="G88">"n"&amp;SUBSTITUTE(CreateGuidString(),"-","_")</f>
        <v>n2B693E10_9853_4B46_A02B_9804A12D17F0</v>
      </c>
    </row>
    <row r="89" spans="1:7" x14ac:dyDescent="0.35">
      <c r="A89" s="13" t="s">
        <v>92</v>
      </c>
      <c r="B89" s="14" t="s">
        <v>1431</v>
      </c>
      <c r="D89" s="13" t="str">
        <f>IF(NodesData[[#This Row],[Class Disambiguation]]="",NodesData[[#This Row],[Common Name]],NodesData[[#This Row],[Common Name]]&amp;" ("&amp;NodesData[[#This Row],[Class Disambiguation]]&amp;")")</f>
        <v>Claim</v>
      </c>
      <c r="F89" s="13" t="s">
        <v>640</v>
      </c>
      <c r="G89" s="20" t="str" cm="1">
        <f t="array" ref="G89">"n"&amp;SUBSTITUTE(CreateGuidString(),"-","_")</f>
        <v>n1079F7B1_EBD0_43A7_B4D5_031BB8EB9715</v>
      </c>
    </row>
    <row r="90" spans="1:7" x14ac:dyDescent="0.35">
      <c r="A90" s="13" t="s">
        <v>94</v>
      </c>
      <c r="B90" s="14" t="s">
        <v>1432</v>
      </c>
      <c r="D90" s="13" t="str">
        <f>IF(NodesData[[#This Row],[Class Disambiguation]]="",NodesData[[#This Row],[Common Name]],NodesData[[#This Row],[Common Name]]&amp;" ("&amp;NodesData[[#This Row],[Class Disambiguation]]&amp;")")</f>
        <v>Claim Registry Model</v>
      </c>
      <c r="F90" s="13" t="s">
        <v>641</v>
      </c>
      <c r="G90" s="20" t="str" cm="1">
        <f t="array" ref="G90">"n"&amp;SUBSTITUTE(CreateGuidString(),"-","_")</f>
        <v>nAC5A674B_BAC8_4BE8_8893_CF2D031AD3BC</v>
      </c>
    </row>
    <row r="91" spans="1:7" x14ac:dyDescent="0.35">
      <c r="A91" s="13" t="s">
        <v>642</v>
      </c>
      <c r="B91" s="14" t="s">
        <v>1433</v>
      </c>
      <c r="D91" s="13" t="str">
        <f>IF(NodesData[[#This Row],[Class Disambiguation]]="",NodesData[[#This Row],[Common Name]],NodesData[[#This Row],[Common Name]]&amp;" ("&amp;NodesData[[#This Row],[Class Disambiguation]]&amp;")")</f>
        <v>Claimant</v>
      </c>
      <c r="F91" s="13" t="s">
        <v>643</v>
      </c>
      <c r="G91" s="20" t="str" cm="1">
        <f t="array" ref="G91">"n"&amp;SUBSTITUTE(CreateGuidString(),"-","_")</f>
        <v>n65AA6DFC_3260_4FC2_A4FA_3CDC7C3CDDBD</v>
      </c>
    </row>
    <row r="92" spans="1:7" x14ac:dyDescent="0.35">
      <c r="A92" s="13" t="s">
        <v>644</v>
      </c>
      <c r="B92" s="14" t="s">
        <v>1434</v>
      </c>
      <c r="D92" s="13" t="str">
        <f>IF(NodesData[[#This Row],[Class Disambiguation]]="",NodesData[[#This Row],[Common Name]],NodesData[[#This Row],[Common Name]]&amp;" ("&amp;NodesData[[#This Row],[Class Disambiguation]]&amp;")")</f>
        <v>Classification</v>
      </c>
      <c r="F92" s="13" t="s">
        <v>645</v>
      </c>
      <c r="G92" s="20" t="str" cm="1">
        <f t="array" ref="G92">"n"&amp;SUBSTITUTE(CreateGuidString(),"-","_")</f>
        <v>n4A4B2D16_D543_40FB_BDB9_10DB71859495</v>
      </c>
    </row>
    <row r="93" spans="1:7" x14ac:dyDescent="0.35">
      <c r="A93" s="13" t="s">
        <v>96</v>
      </c>
      <c r="B93" s="14" t="s">
        <v>1444</v>
      </c>
      <c r="D93" s="13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F93" s="13" t="s">
        <v>646</v>
      </c>
      <c r="G93" s="20" t="str" cm="1">
        <f t="array" ref="G93">"n"&amp;SUBSTITUTE(CreateGuidString(),"-","_")</f>
        <v>nA9634CDB_A05E_4FAA_AA57_1EB0BE495B78</v>
      </c>
    </row>
    <row r="94" spans="1:7" x14ac:dyDescent="0.35">
      <c r="A94" s="13" t="s">
        <v>647</v>
      </c>
      <c r="B94" s="14" t="s">
        <v>1436</v>
      </c>
      <c r="D94" s="13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F94" s="13" t="s">
        <v>648</v>
      </c>
      <c r="G94" s="20" t="str" cm="1">
        <f t="array" ref="G94">"n"&amp;SUBSTITUTE(CreateGuidString(),"-","_")</f>
        <v>n7D34A98A_9E66_4B98_9879_C37721D69EBB</v>
      </c>
    </row>
    <row r="95" spans="1:7" x14ac:dyDescent="0.35">
      <c r="A95" s="13" t="s">
        <v>649</v>
      </c>
      <c r="B95" s="14" t="s">
        <v>1437</v>
      </c>
      <c r="C95" s="13" t="s">
        <v>1270</v>
      </c>
      <c r="D95" s="13" t="str">
        <f>IF(NodesData[[#This Row],[Class Disambiguation]]="",NodesData[[#This Row],[Common Name]],NodesData[[#This Row],[Common Name]]&amp;" ("&amp;NodesData[[#This Row],[Class Disambiguation]]&amp;")")</f>
        <v>Cloud IdMS (Acronym)</v>
      </c>
      <c r="F95" s="13" t="s">
        <v>650</v>
      </c>
      <c r="G95" s="20" t="str" cm="1">
        <f t="array" ref="G95">"n"&amp;SUBSTITUTE(CreateGuidString(),"-","_")</f>
        <v>n55B294B3_EF81_4D99_9906_28E8DE4D0843</v>
      </c>
    </row>
    <row r="96" spans="1:7" x14ac:dyDescent="0.35">
      <c r="A96" s="13" t="s">
        <v>651</v>
      </c>
      <c r="B96" s="14" t="s">
        <v>1438</v>
      </c>
      <c r="D96" s="13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F96" s="13" t="s">
        <v>652</v>
      </c>
      <c r="G96" s="20" t="str" cm="1">
        <f t="array" ref="G96">"n"&amp;SUBSTITUTE(CreateGuidString(),"-","_")</f>
        <v>nF1121EAD_6A96_4602_8CF3_3A65E3410B53</v>
      </c>
    </row>
    <row r="97" spans="1:7" x14ac:dyDescent="0.35">
      <c r="A97" s="13" t="s">
        <v>653</v>
      </c>
      <c r="B97" s="14" t="s">
        <v>1439</v>
      </c>
      <c r="D97" s="13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F97" s="13" t="s">
        <v>654</v>
      </c>
      <c r="G97" s="20" t="str" cm="1">
        <f t="array" ref="G97">"n"&amp;SUBSTITUTE(CreateGuidString(),"-","_")</f>
        <v>n26E4882D_DA15_4CFA_954F_9FB5575B9AB6</v>
      </c>
    </row>
    <row r="98" spans="1:7" x14ac:dyDescent="0.35">
      <c r="A98" s="13" t="s">
        <v>101</v>
      </c>
      <c r="B98" s="14" t="s">
        <v>1440</v>
      </c>
      <c r="D98" s="13" t="str">
        <f>IF(NodesData[[#This Row],[Class Disambiguation]]="",NodesData[[#This Row],[Common Name]],NodesData[[#This Row],[Common Name]]&amp;" ("&amp;NodesData[[#This Row],[Class Disambiguation]]&amp;")")</f>
        <v>Cloud Service User</v>
      </c>
      <c r="F98" s="13" t="s">
        <v>655</v>
      </c>
      <c r="G98" s="20" t="str" cm="1">
        <f t="array" ref="G98">"n"&amp;SUBSTITUTE(CreateGuidString(),"-","_")</f>
        <v>n627B251F_BDBF_4F04_BDE8_F8A08888B469</v>
      </c>
    </row>
    <row r="99" spans="1:7" x14ac:dyDescent="0.35">
      <c r="A99" s="12" t="s">
        <v>1352</v>
      </c>
      <c r="B99" s="14" t="s">
        <v>1916</v>
      </c>
      <c r="D99" s="19" t="str">
        <f>IF(NodesData[[#This Row],[Class Disambiguation]]="",NodesData[[#This Row],[Common Name]],NodesData[[#This Row],[Common Name]]&amp;" ("&amp;NodesData[[#This Row],[Class Disambiguation]]&amp;")")</f>
        <v>Coherent Whole</v>
      </c>
      <c r="E99" s="19"/>
      <c r="G99" s="21" t="str" cm="1">
        <f t="array" ref="G99">"n"&amp;SUBSTITUTE(CreateGuidString(),"-","_")</f>
        <v>nF67891A4_B09E_4956_91C4_63EBCE3BD2D0</v>
      </c>
    </row>
    <row r="100" spans="1:7" x14ac:dyDescent="0.35">
      <c r="A100" s="13" t="s">
        <v>656</v>
      </c>
      <c r="B100" s="14" t="s">
        <v>1441</v>
      </c>
      <c r="D100" s="13" t="str">
        <f>IF(NodesData[[#This Row],[Class Disambiguation]]="",NodesData[[#This Row],[Common Name]],NodesData[[#This Row],[Common Name]]&amp;" ("&amp;NodesData[[#This Row],[Class Disambiguation]]&amp;")")</f>
        <v>Commission Error</v>
      </c>
      <c r="F100" s="13" t="s">
        <v>657</v>
      </c>
      <c r="G100" s="20" t="str" cm="1">
        <f t="array" ref="G100">"n"&amp;SUBSTITUTE(CreateGuidString(),"-","_")</f>
        <v>n869AE5BF_BB29_4226_AB28_4968650CCFC2</v>
      </c>
    </row>
    <row r="101" spans="1:7" x14ac:dyDescent="0.35">
      <c r="A101" s="13" t="s">
        <v>658</v>
      </c>
      <c r="B101" s="14" t="s">
        <v>1442</v>
      </c>
      <c r="D101" s="13" t="str">
        <f>IF(NodesData[[#This Row],[Class Disambiguation]]="",NodesData[[#This Row],[Common Name]],NodesData[[#This Row],[Common Name]]&amp;" ("&amp;NodesData[[#This Row],[Class Disambiguation]]&amp;")")</f>
        <v>Compromised Identity</v>
      </c>
      <c r="F101" s="13" t="s">
        <v>659</v>
      </c>
      <c r="G101" s="20" t="str" cm="1">
        <f t="array" ref="G101">"n"&amp;SUBSTITUTE(CreateGuidString(),"-","_")</f>
        <v>n76304094_10E5_4F5A_940A_50D45E881316</v>
      </c>
    </row>
    <row r="102" spans="1:7" x14ac:dyDescent="0.35">
      <c r="A102" s="13" t="s">
        <v>660</v>
      </c>
      <c r="B102" s="14" t="s">
        <v>1443</v>
      </c>
      <c r="D102" s="13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F102" s="13" t="s">
        <v>661</v>
      </c>
      <c r="G102" s="20" t="str" cm="1">
        <f t="array" ref="G102">"n"&amp;SUBSTITUTE(CreateGuidString(),"-","_")</f>
        <v>n178003A6_DD2C_4A0A_84B5_927C214A20CC</v>
      </c>
    </row>
    <row r="103" spans="1:7" x14ac:dyDescent="0.35">
      <c r="A103" s="13" t="s">
        <v>662</v>
      </c>
      <c r="B103" s="14" t="s">
        <v>1478</v>
      </c>
      <c r="D103" s="13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F103" s="13" t="s">
        <v>663</v>
      </c>
      <c r="G103" s="20" t="str" cm="1">
        <f t="array" ref="G103">"n"&amp;SUBSTITUTE(CreateGuidString(),"-","_")</f>
        <v>n89BCF332_06F8_40F3_B738_C4D27E6D0010</v>
      </c>
    </row>
    <row r="104" spans="1:7" x14ac:dyDescent="0.35">
      <c r="A104" s="12" t="s">
        <v>1337</v>
      </c>
      <c r="B104" s="14" t="s">
        <v>1850</v>
      </c>
      <c r="D104" s="19" t="str">
        <f>IF(NodesData[[#This Row],[Class Disambiguation]]="",NodesData[[#This Row],[Common Name]],NodesData[[#This Row],[Common Name]]&amp;" ("&amp;NodesData[[#This Row],[Class Disambiguation]]&amp;")")</f>
        <v>Control Class</v>
      </c>
      <c r="E104" s="19"/>
      <c r="G104" s="21" t="str" cm="1">
        <f t="array" ref="G104">"n"&amp;SUBSTITUTE(CreateGuidString(),"-","_")</f>
        <v>nC5BE2EA9_CF3A_40B5_A0B4_131792620443</v>
      </c>
    </row>
    <row r="105" spans="1:7" x14ac:dyDescent="0.35">
      <c r="A105" s="13" t="s">
        <v>664</v>
      </c>
      <c r="B105" s="14" t="s">
        <v>1445</v>
      </c>
      <c r="D105" s="13" t="str">
        <f>IF(NodesData[[#This Row],[Class Disambiguation]]="",NodesData[[#This Row],[Common Name]],NodesData[[#This Row],[Common Name]]&amp;" ("&amp;NodesData[[#This Row],[Class Disambiguation]]&amp;")")</f>
        <v>Control Party</v>
      </c>
      <c r="F105" s="13" t="s">
        <v>665</v>
      </c>
      <c r="G105" s="20" t="str" cm="1">
        <f t="array" ref="G105">"n"&amp;SUBSTITUTE(CreateGuidString(),"-","_")</f>
        <v>nB4E1A083_1E6A_4F34_A52E_79A2A15B32D2</v>
      </c>
    </row>
    <row r="106" spans="1:7" x14ac:dyDescent="0.35">
      <c r="A106" s="13" t="s">
        <v>666</v>
      </c>
      <c r="B106" s="14" t="s">
        <v>1446</v>
      </c>
      <c r="D106" s="13" t="str">
        <f>IF(NodesData[[#This Row],[Class Disambiguation]]="",NodesData[[#This Row],[Common Name]],NodesData[[#This Row],[Common Name]]&amp;" ("&amp;NodesData[[#This Row],[Class Disambiguation]]&amp;")")</f>
        <v>Core Identity</v>
      </c>
      <c r="F106" s="13" t="s">
        <v>667</v>
      </c>
      <c r="G106" s="20" t="str" cm="1">
        <f t="array" ref="G106">"n"&amp;SUBSTITUTE(CreateGuidString(),"-","_")</f>
        <v>nE44DDA6A_BB45_4B8D_8474_FA002EDDFD5C</v>
      </c>
    </row>
    <row r="107" spans="1:7" x14ac:dyDescent="0.35">
      <c r="A107" s="13" t="s">
        <v>117</v>
      </c>
      <c r="B107" s="14" t="s">
        <v>1447</v>
      </c>
      <c r="D107" s="13" t="str">
        <f>IF(NodesData[[#This Row],[Class Disambiguation]]="",NodesData[[#This Row],[Common Name]],NodesData[[#This Row],[Common Name]]&amp;" ("&amp;NodesData[[#This Row],[Class Disambiguation]]&amp;")")</f>
        <v>Credential</v>
      </c>
      <c r="F107" s="13" t="s">
        <v>668</v>
      </c>
      <c r="G107" s="20" t="str" cm="1">
        <f t="array" ref="G107">"n"&amp;SUBSTITUTE(CreateGuidString(),"-","_")</f>
        <v>nF2E860F0_1602_46E0_9AA3_D079733C35C2</v>
      </c>
    </row>
    <row r="108" spans="1:7" x14ac:dyDescent="0.35">
      <c r="A108" s="13" t="s">
        <v>118</v>
      </c>
      <c r="B108" s="14" t="s">
        <v>1448</v>
      </c>
      <c r="D108" s="13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F108" s="13" t="s">
        <v>669</v>
      </c>
      <c r="G108" s="20" t="str" cm="1">
        <f t="array" ref="G108">"n"&amp;SUBSTITUTE(CreateGuidString(),"-","_")</f>
        <v>n4C18D122_DF66_4336_AB33_B26DF258013F</v>
      </c>
    </row>
    <row r="109" spans="1:7" x14ac:dyDescent="0.35">
      <c r="A109" s="13" t="s">
        <v>670</v>
      </c>
      <c r="B109" s="14" t="s">
        <v>1449</v>
      </c>
      <c r="D109" s="13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F109" s="13" t="s">
        <v>671</v>
      </c>
      <c r="G109" s="20" t="str" cm="1">
        <f t="array" ref="G109">"n"&amp;SUBSTITUTE(CreateGuidString(),"-","_")</f>
        <v>n361E9296_1F51_4BA2_8138_117517228B95</v>
      </c>
    </row>
    <row r="110" spans="1:7" x14ac:dyDescent="0.35">
      <c r="A110" s="13" t="s">
        <v>120</v>
      </c>
      <c r="B110" s="14" t="s">
        <v>1450</v>
      </c>
      <c r="D110" s="13" t="str">
        <f>IF(NodesData[[#This Row],[Class Disambiguation]]="",NodesData[[#This Row],[Common Name]],NodesData[[#This Row],[Common Name]]&amp;" ("&amp;NodesData[[#This Row],[Class Disambiguation]]&amp;")")</f>
        <v>Credential Stuffing</v>
      </c>
      <c r="F110" s="13" t="s">
        <v>672</v>
      </c>
      <c r="G110" s="20" t="str" cm="1">
        <f t="array" ref="G110">"n"&amp;SUBSTITUTE(CreateGuidString(),"-","_")</f>
        <v>nC601A38C_A114_457E_B865_235E9EFA48AF</v>
      </c>
    </row>
    <row r="111" spans="1:7" x14ac:dyDescent="0.35">
      <c r="A111" s="13" t="s">
        <v>673</v>
      </c>
      <c r="B111" s="14" t="s">
        <v>1451</v>
      </c>
      <c r="D111" s="13" t="str">
        <f>IF(NodesData[[#This Row],[Class Disambiguation]]="",NodesData[[#This Row],[Common Name]],NodesData[[#This Row],[Common Name]]&amp;" ("&amp;NodesData[[#This Row],[Class Disambiguation]]&amp;")")</f>
        <v>Credential Theft</v>
      </c>
      <c r="F111" s="13" t="s">
        <v>674</v>
      </c>
      <c r="G111" s="20" t="str" cm="1">
        <f t="array" ref="G111">"n"&amp;SUBSTITUTE(CreateGuidString(),"-","_")</f>
        <v>n8CF35FB3_4DD9_47E4_8429_5EAC4D083941</v>
      </c>
    </row>
    <row r="112" spans="1:7" x14ac:dyDescent="0.35">
      <c r="A112" s="13" t="s">
        <v>675</v>
      </c>
      <c r="B112" s="14" t="s">
        <v>1452</v>
      </c>
      <c r="D112" s="13" t="str">
        <f>IF(NodesData[[#This Row],[Class Disambiguation]]="",NodesData[[#This Row],[Common Name]],NodesData[[#This Row],[Common Name]]&amp;" ("&amp;NodesData[[#This Row],[Class Disambiguation]]&amp;")")</f>
        <v>Cryptographic Key</v>
      </c>
      <c r="F112" s="13" t="s">
        <v>676</v>
      </c>
      <c r="G112" s="20" t="str" cm="1">
        <f t="array" ref="G112">"n"&amp;SUBSTITUTE(CreateGuidString(),"-","_")</f>
        <v>n11C4A7BD_25FA_41F1_A800_9A193C0BBF46</v>
      </c>
    </row>
    <row r="113" spans="1:7" x14ac:dyDescent="0.35">
      <c r="A113" s="13" t="s">
        <v>123</v>
      </c>
      <c r="B113" s="14" t="s">
        <v>1453</v>
      </c>
      <c r="C113" s="13" t="s">
        <v>1270</v>
      </c>
      <c r="D113" s="13" t="str">
        <f>IF(NodesData[[#This Row],[Class Disambiguation]]="",NodesData[[#This Row],[Common Name]],NodesData[[#This Row],[Common Name]]&amp;" ("&amp;NodesData[[#This Row],[Class Disambiguation]]&amp;")")</f>
        <v>CSC (Acronym)</v>
      </c>
      <c r="F113" s="13" t="s">
        <v>677</v>
      </c>
      <c r="G113" s="20" t="str" cm="1">
        <f t="array" ref="G113">"n"&amp;SUBSTITUTE(CreateGuidString(),"-","_")</f>
        <v>n9CD14BE7_A476_4FE8_BA2F_C3AA981006E4</v>
      </c>
    </row>
    <row r="114" spans="1:7" x14ac:dyDescent="0.35">
      <c r="A114" s="13" t="s">
        <v>124</v>
      </c>
      <c r="B114" s="14" t="s">
        <v>1454</v>
      </c>
      <c r="C114" s="13" t="s">
        <v>1270</v>
      </c>
      <c r="D114" s="13" t="str">
        <f>IF(NodesData[[#This Row],[Class Disambiguation]]="",NodesData[[#This Row],[Common Name]],NodesData[[#This Row],[Common Name]]&amp;" ("&amp;NodesData[[#This Row],[Class Disambiguation]]&amp;")")</f>
        <v>CSP (Acronym)</v>
      </c>
      <c r="F114" s="13" t="s">
        <v>678</v>
      </c>
      <c r="G114" s="20" t="str" cm="1">
        <f t="array" ref="G114">"n"&amp;SUBSTITUTE(CreateGuidString(),"-","_")</f>
        <v>n8F5109EB_EC64_44F6_ADD0_72DC3F0008F0</v>
      </c>
    </row>
    <row r="115" spans="1:7" x14ac:dyDescent="0.35">
      <c r="A115" s="13" t="s">
        <v>125</v>
      </c>
      <c r="B115" s="14" t="s">
        <v>1455</v>
      </c>
      <c r="C115" s="13" t="s">
        <v>1270</v>
      </c>
      <c r="D115" s="13" t="str">
        <f>IF(NodesData[[#This Row],[Class Disambiguation]]="",NodesData[[#This Row],[Common Name]],NodesData[[#This Row],[Common Name]]&amp;" ("&amp;NodesData[[#This Row],[Class Disambiguation]]&amp;")")</f>
        <v>CSU (Acronym)</v>
      </c>
      <c r="F115" s="13" t="s">
        <v>679</v>
      </c>
      <c r="G115" s="20" t="str" cm="1">
        <f t="array" ref="G115">"n"&amp;SUBSTITUTE(CreateGuidString(),"-","_")</f>
        <v>n4E3976FA_1CD0_468D_894B_FF9F7A200702</v>
      </c>
    </row>
    <row r="116" spans="1:7" x14ac:dyDescent="0.35">
      <c r="A116" s="13" t="s">
        <v>680</v>
      </c>
      <c r="B116" s="14" t="s">
        <v>1456</v>
      </c>
      <c r="D116" s="13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F116" s="13" t="s">
        <v>681</v>
      </c>
      <c r="G116" s="20" t="str" cm="1">
        <f t="array" ref="G116">"n"&amp;SUBSTITUTE(CreateGuidString(),"-","_")</f>
        <v>n09A1A150_1DBF_4A40_8CB0_5F7B13B6B31E</v>
      </c>
    </row>
    <row r="117" spans="1:7" x14ac:dyDescent="0.35">
      <c r="A117" s="13" t="s">
        <v>682</v>
      </c>
      <c r="B117" s="14" t="s">
        <v>1457</v>
      </c>
      <c r="D117" s="13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F117" s="13" t="s">
        <v>683</v>
      </c>
      <c r="G117" s="20" t="str" cm="1">
        <f t="array" ref="G117">"n"&amp;SUBSTITUTE(CreateGuidString(),"-","_")</f>
        <v>nE30AF12D_220E_4DB6_B3BF_6A5E4403E591</v>
      </c>
    </row>
    <row r="118" spans="1:7" x14ac:dyDescent="0.35">
      <c r="A118" s="13" t="s">
        <v>684</v>
      </c>
      <c r="B118" s="14" t="s">
        <v>1458</v>
      </c>
      <c r="D118" s="13" t="str">
        <f>IF(NodesData[[#This Row],[Class Disambiguation]]="",NodesData[[#This Row],[Common Name]],NodesData[[#This Row],[Common Name]]&amp;" ("&amp;NodesData[[#This Row],[Class Disambiguation]]&amp;")")</f>
        <v>Customer Identity</v>
      </c>
      <c r="F118" s="13" t="s">
        <v>685</v>
      </c>
      <c r="G118" s="20" t="str" cm="1">
        <f t="array" ref="G118">"n"&amp;SUBSTITUTE(CreateGuidString(),"-","_")</f>
        <v>nCDBAC3AD_9359_4285_8CD9_371F5F454262</v>
      </c>
    </row>
    <row r="119" spans="1:7" x14ac:dyDescent="0.35">
      <c r="A119" s="13" t="s">
        <v>686</v>
      </c>
      <c r="B119" s="14" t="s">
        <v>1459</v>
      </c>
      <c r="D119" s="13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F119" s="13" t="s">
        <v>687</v>
      </c>
      <c r="G119" s="20" t="str" cm="1">
        <f t="array" ref="G119">"n"&amp;SUBSTITUTE(CreateGuidString(),"-","_")</f>
        <v>n74F0C1ED_34C7_4A23_97F9_9E1DC2D55F38</v>
      </c>
    </row>
    <row r="120" spans="1:7" x14ac:dyDescent="0.35">
      <c r="A120" s="13" t="s">
        <v>688</v>
      </c>
      <c r="B120" s="14" t="s">
        <v>1460</v>
      </c>
      <c r="D120" s="13" t="str">
        <f>IF(NodesData[[#This Row],[Class Disambiguation]]="",NodesData[[#This Row],[Common Name]],NodesData[[#This Row],[Common Name]]&amp;" ("&amp;NodesData[[#This Row],[Class Disambiguation]]&amp;")")</f>
        <v>Customer On-Boarding</v>
      </c>
      <c r="F120" s="13" t="s">
        <v>689</v>
      </c>
      <c r="G120" s="20" t="str" cm="1">
        <f t="array" ref="G120">"n"&amp;SUBSTITUTE(CreateGuidString(),"-","_")</f>
        <v>nD1D46ECB_D12E_4C83_A9F4_9DC8ED9C6835</v>
      </c>
    </row>
    <row r="121" spans="1:7" x14ac:dyDescent="0.35">
      <c r="A121" s="13" t="s">
        <v>690</v>
      </c>
      <c r="B121" s="14" t="s">
        <v>1461</v>
      </c>
      <c r="D121" s="13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F121" s="13" t="s">
        <v>691</v>
      </c>
      <c r="G121" s="20" t="str" cm="1">
        <f t="array" ref="G121">"n"&amp;SUBSTITUTE(CreateGuidString(),"-","_")</f>
        <v>n31EE474A_5BA7_4C51_B745_1FAF77889801</v>
      </c>
    </row>
    <row r="122" spans="1:7" x14ac:dyDescent="0.35">
      <c r="A122" s="13" t="s">
        <v>132</v>
      </c>
      <c r="B122" s="14" t="s">
        <v>1462</v>
      </c>
      <c r="D122" s="13" t="str">
        <f>IF(NodesData[[#This Row],[Class Disambiguation]]="",NodesData[[#This Row],[Common Name]],NodesData[[#This Row],[Common Name]]&amp;" ("&amp;NodesData[[#This Row],[Class Disambiguation]]&amp;")")</f>
        <v>Cyber-sabotage</v>
      </c>
      <c r="F122" s="13" t="s">
        <v>692</v>
      </c>
      <c r="G122" s="20" t="str" cm="1">
        <f t="array" ref="G122">"n"&amp;SUBSTITUTE(CreateGuidString(),"-","_")</f>
        <v>n3AA3BF46_B536_4A70_A202_93CE3CF5B02C</v>
      </c>
    </row>
    <row r="123" spans="1:7" x14ac:dyDescent="0.35">
      <c r="A123" s="13" t="s">
        <v>133</v>
      </c>
      <c r="B123" s="14" t="s">
        <v>1463</v>
      </c>
      <c r="C123" s="13" t="s">
        <v>1270</v>
      </c>
      <c r="D123" s="13" t="str">
        <f>IF(NodesData[[#This Row],[Class Disambiguation]]="",NodesData[[#This Row],[Common Name]],NodesData[[#This Row],[Common Name]]&amp;" ("&amp;NodesData[[#This Row],[Class Disambiguation]]&amp;")")</f>
        <v>DAC (Acronym)</v>
      </c>
      <c r="F123" s="13" t="s">
        <v>693</v>
      </c>
      <c r="G123" s="20" t="str" cm="1">
        <f t="array" ref="G123">"n"&amp;SUBSTITUTE(CreateGuidString(),"-","_")</f>
        <v>n7C7C136C_4C66_45CF_856B_7705AA7314B8</v>
      </c>
    </row>
    <row r="124" spans="1:7" x14ac:dyDescent="0.35">
      <c r="A124" s="13" t="s">
        <v>1345</v>
      </c>
      <c r="B124" s="14" t="s">
        <v>1843</v>
      </c>
      <c r="D124" s="19" t="str">
        <f>IF(NodesData[[#This Row],[Class Disambiguation]]="",NodesData[[#This Row],[Common Name]],NodesData[[#This Row],[Common Name]]&amp;" ("&amp;NodesData[[#This Row],[Class Disambiguation]]&amp;")")</f>
        <v>Data</v>
      </c>
      <c r="E124" s="19"/>
      <c r="G124" s="20" t="str" cm="1">
        <f t="array" ref="G124">"n"&amp;SUBSTITUTE(CreateGuidString(),"-","_")</f>
        <v>nDAE46D41_E419_474C_BC5E_E10C604B760E</v>
      </c>
    </row>
    <row r="125" spans="1:7" x14ac:dyDescent="0.35">
      <c r="A125" s="13" t="s">
        <v>134</v>
      </c>
      <c r="B125" s="14" t="s">
        <v>1464</v>
      </c>
      <c r="D125" s="13" t="str">
        <f>IF(NodesData[[#This Row],[Class Disambiguation]]="",NodesData[[#This Row],[Common Name]],NodesData[[#This Row],[Common Name]]&amp;" ("&amp;NodesData[[#This Row],[Class Disambiguation]]&amp;")")</f>
        <v>Data Anonymization</v>
      </c>
      <c r="F125" s="13" t="s">
        <v>694</v>
      </c>
      <c r="G125" s="20" t="str" cm="1">
        <f t="array" ref="G125">"n"&amp;SUBSTITUTE(CreateGuidString(),"-","_")</f>
        <v>nC2AA5249_98FB_4715_97DC_7E4EC42F5FE9</v>
      </c>
    </row>
    <row r="126" spans="1:7" x14ac:dyDescent="0.35">
      <c r="A126" s="13" t="s">
        <v>695</v>
      </c>
      <c r="B126" s="14" t="s">
        <v>1465</v>
      </c>
      <c r="D126" s="13" t="str">
        <f>IF(NodesData[[#This Row],[Class Disambiguation]]="",NodesData[[#This Row],[Common Name]],NodesData[[#This Row],[Common Name]]&amp;" ("&amp;NodesData[[#This Row],[Class Disambiguation]]&amp;")")</f>
        <v>Data Custodian</v>
      </c>
      <c r="F126" s="13" t="s">
        <v>696</v>
      </c>
      <c r="G126" s="20" t="str" cm="1">
        <f t="array" ref="G126">"n"&amp;SUBSTITUTE(CreateGuidString(),"-","_")</f>
        <v>nA3E9FB7E_9352_4FD8_A3DE_7A176820A781</v>
      </c>
    </row>
    <row r="127" spans="1:7" x14ac:dyDescent="0.35">
      <c r="A127" s="13" t="s">
        <v>697</v>
      </c>
      <c r="B127" s="14" t="s">
        <v>1467</v>
      </c>
      <c r="D127" s="13" t="str">
        <f>IF(NodesData[[#This Row],[Class Disambiguation]]="",NodesData[[#This Row],[Common Name]],NodesData[[#This Row],[Common Name]]&amp;" ("&amp;NodesData[[#This Row],[Class Disambiguation]]&amp;")")</f>
        <v>Data Lineage</v>
      </c>
      <c r="F127" s="13" t="s">
        <v>698</v>
      </c>
      <c r="G127" s="20" t="str" cm="1">
        <f t="array" ref="G127">"n"&amp;SUBSTITUTE(CreateGuidString(),"-","_")</f>
        <v>n9EB81267_1F2C_4960_AC15_C9AC2856379C</v>
      </c>
    </row>
    <row r="128" spans="1:7" x14ac:dyDescent="0.35">
      <c r="A128" s="13" t="s">
        <v>699</v>
      </c>
      <c r="B128" s="14" t="s">
        <v>1468</v>
      </c>
      <c r="D128" s="13" t="str">
        <f>IF(NodesData[[#This Row],[Class Disambiguation]]="",NodesData[[#This Row],[Common Name]],NodesData[[#This Row],[Common Name]]&amp;" ("&amp;NodesData[[#This Row],[Class Disambiguation]]&amp;")")</f>
        <v>Data Obfuscation</v>
      </c>
      <c r="F128" s="13" t="s">
        <v>700</v>
      </c>
      <c r="G128" s="20" t="str" cm="1">
        <f t="array" ref="G128">"n"&amp;SUBSTITUTE(CreateGuidString(),"-","_")</f>
        <v>n2EA891D4_3917_4709_BFF2_72580CE93BD5</v>
      </c>
    </row>
    <row r="129" spans="1:7" x14ac:dyDescent="0.35">
      <c r="A129" s="13" t="s">
        <v>1346</v>
      </c>
      <c r="B129" s="14" t="s">
        <v>1845</v>
      </c>
      <c r="D129" s="19" t="str">
        <f>IF(NodesData[[#This Row],[Class Disambiguation]]="",NodesData[[#This Row],[Common Name]],NodesData[[#This Row],[Common Name]]&amp;" ("&amp;NodesData[[#This Row],[Class Disambiguation]]&amp;")")</f>
        <v>Data Operation</v>
      </c>
      <c r="E129" s="19"/>
      <c r="G129" s="21" t="str" cm="1">
        <f t="array" ref="G129">"n"&amp;SUBSTITUTE(CreateGuidString(),"-","_")</f>
        <v>nF27E4D8D_2BDE_4EDC_B283_5E0E539A37E0</v>
      </c>
    </row>
    <row r="130" spans="1:7" x14ac:dyDescent="0.35">
      <c r="A130" s="13" t="s">
        <v>701</v>
      </c>
      <c r="B130" s="14" t="s">
        <v>1469</v>
      </c>
      <c r="D130" s="13" t="str">
        <f>IF(NodesData[[#This Row],[Class Disambiguation]]="",NodesData[[#This Row],[Common Name]],NodesData[[#This Row],[Common Name]]&amp;" ("&amp;NodesData[[#This Row],[Class Disambiguation]]&amp;")")</f>
        <v>Data Owner</v>
      </c>
      <c r="F130" s="13" t="s">
        <v>702</v>
      </c>
      <c r="G130" s="20" t="str" cm="1">
        <f t="array" ref="G130">"n"&amp;SUBSTITUTE(CreateGuidString(),"-","_")</f>
        <v>nA430425A_8B1A_4984_AB43_285650033AB8</v>
      </c>
    </row>
    <row r="131" spans="1:7" x14ac:dyDescent="0.35">
      <c r="A131" s="13" t="s">
        <v>703</v>
      </c>
      <c r="B131" s="14" t="s">
        <v>1466</v>
      </c>
      <c r="D131" s="13" t="str">
        <f>IF(NodesData[[#This Row],[Class Disambiguation]]="",NodesData[[#This Row],[Common Name]],NodesData[[#This Row],[Common Name]]&amp;" ("&amp;NodesData[[#This Row],[Class Disambiguation]]&amp;")")</f>
        <v>Data-Level Policy</v>
      </c>
      <c r="F131" s="13" t="s">
        <v>704</v>
      </c>
      <c r="G131" s="20" t="str" cm="1">
        <f t="array" ref="G131">"n"&amp;SUBSTITUTE(CreateGuidString(),"-","_")</f>
        <v>n617E9B2E_4F10_4490_AE52_C0C89FB65484</v>
      </c>
    </row>
    <row r="132" spans="1:7" x14ac:dyDescent="0.35">
      <c r="A132" s="13" t="s">
        <v>705</v>
      </c>
      <c r="B132" s="14" t="s">
        <v>1471</v>
      </c>
      <c r="D132" s="13" t="str">
        <f>IF(NodesData[[#This Row],[Class Disambiguation]]="",NodesData[[#This Row],[Common Name]],NodesData[[#This Row],[Common Name]]&amp;" ("&amp;NodesData[[#This Row],[Class Disambiguation]]&amp;")")</f>
        <v>Death Certificate</v>
      </c>
      <c r="F132" s="13" t="s">
        <v>706</v>
      </c>
      <c r="G132" s="20" t="str" cm="1">
        <f t="array" ref="G132">"n"&amp;SUBSTITUTE(CreateGuidString(),"-","_")</f>
        <v>nBF2CE283_4377_4CB3_B235_5624F3453F69</v>
      </c>
    </row>
    <row r="133" spans="1:7" x14ac:dyDescent="0.35">
      <c r="A133" s="13" t="s">
        <v>707</v>
      </c>
      <c r="B133" s="14" t="s">
        <v>1472</v>
      </c>
      <c r="D133" s="13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F133" s="13" t="s">
        <v>708</v>
      </c>
      <c r="G133" s="20" t="str" cm="1">
        <f t="array" ref="G133">"n"&amp;SUBSTITUTE(CreateGuidString(),"-","_")</f>
        <v>n64AC589C_EFD1_4F7C_BCE9_A95FFA13D6AA</v>
      </c>
    </row>
    <row r="134" spans="1:7" x14ac:dyDescent="0.35">
      <c r="A134" s="13" t="s">
        <v>709</v>
      </c>
      <c r="B134" s="14" t="s">
        <v>1470</v>
      </c>
      <c r="D134" s="13" t="str">
        <f>IF(NodesData[[#This Row],[Class Disambiguation]]="",NodesData[[#This Row],[Common Name]],NodesData[[#This Row],[Common Name]]&amp;" ("&amp;NodesData[[#This Row],[Class Disambiguation]]&amp;")")</f>
        <v>De-duplication</v>
      </c>
      <c r="F134" s="13" t="s">
        <v>710</v>
      </c>
      <c r="G134" s="20" t="str" cm="1">
        <f t="array" ref="G134">"n"&amp;SUBSTITUTE(CreateGuidString(),"-","_")</f>
        <v>nBA0820AE_2F44_4D9C_BB11_5FD0D746BB68</v>
      </c>
    </row>
    <row r="135" spans="1:7" x14ac:dyDescent="0.35">
      <c r="A135" s="13" t="s">
        <v>711</v>
      </c>
      <c r="B135" s="14" t="s">
        <v>1473</v>
      </c>
      <c r="D135" s="13" t="str">
        <f>IF(NodesData[[#This Row],[Class Disambiguation]]="",NodesData[[#This Row],[Common Name]],NodesData[[#This Row],[Common Name]]&amp;" ("&amp;NodesData[[#This Row],[Class Disambiguation]]&amp;")")</f>
        <v>Deprovisioning</v>
      </c>
      <c r="F135" s="13" t="s">
        <v>712</v>
      </c>
      <c r="G135" s="20" t="str" cm="1">
        <f t="array" ref="G135">"n"&amp;SUBSTITUTE(CreateGuidString(),"-","_")</f>
        <v>n2EF706D9_A6BF_4C86_982C_2D9E6D93EE35</v>
      </c>
    </row>
    <row r="136" spans="1:7" x14ac:dyDescent="0.35">
      <c r="A136" s="13" t="s">
        <v>145</v>
      </c>
      <c r="B136" s="14" t="s">
        <v>1474</v>
      </c>
      <c r="C136" s="13" t="s">
        <v>1270</v>
      </c>
      <c r="D136" s="13" t="str">
        <f>IF(NodesData[[#This Row],[Class Disambiguation]]="",NodesData[[#This Row],[Common Name]],NodesData[[#This Row],[Common Name]]&amp;" ("&amp;NodesData[[#This Row],[Class Disambiguation]]&amp;")")</f>
        <v>DID (Acronym)</v>
      </c>
      <c r="F136" s="13" t="s">
        <v>713</v>
      </c>
      <c r="G136" s="20" t="str" cm="1">
        <f t="array" ref="G136">"n"&amp;SUBSTITUTE(CreateGuidString(),"-","_")</f>
        <v>n9F33B4FD_3FFB_4EC6_A8C6_0739C469F9D3</v>
      </c>
    </row>
    <row r="137" spans="1:7" x14ac:dyDescent="0.35">
      <c r="A137" s="13" t="s">
        <v>714</v>
      </c>
      <c r="B137" s="14" t="s">
        <v>1475</v>
      </c>
      <c r="D137" s="13" t="str">
        <f>IF(NodesData[[#This Row],[Class Disambiguation]]="",NodesData[[#This Row],[Common Name]],NodesData[[#This Row],[Common Name]]&amp;" ("&amp;NodesData[[#This Row],[Class Disambiguation]]&amp;")")</f>
        <v>Digital Continuity</v>
      </c>
      <c r="F137" s="13" t="s">
        <v>715</v>
      </c>
      <c r="G137" s="20" t="str" cm="1">
        <f t="array" ref="G137">"n"&amp;SUBSTITUTE(CreateGuidString(),"-","_")</f>
        <v>n3839A462_0C3E_4A0C_B86D_6BB9AD65856C</v>
      </c>
    </row>
    <row r="138" spans="1:7" x14ac:dyDescent="0.35">
      <c r="A138" s="13" t="s">
        <v>147</v>
      </c>
      <c r="B138" s="14" t="s">
        <v>1476</v>
      </c>
      <c r="D138" s="13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F138" s="13" t="s">
        <v>716</v>
      </c>
      <c r="G138" s="20" t="str" cm="1">
        <f t="array" ref="G138">"n"&amp;SUBSTITUTE(CreateGuidString(),"-","_")</f>
        <v>n98A226FE_604F_4353_8826_439CBB881E02</v>
      </c>
    </row>
    <row r="139" spans="1:7" x14ac:dyDescent="0.35">
      <c r="A139" s="13" t="s">
        <v>148</v>
      </c>
      <c r="B139" s="14" t="s">
        <v>1477</v>
      </c>
      <c r="D139" s="13" t="str">
        <f>IF(NodesData[[#This Row],[Class Disambiguation]]="",NodesData[[#This Row],[Common Name]],NodesData[[#This Row],[Common Name]]&amp;" ("&amp;NodesData[[#This Row],[Class Disambiguation]]&amp;")")</f>
        <v>Digital Identity</v>
      </c>
      <c r="F139" s="13" t="s">
        <v>717</v>
      </c>
      <c r="G139" s="20" t="str" cm="1">
        <f t="array" ref="G139">"n"&amp;SUBSTITUTE(CreateGuidString(),"-","_")</f>
        <v>nC0932BAC_2864_4965_81D0_F66A725EFACF</v>
      </c>
    </row>
    <row r="140" spans="1:7" x14ac:dyDescent="0.35">
      <c r="A140" s="13" t="s">
        <v>149</v>
      </c>
      <c r="B140" s="14" t="s">
        <v>1483</v>
      </c>
      <c r="D140" s="13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F140" s="13" t="s">
        <v>718</v>
      </c>
      <c r="G140" s="20" t="str" cm="1">
        <f t="array" ref="G140">"n"&amp;SUBSTITUTE(CreateGuidString(),"-","_")</f>
        <v>nC538CB00_2D21_4BC5_9D9B_89742203DE19</v>
      </c>
    </row>
    <row r="141" spans="1:7" x14ac:dyDescent="0.35">
      <c r="A141" s="13" t="s">
        <v>719</v>
      </c>
      <c r="B141" s="14" t="s">
        <v>1479</v>
      </c>
      <c r="D141" s="13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F141" s="13" t="s">
        <v>720</v>
      </c>
      <c r="G141" s="20" t="str" cm="1">
        <f t="array" ref="G141">"n"&amp;SUBSTITUTE(CreateGuidString(),"-","_")</f>
        <v>n2D9BB185_02D2_490E_8BC3_B75535EA3397</v>
      </c>
    </row>
    <row r="142" spans="1:7" x14ac:dyDescent="0.35">
      <c r="A142" s="13" t="s">
        <v>721</v>
      </c>
      <c r="B142" s="14" t="s">
        <v>1480</v>
      </c>
      <c r="D142" s="13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F142" s="13" t="s">
        <v>722</v>
      </c>
      <c r="G142" s="20" t="str" cm="1">
        <f t="array" ref="G142">"n"&amp;SUBSTITUTE(CreateGuidString(),"-","_")</f>
        <v>n2ADA3BF7_8E0C_4401_9A7B_D187EE8AEBEE</v>
      </c>
    </row>
    <row r="143" spans="1:7" x14ac:dyDescent="0.35">
      <c r="A143" s="13" t="s">
        <v>723</v>
      </c>
      <c r="B143" s="14" t="s">
        <v>1481</v>
      </c>
      <c r="D143" s="13" t="str">
        <f>IF(NodesData[[#This Row],[Class Disambiguation]]="",NodesData[[#This Row],[Common Name]],NodesData[[#This Row],[Common Name]]&amp;" ("&amp;NodesData[[#This Row],[Class Disambiguation]]&amp;")")</f>
        <v>Distributed Identity</v>
      </c>
      <c r="F143" s="13" t="s">
        <v>724</v>
      </c>
      <c r="G143" s="20" t="str" cm="1">
        <f t="array" ref="G143">"n"&amp;SUBSTITUTE(CreateGuidString(),"-","_")</f>
        <v>n5D445F3E_B100_4F29_9127_6841D0AF9435</v>
      </c>
    </row>
    <row r="144" spans="1:7" x14ac:dyDescent="0.35">
      <c r="A144" s="13" t="s">
        <v>725</v>
      </c>
      <c r="B144" s="14" t="s">
        <v>1482</v>
      </c>
      <c r="D144" s="13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F144" s="13" t="s">
        <v>726</v>
      </c>
      <c r="G144" s="20" t="str" cm="1">
        <f t="array" ref="G144">"n"&amp;SUBSTITUTE(CreateGuidString(),"-","_")</f>
        <v>n3578D7B1_228C_46C0_893B_246551FBAD3A</v>
      </c>
    </row>
    <row r="145" spans="1:7" x14ac:dyDescent="0.35">
      <c r="A145" s="13" t="s">
        <v>727</v>
      </c>
      <c r="B145" s="14" t="s">
        <v>1504</v>
      </c>
      <c r="D145" s="13" t="str">
        <f>IF(NodesData[[#This Row],[Class Disambiguation]]="",NodesData[[#This Row],[Common Name]],NodesData[[#This Row],[Common Name]]&amp;" ("&amp;NodesData[[#This Row],[Class Disambiguation]]&amp;")")</f>
        <v>Dual Authorization</v>
      </c>
      <c r="F145" s="13" t="s">
        <v>728</v>
      </c>
      <c r="G145" s="20" t="str" cm="1">
        <f t="array" ref="G145">"n"&amp;SUBSTITUTE(CreateGuidString(),"-","_")</f>
        <v>n86806E6F_753E_466D_AD3E_8F269687A147</v>
      </c>
    </row>
    <row r="146" spans="1:7" x14ac:dyDescent="0.35">
      <c r="A146" s="13" t="s">
        <v>729</v>
      </c>
      <c r="B146" s="14" t="s">
        <v>1485</v>
      </c>
      <c r="C146" s="13" t="s">
        <v>1270</v>
      </c>
      <c r="D146" s="13" t="str">
        <f>IF(NodesData[[#This Row],[Class Disambiguation]]="",NodesData[[#This Row],[Common Name]],NodesData[[#This Row],[Common Name]]&amp;" ("&amp;NodesData[[#This Row],[Class Disambiguation]]&amp;")")</f>
        <v>ECS (Acronym)</v>
      </c>
      <c r="F146" s="13" t="s">
        <v>730</v>
      </c>
      <c r="G146" s="20" t="str" cm="1">
        <f t="array" ref="G146">"n"&amp;SUBSTITUTE(CreateGuidString(),"-","_")</f>
        <v>n96981A03_A198_4F02_8CFA_DF6FB2E12932</v>
      </c>
    </row>
    <row r="147" spans="1:7" x14ac:dyDescent="0.35">
      <c r="A147" s="13" t="s">
        <v>731</v>
      </c>
      <c r="B147" s="14" t="s">
        <v>1484</v>
      </c>
      <c r="C147" s="13" t="s">
        <v>1270</v>
      </c>
      <c r="D147" s="13" t="str">
        <f>IF(NodesData[[#This Row],[Class Disambiguation]]="",NodesData[[#This Row],[Common Name]],NodesData[[#This Row],[Common Name]]&amp;" ("&amp;NodesData[[#This Row],[Class Disambiguation]]&amp;")")</f>
        <v>e-Identity (Acronym)</v>
      </c>
      <c r="F147" s="13" t="s">
        <v>732</v>
      </c>
      <c r="G147" s="20" t="str" cm="1">
        <f t="array" ref="G147">"n"&amp;SUBSTITUTE(CreateGuidString(),"-","_")</f>
        <v>nD2F09215_55A0_4A95_BBAD_320CDEC2D4AB</v>
      </c>
    </row>
    <row r="148" spans="1:7" x14ac:dyDescent="0.35">
      <c r="A148" s="13" t="s">
        <v>733</v>
      </c>
      <c r="B148" s="14" t="s">
        <v>1486</v>
      </c>
      <c r="C148" s="13" t="s">
        <v>1270</v>
      </c>
      <c r="D148" s="13" t="str">
        <f>IF(NodesData[[#This Row],[Class Disambiguation]]="",NodesData[[#This Row],[Common Name]],NodesData[[#This Row],[Common Name]]&amp;" ("&amp;NodesData[[#This Row],[Class Disambiguation]]&amp;")")</f>
        <v>EIdM (Acronym)</v>
      </c>
      <c r="F148" s="13" t="s">
        <v>734</v>
      </c>
      <c r="G148" s="20" t="str" cm="1">
        <f t="array" ref="G148">"n"&amp;SUBSTITUTE(CreateGuidString(),"-","_")</f>
        <v>n6486A4C3_ADA3_45A9_AFF6_37D5E3DB5A1E</v>
      </c>
    </row>
    <row r="149" spans="1:7" x14ac:dyDescent="0.35">
      <c r="A149" s="13" t="s">
        <v>1317</v>
      </c>
      <c r="B149" s="14" t="s">
        <v>1487</v>
      </c>
      <c r="D149" s="13" t="str">
        <f>IF(NodesData[[#This Row],[Class Disambiguation]]="",NodesData[[#This Row],[Common Name]],NodesData[[#This Row],[Common Name]]&amp;" ("&amp;NodesData[[#This Row],[Class Disambiguation]]&amp;")")</f>
        <v>Email OTP</v>
      </c>
      <c r="G149" s="20" t="str" cm="1">
        <f t="array" ref="G149">"n"&amp;SUBSTITUTE(CreateGuidString(),"-","_")</f>
        <v>n2C23CE43_EF89_4AF8_9D14_0DA42D822E90</v>
      </c>
    </row>
    <row r="150" spans="1:7" x14ac:dyDescent="0.35">
      <c r="A150" s="13" t="s">
        <v>735</v>
      </c>
      <c r="B150" s="14" t="s">
        <v>1488</v>
      </c>
      <c r="D150" s="13" t="str">
        <f>IF(NodesData[[#This Row],[Class Disambiguation]]="",NodesData[[#This Row],[Common Name]],NodesData[[#This Row],[Common Name]]&amp;" ("&amp;NodesData[[#This Row],[Class Disambiguation]]&amp;")")</f>
        <v>Employee</v>
      </c>
      <c r="F150" s="13" t="s">
        <v>736</v>
      </c>
      <c r="G150" s="20" t="str" cm="1">
        <f t="array" ref="G150">"n"&amp;SUBSTITUTE(CreateGuidString(),"-","_")</f>
        <v>n01AAC30C_1525_4975_A09B_7A88D28FD412</v>
      </c>
    </row>
    <row r="151" spans="1:7" x14ac:dyDescent="0.35">
      <c r="A151" s="13" t="s">
        <v>737</v>
      </c>
      <c r="B151" s="14" t="s">
        <v>1489</v>
      </c>
      <c r="D151" s="13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F151" s="13" t="s">
        <v>738</v>
      </c>
      <c r="G151" s="20" t="str" cm="1">
        <f t="array" ref="G151">"n"&amp;SUBSTITUTE(CreateGuidString(),"-","_")</f>
        <v>nC948CD1A_C8DA_4B00_8C01_03A03E4F9BB5</v>
      </c>
    </row>
    <row r="152" spans="1:7" x14ac:dyDescent="0.35">
      <c r="A152" s="13" t="s">
        <v>739</v>
      </c>
      <c r="B152" s="14" t="s">
        <v>1490</v>
      </c>
      <c r="D152" s="13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F152" s="13" t="s">
        <v>740</v>
      </c>
      <c r="G152" s="20" t="str" cm="1">
        <f t="array" ref="G152">"n"&amp;SUBSTITUTE(CreateGuidString(),"-","_")</f>
        <v>n0F57D3E6_C531_40E0_9611_25B3B631B92E</v>
      </c>
    </row>
    <row r="153" spans="1:7" x14ac:dyDescent="0.35">
      <c r="A153" s="13" t="s">
        <v>741</v>
      </c>
      <c r="B153" s="14" t="s">
        <v>1491</v>
      </c>
      <c r="D153" s="13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F153" s="13" t="s">
        <v>742</v>
      </c>
      <c r="G153" s="20" t="str" cm="1">
        <f t="array" ref="G153">"n"&amp;SUBSTITUTE(CreateGuidString(),"-","_")</f>
        <v>n187B038C_2386_4B93_9DAC_E341A136C302</v>
      </c>
    </row>
    <row r="154" spans="1:7" x14ac:dyDescent="0.35">
      <c r="A154" s="13" t="s">
        <v>743</v>
      </c>
      <c r="B154" s="14" t="s">
        <v>1492</v>
      </c>
      <c r="D154" s="13" t="str">
        <f>IF(NodesData[[#This Row],[Class Disambiguation]]="",NodesData[[#This Row],[Common Name]],NodesData[[#This Row],[Common Name]]&amp;" ("&amp;NodesData[[#This Row],[Class Disambiguation]]&amp;")")</f>
        <v>Entitlement</v>
      </c>
      <c r="F154" s="13" t="s">
        <v>744</v>
      </c>
      <c r="G154" s="20" t="str" cm="1">
        <f t="array" ref="G154">"n"&amp;SUBSTITUTE(CreateGuidString(),"-","_")</f>
        <v>nEE2F87F6_C34D_4A04_A8C9_DF94C1BC16A0</v>
      </c>
    </row>
    <row r="155" spans="1:7" x14ac:dyDescent="0.35">
      <c r="A155" s="13" t="s">
        <v>745</v>
      </c>
      <c r="B155" s="14" t="s">
        <v>1494</v>
      </c>
      <c r="D155" s="13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F155" s="13" t="s">
        <v>746</v>
      </c>
      <c r="G155" s="20" t="str" cm="1">
        <f t="array" ref="G155">"n"&amp;SUBSTITUTE(CreateGuidString(),"-","_")</f>
        <v>n2B262453_364C_4823_9AF3_9FD8023078E9</v>
      </c>
    </row>
    <row r="156" spans="1:7" x14ac:dyDescent="0.35">
      <c r="A156" s="13" t="s">
        <v>747</v>
      </c>
      <c r="B156" s="14" t="s">
        <v>1495</v>
      </c>
      <c r="D156" s="13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F156" s="13" t="s">
        <v>748</v>
      </c>
      <c r="G156" s="20" t="str" cm="1">
        <f t="array" ref="G156">"n"&amp;SUBSTITUTE(CreateGuidString(),"-","_")</f>
        <v>n5BAD5C8B_BADA_4990_92F7_E386DD2F2653</v>
      </c>
    </row>
    <row r="157" spans="1:7" x14ac:dyDescent="0.35">
      <c r="A157" s="13" t="s">
        <v>749</v>
      </c>
      <c r="B157" s="14" t="s">
        <v>1496</v>
      </c>
      <c r="D157" s="13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F157" s="13" t="s">
        <v>750</v>
      </c>
      <c r="G157" s="20" t="str" cm="1">
        <f t="array" ref="G157">"n"&amp;SUBSTITUTE(CreateGuidString(),"-","_")</f>
        <v>n2120D737_94E4_4C4C_818B_874EED44D366</v>
      </c>
    </row>
    <row r="158" spans="1:7" x14ac:dyDescent="0.35">
      <c r="A158" s="13" t="s">
        <v>751</v>
      </c>
      <c r="B158" s="14" t="s">
        <v>1493</v>
      </c>
      <c r="D158" s="13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F158" s="13" t="s">
        <v>752</v>
      </c>
      <c r="G158" s="20" t="str" cm="1">
        <f t="array" ref="G158">"n"&amp;SUBSTITUTE(CreateGuidString(),"-","_")</f>
        <v>nBF37EAE2_79D2_4A20_882A_615643AF124F</v>
      </c>
    </row>
    <row r="159" spans="1:7" x14ac:dyDescent="0.35">
      <c r="A159" s="13" t="s">
        <v>753</v>
      </c>
      <c r="B159" s="14" t="s">
        <v>1497</v>
      </c>
      <c r="D159" s="13" t="str">
        <f>IF(NodesData[[#This Row],[Class Disambiguation]]="",NodesData[[#This Row],[Common Name]],NodesData[[#This Row],[Common Name]]&amp;" ("&amp;NodesData[[#This Row],[Class Disambiguation]]&amp;")")</f>
        <v>Entity</v>
      </c>
      <c r="F159" s="13" t="s">
        <v>754</v>
      </c>
      <c r="G159" s="20" t="str" cm="1">
        <f t="array" ref="G159">"n"&amp;SUBSTITUTE(CreateGuidString(),"-","_")</f>
        <v>n441D0029_8A47_4FF1_AF24_8A4BA5C22A2F</v>
      </c>
    </row>
    <row r="160" spans="1:7" x14ac:dyDescent="0.35">
      <c r="A160" s="13" t="s">
        <v>755</v>
      </c>
      <c r="B160" s="14" t="s">
        <v>1498</v>
      </c>
      <c r="C160" s="13" t="s">
        <v>1270</v>
      </c>
      <c r="D160" s="13" t="str">
        <f>IF(NodesData[[#This Row],[Class Disambiguation]]="",NodesData[[#This Row],[Common Name]],NodesData[[#This Row],[Common Name]]&amp;" ("&amp;NodesData[[#This Row],[Class Disambiguation]]&amp;")")</f>
        <v>ESSO (Acronym)</v>
      </c>
      <c r="F160" s="13" t="s">
        <v>756</v>
      </c>
      <c r="G160" s="20" t="str" cm="1">
        <f t="array" ref="G160">"n"&amp;SUBSTITUTE(CreateGuidString(),"-","_")</f>
        <v>n9E9E29C1_E540_4D66_A314_B77C109FE0E1</v>
      </c>
    </row>
    <row r="161" spans="1:7" x14ac:dyDescent="0.35">
      <c r="A161" s="13" t="s">
        <v>757</v>
      </c>
      <c r="B161" s="14" t="s">
        <v>1499</v>
      </c>
      <c r="D161" s="13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F161" s="13" t="s">
        <v>758</v>
      </c>
      <c r="G161" s="20" t="str" cm="1">
        <f t="array" ref="G161">"n"&amp;SUBSTITUTE(CreateGuidString(),"-","_")</f>
        <v>n6B40E6BC_CC18_4DDC_8C0C_29DE5183599B</v>
      </c>
    </row>
    <row r="162" spans="1:7" x14ac:dyDescent="0.35">
      <c r="A162" s="13" t="s">
        <v>759</v>
      </c>
      <c r="B162" s="14" t="s">
        <v>1500</v>
      </c>
      <c r="D162" s="13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F162" s="13" t="s">
        <v>760</v>
      </c>
      <c r="G162" s="20" t="str" cm="1">
        <f t="array" ref="G162">"n"&amp;SUBSTITUTE(CreateGuidString(),"-","_")</f>
        <v>nB51F80C9_E87C_44DE_9E58_54EA02A1167F</v>
      </c>
    </row>
    <row r="163" spans="1:7" x14ac:dyDescent="0.35">
      <c r="A163" s="13" t="s">
        <v>761</v>
      </c>
      <c r="B163" s="14" t="s">
        <v>1501</v>
      </c>
      <c r="D163" s="13" t="str">
        <f>IF(NodesData[[#This Row],[Class Disambiguation]]="",NodesData[[#This Row],[Common Name]],NodesData[[#This Row],[Common Name]]&amp;" ("&amp;NodesData[[#This Row],[Class Disambiguation]]&amp;")")</f>
        <v>Exploited Identity</v>
      </c>
      <c r="F163" s="13" t="s">
        <v>762</v>
      </c>
      <c r="G163" s="20" t="str" cm="1">
        <f t="array" ref="G163">"n"&amp;SUBSTITUTE(CreateGuidString(),"-","_")</f>
        <v>n9E561BD8_7A1F_4F12_B6F8_EACFBE9EBE03</v>
      </c>
    </row>
    <row r="164" spans="1:7" x14ac:dyDescent="0.35">
      <c r="A164" s="13" t="s">
        <v>763</v>
      </c>
      <c r="B164" s="14" t="s">
        <v>1502</v>
      </c>
      <c r="D164" s="13" t="str">
        <f>IF(NodesData[[#This Row],[Class Disambiguation]]="",NodesData[[#This Row],[Common Name]],NodesData[[#This Row],[Common Name]]&amp;" ("&amp;NodesData[[#This Row],[Class Disambiguation]]&amp;")")</f>
        <v>Extended Enterprise</v>
      </c>
      <c r="F164" s="13" t="s">
        <v>764</v>
      </c>
      <c r="G164" s="20" t="str" cm="1">
        <f t="array" ref="G164">"n"&amp;SUBSTITUTE(CreateGuidString(),"-","_")</f>
        <v>n7D341910_6034_496D_A46C_0508E285F6F3</v>
      </c>
    </row>
    <row r="165" spans="1:7" x14ac:dyDescent="0.35">
      <c r="A165" s="13" t="s">
        <v>765</v>
      </c>
      <c r="B165" s="14" t="s">
        <v>1503</v>
      </c>
      <c r="D165" s="13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F165" s="13" t="s">
        <v>766</v>
      </c>
      <c r="G165" s="20" t="str" cm="1">
        <f t="array" ref="G165">"n"&amp;SUBSTITUTE(CreateGuidString(),"-","_")</f>
        <v>nBE03B141_9B06_45D8_B17F_F2CAA89A0607</v>
      </c>
    </row>
    <row r="166" spans="1:7" x14ac:dyDescent="0.35">
      <c r="A166" s="13" t="s">
        <v>1844</v>
      </c>
      <c r="B166" s="14" t="s">
        <v>1848</v>
      </c>
      <c r="D166" s="19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E166" s="19"/>
      <c r="G166" s="21" t="str" cm="1">
        <f t="array" ref="G166">"n"&amp;SUBSTITUTE(CreateGuidString(),"-","_")</f>
        <v>nDE11DD19_34D4_4C4A_8CCF_B05D0FAF70F4</v>
      </c>
    </row>
    <row r="167" spans="1:7" x14ac:dyDescent="0.35">
      <c r="A167" s="13" t="s">
        <v>1304</v>
      </c>
      <c r="B167" s="14" t="s">
        <v>1513</v>
      </c>
      <c r="D167" s="13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G167" s="20" t="str" cm="1">
        <f t="array" ref="G167">"n"&amp;SUBSTITUTE(CreateGuidString(),"-","_")</f>
        <v>n0C5D4ACF_D647_4EFD_BC43_7BD95E070BF2</v>
      </c>
    </row>
    <row r="168" spans="1:7" x14ac:dyDescent="0.35">
      <c r="A168" s="13" t="s">
        <v>178</v>
      </c>
      <c r="B168" s="14" t="s">
        <v>1505</v>
      </c>
      <c r="D168" s="13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F168" s="13" t="s">
        <v>767</v>
      </c>
      <c r="G168" s="20" t="str" cm="1">
        <f t="array" ref="G168">"n"&amp;SUBSTITUTE(CreateGuidString(),"-","_")</f>
        <v>n19158908_8B4E_4A4D_BB8B_BFD3928B4FCE</v>
      </c>
    </row>
    <row r="169" spans="1:7" x14ac:dyDescent="0.35">
      <c r="A169" s="13" t="s">
        <v>179</v>
      </c>
      <c r="B169" s="14" t="s">
        <v>1506</v>
      </c>
      <c r="C169" s="13" t="s">
        <v>1270</v>
      </c>
      <c r="D169" s="13" t="str">
        <f>IF(NodesData[[#This Row],[Class Disambiguation]]="",NodesData[[#This Row],[Common Name]],NodesData[[#This Row],[Common Name]]&amp;" ("&amp;NodesData[[#This Row],[Class Disambiguation]]&amp;")")</f>
        <v>FAPI (Acronym)</v>
      </c>
      <c r="F169" s="13" t="s">
        <v>768</v>
      </c>
      <c r="G169" s="20" t="str" cm="1">
        <f t="array" ref="G169">"n"&amp;SUBSTITUTE(CreateGuidString(),"-","_")</f>
        <v>n64DE1044_8C59_4171_9940_2E55A505ED84</v>
      </c>
    </row>
    <row r="170" spans="1:7" x14ac:dyDescent="0.35">
      <c r="A170" s="13" t="s">
        <v>769</v>
      </c>
      <c r="B170" s="14" t="s">
        <v>1507</v>
      </c>
      <c r="D170" s="13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F170" s="13" t="s">
        <v>770</v>
      </c>
      <c r="G170" s="20" t="str" cm="1">
        <f t="array" ref="G170">"n"&amp;SUBSTITUTE(CreateGuidString(),"-","_")</f>
        <v>nE2A089CF_4E9E_4DD6_BEEA_B7C23FD99018</v>
      </c>
    </row>
    <row r="171" spans="1:7" x14ac:dyDescent="0.35">
      <c r="A171" s="13" t="s">
        <v>771</v>
      </c>
      <c r="B171" s="14" t="s">
        <v>1508</v>
      </c>
      <c r="D171" s="13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F171" s="13" t="s">
        <v>772</v>
      </c>
      <c r="G171" s="20" t="str" cm="1">
        <f t="array" ref="G171">"n"&amp;SUBSTITUTE(CreateGuidString(),"-","_")</f>
        <v>nECE89F8B_ACB8_4B1C_84A0_CA921724A416</v>
      </c>
    </row>
    <row r="172" spans="1:7" x14ac:dyDescent="0.35">
      <c r="A172" s="13" t="s">
        <v>773</v>
      </c>
      <c r="B172" s="14" t="s">
        <v>1509</v>
      </c>
      <c r="D172" s="13" t="str">
        <f>IF(NodesData[[#This Row],[Class Disambiguation]]="",NodesData[[#This Row],[Common Name]],NodesData[[#This Row],[Common Name]]&amp;" ("&amp;NodesData[[#This Row],[Class Disambiguation]]&amp;")")</f>
        <v>Federated SSO</v>
      </c>
      <c r="F172" s="13" t="s">
        <v>774</v>
      </c>
      <c r="G172" s="20" t="str" cm="1">
        <f t="array" ref="G172">"n"&amp;SUBSTITUTE(CreateGuidString(),"-","_")</f>
        <v>nE20E5B58_C422_4031_99BE_8D11C6B36DC6</v>
      </c>
    </row>
    <row r="173" spans="1:7" x14ac:dyDescent="0.35">
      <c r="A173" s="13" t="s">
        <v>775</v>
      </c>
      <c r="B173" s="14" t="s">
        <v>1510</v>
      </c>
      <c r="D173" s="13" t="str">
        <f>IF(NodesData[[#This Row],[Class Disambiguation]]="",NodesData[[#This Row],[Common Name]],NodesData[[#This Row],[Common Name]]&amp;" ("&amp;NodesData[[#This Row],[Class Disambiguation]]&amp;")")</f>
        <v>Federation Bridge</v>
      </c>
      <c r="F173" s="13" t="s">
        <v>776</v>
      </c>
      <c r="G173" s="20" t="str" cm="1">
        <f t="array" ref="G173">"n"&amp;SUBSTITUTE(CreateGuidString(),"-","_")</f>
        <v>n84C756FB_A25B_4554_A3F9_D8428D23A569</v>
      </c>
    </row>
    <row r="174" spans="1:7" x14ac:dyDescent="0.35">
      <c r="A174" s="13" t="s">
        <v>777</v>
      </c>
      <c r="B174" s="14" t="s">
        <v>1511</v>
      </c>
      <c r="C174" s="13" t="s">
        <v>1270</v>
      </c>
      <c r="D174" s="13" t="str">
        <f>IF(NodesData[[#This Row],[Class Disambiguation]]="",NodesData[[#This Row],[Common Name]],NodesData[[#This Row],[Common Name]]&amp;" ("&amp;NodesData[[#This Row],[Class Disambiguation]]&amp;")")</f>
        <v>FIM (Acronym)</v>
      </c>
      <c r="F174" s="13" t="s">
        <v>778</v>
      </c>
      <c r="G174" s="20" t="str" cm="1">
        <f t="array" ref="G174">"n"&amp;SUBSTITUTE(CreateGuidString(),"-","_")</f>
        <v>nD3BF8486_C37A_4E1F_9280_DF1035BC0D97</v>
      </c>
    </row>
    <row r="175" spans="1:7" x14ac:dyDescent="0.35">
      <c r="A175" s="33" t="s">
        <v>1926</v>
      </c>
      <c r="B175" s="14" t="s">
        <v>1936</v>
      </c>
      <c r="D175" s="19" t="str">
        <f>IF(NodesData[[#This Row],[Class Disambiguation]]="",NodesData[[#This Row],[Common Name]],NodesData[[#This Row],[Common Name]]&amp;" ("&amp;NodesData[[#This Row],[Class Disambiguation]]&amp;")")</f>
        <v>Financial Gain</v>
      </c>
      <c r="E175" s="19"/>
      <c r="G175" s="21" t="str" cm="1">
        <f t="array" ref="G175">"n"&amp;SUBSTITUTE(CreateGuidString(),"-","_")</f>
        <v>nF8F45C79_21C9_460F_B2F2_BB9FE3496D6C</v>
      </c>
    </row>
    <row r="176" spans="1:7" x14ac:dyDescent="0.35">
      <c r="A176" s="13" t="s">
        <v>185</v>
      </c>
      <c r="B176" s="14" t="s">
        <v>1512</v>
      </c>
      <c r="D176" s="13" t="str">
        <f>IF(NodesData[[#This Row],[Class Disambiguation]]="",NodesData[[#This Row],[Common Name]],NodesData[[#This Row],[Common Name]]&amp;" ("&amp;NodesData[[#This Row],[Class Disambiguation]]&amp;")")</f>
        <v>Financial-grade API</v>
      </c>
      <c r="F176" s="13" t="s">
        <v>779</v>
      </c>
      <c r="G176" s="20" t="str" cm="1">
        <f t="array" ref="G176">"n"&amp;SUBSTITUTE(CreateGuidString(),"-","_")</f>
        <v>nA2C14869_9D6D_4E36_8153_8B2F0536E59E</v>
      </c>
    </row>
    <row r="177" spans="1:7" x14ac:dyDescent="0.35">
      <c r="A177" s="13" t="s">
        <v>1306</v>
      </c>
      <c r="B177" s="14" t="s">
        <v>1520</v>
      </c>
      <c r="D177" s="13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G177" s="20" t="str" cm="1">
        <f t="array" ref="G177">"n"&amp;SUBSTITUTE(CreateGuidString(),"-","_")</f>
        <v>nE7CFFA5C_659B_4360_B1CD_14A65F8BAA4C</v>
      </c>
    </row>
    <row r="178" spans="1:7" x14ac:dyDescent="0.35">
      <c r="A178" s="13" t="s">
        <v>186</v>
      </c>
      <c r="B178" s="14" t="s">
        <v>1514</v>
      </c>
      <c r="C178" s="13" t="s">
        <v>1270</v>
      </c>
      <c r="D178" s="13" t="str">
        <f>IF(NodesData[[#This Row],[Class Disambiguation]]="",NodesData[[#This Row],[Common Name]],NodesData[[#This Row],[Common Name]]&amp;" ("&amp;NodesData[[#This Row],[Class Disambiguation]]&amp;")")</f>
        <v>FinTech (Acronym)</v>
      </c>
      <c r="F178" s="13" t="s">
        <v>780</v>
      </c>
      <c r="G178" s="20" t="str" cm="1">
        <f t="array" ref="G178">"n"&amp;SUBSTITUTE(CreateGuidString(),"-","_")</f>
        <v>n833D7F81_11AC_4154_A926_C16D3C346689</v>
      </c>
    </row>
    <row r="179" spans="1:7" x14ac:dyDescent="0.35">
      <c r="A179" s="13" t="s">
        <v>781</v>
      </c>
      <c r="B179" s="14" t="s">
        <v>1515</v>
      </c>
      <c r="D179" s="13" t="str">
        <f>IF(NodesData[[#This Row],[Class Disambiguation]]="",NodesData[[#This Row],[Common Name]],NodesData[[#This Row],[Common Name]]&amp;" ("&amp;NodesData[[#This Row],[Class Disambiguation]]&amp;")")</f>
        <v>Flexibility</v>
      </c>
      <c r="F179" s="13" t="s">
        <v>782</v>
      </c>
      <c r="G179" s="20" t="str" cm="1">
        <f t="array" ref="G179">"n"&amp;SUBSTITUTE(CreateGuidString(),"-","_")</f>
        <v>n10DDA614_E15B_4CDF_8911_63399D7B7E87</v>
      </c>
    </row>
    <row r="180" spans="1:7" x14ac:dyDescent="0.35">
      <c r="A180" s="13" t="s">
        <v>783</v>
      </c>
      <c r="B180" s="14" t="s">
        <v>1516</v>
      </c>
      <c r="D180" s="13" t="str">
        <f>IF(NodesData[[#This Row],[Class Disambiguation]]="",NodesData[[#This Row],[Common Name]],NodesData[[#This Row],[Common Name]]&amp;" ("&amp;NodesData[[#This Row],[Class Disambiguation]]&amp;")")</f>
        <v>Flow Analysis</v>
      </c>
      <c r="F180" s="13" t="s">
        <v>784</v>
      </c>
      <c r="G180" s="20" t="str" cm="1">
        <f t="array" ref="G180">"n"&amp;SUBSTITUTE(CreateGuidString(),"-","_")</f>
        <v>n2D336F14_BD38_4D62_B13C_F6E31DDFA20A</v>
      </c>
    </row>
    <row r="181" spans="1:7" x14ac:dyDescent="0.35">
      <c r="A181" s="13" t="s">
        <v>785</v>
      </c>
      <c r="B181" s="14" t="s">
        <v>1517</v>
      </c>
      <c r="D181" s="13" t="str">
        <f>IF(NodesData[[#This Row],[Class Disambiguation]]="",NodesData[[#This Row],[Common Name]],NodesData[[#This Row],[Common Name]]&amp;" ("&amp;NodesData[[#This Row],[Class Disambiguation]]&amp;")")</f>
        <v>Forged Identity</v>
      </c>
      <c r="F181" s="13" t="s">
        <v>786</v>
      </c>
      <c r="G181" s="20" t="str" cm="1">
        <f t="array" ref="G181">"n"&amp;SUBSTITUTE(CreateGuidString(),"-","_")</f>
        <v>nA848A5E6_0090_4BBE_B5ED_D9A0CA95333D</v>
      </c>
    </row>
    <row r="182" spans="1:7" x14ac:dyDescent="0.35">
      <c r="A182" s="13" t="s">
        <v>787</v>
      </c>
      <c r="B182" s="14" t="s">
        <v>1518</v>
      </c>
      <c r="D182" s="13" t="str">
        <f>IF(NodesData[[#This Row],[Class Disambiguation]]="",NodesData[[#This Row],[Common Name]],NodesData[[#This Row],[Common Name]]&amp;" ("&amp;NodesData[[#This Row],[Class Disambiguation]]&amp;")")</f>
        <v>Formal Verification</v>
      </c>
      <c r="F182" s="13" t="s">
        <v>788</v>
      </c>
      <c r="G182" s="20" t="str" cm="1">
        <f t="array" ref="G182">"n"&amp;SUBSTITUTE(CreateGuidString(),"-","_")</f>
        <v>n10382DC9_8734_4047_8E0C_D03364BFB1DC</v>
      </c>
    </row>
    <row r="183" spans="1:7" x14ac:dyDescent="0.35">
      <c r="A183" s="13" t="s">
        <v>192</v>
      </c>
      <c r="B183" s="14" t="s">
        <v>1519</v>
      </c>
      <c r="D183" s="13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F183" s="13" t="s">
        <v>789</v>
      </c>
      <c r="G183" s="20" t="str" cm="1">
        <f t="array" ref="G183">"n"&amp;SUBSTITUTE(CreateGuidString(),"-","_")</f>
        <v>n40AF30EC_2D14_4B49_8F5F_5C315BD3861F</v>
      </c>
    </row>
    <row r="184" spans="1:7" x14ac:dyDescent="0.35">
      <c r="A184" s="13" t="s">
        <v>1300</v>
      </c>
      <c r="B184" s="14" t="s">
        <v>1523</v>
      </c>
      <c r="D184" s="13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G184" s="20" t="str" cm="1">
        <f t="array" ref="G184">"n"&amp;SUBSTITUTE(CreateGuidString(),"-","_")</f>
        <v>nFFEFD4B8_E0C0_43C1_8C41_5A1C35E974EE</v>
      </c>
    </row>
    <row r="185" spans="1:7" x14ac:dyDescent="0.35">
      <c r="A185" s="13" t="s">
        <v>790</v>
      </c>
      <c r="B185" s="14" t="s">
        <v>1521</v>
      </c>
      <c r="D185" s="13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F185" s="13" t="s">
        <v>791</v>
      </c>
      <c r="G185" s="20" t="str" cm="1">
        <f t="array" ref="G185">"n"&amp;SUBSTITUTE(CreateGuidString(),"-","_")</f>
        <v>nEC1E6059_10D6_4CA7_8F0E_A07851DB1345</v>
      </c>
    </row>
    <row r="186" spans="1:7" x14ac:dyDescent="0.35">
      <c r="A186" s="13" t="s">
        <v>792</v>
      </c>
      <c r="B186" s="14" t="s">
        <v>1522</v>
      </c>
      <c r="D186" s="13" t="str">
        <f>IF(NodesData[[#This Row],[Class Disambiguation]]="",NodesData[[#This Row],[Common Name]],NodesData[[#This Row],[Common Name]]&amp;" ("&amp;NodesData[[#This Row],[Class Disambiguation]]&amp;")")</f>
        <v>Functional System</v>
      </c>
      <c r="F186" s="13" t="s">
        <v>793</v>
      </c>
      <c r="G186" s="20" t="str" cm="1">
        <f t="array" ref="G186">"n"&amp;SUBSTITUTE(CreateGuidString(),"-","_")</f>
        <v>n08DE5A51_A8EB_4B72_A2BF_0881106CE2A5</v>
      </c>
    </row>
    <row r="187" spans="1:7" x14ac:dyDescent="0.35">
      <c r="A187" s="13" t="s">
        <v>1307</v>
      </c>
      <c r="B187" s="14" t="s">
        <v>1524</v>
      </c>
      <c r="D187" s="13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G187" s="20" t="str" cm="1">
        <f t="array" ref="G187">"n"&amp;SUBSTITUTE(CreateGuidString(),"-","_")</f>
        <v>nCE72634D_B97F_46B0_B2A1_E8E374283510</v>
      </c>
    </row>
    <row r="188" spans="1:7" x14ac:dyDescent="0.35">
      <c r="A188" s="13" t="s">
        <v>1305</v>
      </c>
      <c r="B188" s="14" t="s">
        <v>1525</v>
      </c>
      <c r="D188" s="13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G188" s="20" t="str" cm="1">
        <f t="array" ref="G188">"n"&amp;SUBSTITUTE(CreateGuidString(),"-","_")</f>
        <v>n6FA8642C_1BD9_4D6D_AD6A_0D98BCF8A341</v>
      </c>
    </row>
    <row r="189" spans="1:7" x14ac:dyDescent="0.35">
      <c r="A189" s="13" t="s">
        <v>1325</v>
      </c>
      <c r="B189" s="14" t="s">
        <v>1527</v>
      </c>
      <c r="D189" s="13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G189" s="20" t="str" cm="1">
        <f t="array" ref="G189">"n"&amp;SUBSTITUTE(CreateGuidString(),"-","_")</f>
        <v>nFD81E148_B9A6_48AF_87C3_B0063B2A6C51</v>
      </c>
    </row>
    <row r="190" spans="1:7" x14ac:dyDescent="0.35">
      <c r="A190" s="13" t="s">
        <v>794</v>
      </c>
      <c r="B190" s="14" t="s">
        <v>1526</v>
      </c>
      <c r="D190" s="13" t="str">
        <f>IF(NodesData[[#This Row],[Class Disambiguation]]="",NodesData[[#This Row],[Common Name]],NodesData[[#This Row],[Common Name]]&amp;" ("&amp;NodesData[[#This Row],[Class Disambiguation]]&amp;")")</f>
        <v>Guest Account</v>
      </c>
      <c r="F190" s="13" t="s">
        <v>795</v>
      </c>
      <c r="G190" s="20" t="str" cm="1">
        <f t="array" ref="G190">"n"&amp;SUBSTITUTE(CreateGuidString(),"-","_")</f>
        <v>n1A94AF43_135F_4DE9_B35D_4F4A36353384</v>
      </c>
    </row>
    <row r="191" spans="1:7" x14ac:dyDescent="0.35">
      <c r="A191" s="13" t="s">
        <v>1308</v>
      </c>
      <c r="B191" s="14" t="s">
        <v>1528</v>
      </c>
      <c r="D191" s="13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G191" s="20" t="str" cm="1">
        <f t="array" ref="G191">"n"&amp;SUBSTITUTE(CreateGuidString(),"-","_")</f>
        <v>n8C34C05F_0B42_46B4_8302_FF3BC67C3CCF</v>
      </c>
    </row>
    <row r="192" spans="1:7" x14ac:dyDescent="0.35">
      <c r="A192" s="13" t="s">
        <v>1309</v>
      </c>
      <c r="B192" s="14" t="s">
        <v>1566</v>
      </c>
      <c r="D192" s="13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G192" s="20" t="str" cm="1">
        <f t="array" ref="G192">"n"&amp;SUBSTITUTE(CreateGuidString(),"-","_")</f>
        <v>n7A6CD0EF_211C_4BCC_881A_FE737F67AD3A</v>
      </c>
    </row>
    <row r="193" spans="1:7" x14ac:dyDescent="0.35">
      <c r="A193" s="13" t="s">
        <v>796</v>
      </c>
      <c r="B193" s="14" t="s">
        <v>1529</v>
      </c>
      <c r="D193" s="13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F193" s="13" t="s">
        <v>797</v>
      </c>
      <c r="G193" s="20" t="str" cm="1">
        <f t="array" ref="G193">"n"&amp;SUBSTITUTE(CreateGuidString(),"-","_")</f>
        <v>n1EBCB0C8_7185_4FBD_ABFB_856D5729DBD5</v>
      </c>
    </row>
    <row r="194" spans="1:7" x14ac:dyDescent="0.35">
      <c r="A194" s="13" t="s">
        <v>798</v>
      </c>
      <c r="B194" s="14" t="s">
        <v>1530</v>
      </c>
      <c r="D194" s="13" t="str">
        <f>IF(NodesData[[#This Row],[Class Disambiguation]]="",NodesData[[#This Row],[Common Name]],NodesData[[#This Row],[Common Name]]&amp;" ("&amp;NodesData[[#This Row],[Class Disambiguation]]&amp;")")</f>
        <v>Human Error</v>
      </c>
      <c r="F194" s="13" t="s">
        <v>799</v>
      </c>
      <c r="G194" s="20" t="str" cm="1">
        <f t="array" ref="G194">"n"&amp;SUBSTITUTE(CreateGuidString(),"-","_")</f>
        <v>nA92C6EB2_0F02_4937_870C_396BC259F98B</v>
      </c>
    </row>
    <row r="195" spans="1:7" x14ac:dyDescent="0.35">
      <c r="A195" s="13" t="s">
        <v>800</v>
      </c>
      <c r="B195" s="14" t="s">
        <v>1531</v>
      </c>
      <c r="D195" s="13" t="str">
        <f>IF(NodesData[[#This Row],[Class Disambiguation]]="",NodesData[[#This Row],[Common Name]],NodesData[[#This Row],[Common Name]]&amp;" ("&amp;NodesData[[#This Row],[Class Disambiguation]]&amp;")")</f>
        <v>Human Reliability</v>
      </c>
      <c r="F195" s="13" t="s">
        <v>801</v>
      </c>
      <c r="G195" s="20" t="str" cm="1">
        <f t="array" ref="G195">"n"&amp;SUBSTITUTE(CreateGuidString(),"-","_")</f>
        <v>nAFF5F739_6CEB_4F93_95C8_CE6D68680BA7</v>
      </c>
    </row>
    <row r="196" spans="1:7" x14ac:dyDescent="0.35">
      <c r="A196" s="13" t="s">
        <v>201</v>
      </c>
      <c r="B196" s="14" t="s">
        <v>1532</v>
      </c>
      <c r="C196" s="13" t="s">
        <v>1270</v>
      </c>
      <c r="D196" s="13" t="str">
        <f>IF(NodesData[[#This Row],[Class Disambiguation]]="",NodesData[[#This Row],[Common Name]],NodesData[[#This Row],[Common Name]]&amp;" ("&amp;NodesData[[#This Row],[Class Disambiguation]]&amp;")")</f>
        <v>IAG (Acronym)</v>
      </c>
      <c r="F196" s="13" t="s">
        <v>802</v>
      </c>
      <c r="G196" s="20" t="str" cm="1">
        <f t="array" ref="G196">"n"&amp;SUBSTITUTE(CreateGuidString(),"-","_")</f>
        <v>n76A8BAE1_B43F_44F4_9AD9_73DCD4DA6A64</v>
      </c>
    </row>
    <row r="197" spans="1:7" x14ac:dyDescent="0.35">
      <c r="A197" s="13" t="s">
        <v>202</v>
      </c>
      <c r="B197" s="14" t="s">
        <v>1533</v>
      </c>
      <c r="C197" s="13" t="s">
        <v>1270</v>
      </c>
      <c r="D197" s="13" t="str">
        <f>IF(NodesData[[#This Row],[Class Disambiguation]]="",NodesData[[#This Row],[Common Name]],NodesData[[#This Row],[Common Name]]&amp;" ("&amp;NodesData[[#This Row],[Class Disambiguation]]&amp;")")</f>
        <v>IAM (Acronym)</v>
      </c>
      <c r="F197" s="13" t="s">
        <v>803</v>
      </c>
      <c r="G197" s="20" t="str" cm="1">
        <f t="array" ref="G197">"n"&amp;SUBSTITUTE(CreateGuidString(),"-","_")</f>
        <v>nAC834696_E14F_4AC9_847F_9C181D6C3876</v>
      </c>
    </row>
    <row r="198" spans="1:7" x14ac:dyDescent="0.35">
      <c r="A198" s="13" t="s">
        <v>804</v>
      </c>
      <c r="B198" s="14" t="s">
        <v>1534</v>
      </c>
      <c r="C198" s="13" t="s">
        <v>1270</v>
      </c>
      <c r="D198" s="13" t="str">
        <f>IF(NodesData[[#This Row],[Class Disambiguation]]="",NodesData[[#This Row],[Common Name]],NodesData[[#This Row],[Common Name]]&amp;" ("&amp;NodesData[[#This Row],[Class Disambiguation]]&amp;")")</f>
        <v>IAM ARN (Acronym)</v>
      </c>
      <c r="F198" s="13" t="s">
        <v>805</v>
      </c>
      <c r="G198" s="20" t="str" cm="1">
        <f t="array" ref="G198">"n"&amp;SUBSTITUTE(CreateGuidString(),"-","_")</f>
        <v>n58EBCE68_C63E_406D_888C_4F054C87ECFF</v>
      </c>
    </row>
    <row r="199" spans="1:7" x14ac:dyDescent="0.35">
      <c r="A199" s="13" t="s">
        <v>806</v>
      </c>
      <c r="B199" s="14" t="s">
        <v>1535</v>
      </c>
      <c r="D199" s="13" t="str">
        <f>IF(NodesData[[#This Row],[Class Disambiguation]]="",NodesData[[#This Row],[Common Name]],NodesData[[#This Row],[Common Name]]&amp;" ("&amp;NodesData[[#This Row],[Class Disambiguation]]&amp;")")</f>
        <v>IAM Management</v>
      </c>
      <c r="F199" s="13" t="s">
        <v>807</v>
      </c>
      <c r="G199" s="20" t="str" cm="1">
        <f t="array" ref="G199">"n"&amp;SUBSTITUTE(CreateGuidString(),"-","_")</f>
        <v>nAF3BF1A0_57C1_4829_907A_469ADB340337</v>
      </c>
    </row>
    <row r="200" spans="1:7" x14ac:dyDescent="0.35">
      <c r="A200" s="13" t="s">
        <v>808</v>
      </c>
      <c r="B200" s="14" t="s">
        <v>1536</v>
      </c>
      <c r="C200" s="13" t="s">
        <v>1270</v>
      </c>
      <c r="D200" s="13" t="str">
        <f>IF(NodesData[[#This Row],[Class Disambiguation]]="",NodesData[[#This Row],[Common Name]],NodesData[[#This Row],[Common Name]]&amp;" ("&amp;NodesData[[#This Row],[Class Disambiguation]]&amp;")")</f>
        <v>IAP (Acronym)</v>
      </c>
      <c r="F200" s="13" t="s">
        <v>809</v>
      </c>
      <c r="G200" s="20" t="str" cm="1">
        <f t="array" ref="G200">"n"&amp;SUBSTITUTE(CreateGuidString(),"-","_")</f>
        <v>nDBC4DAE1_A48F_4E2C_917B_255F2DF250E0</v>
      </c>
    </row>
    <row r="201" spans="1:7" x14ac:dyDescent="0.35">
      <c r="A201" s="13" t="s">
        <v>810</v>
      </c>
      <c r="B201" s="14" t="s">
        <v>1537</v>
      </c>
      <c r="C201" s="13" t="s">
        <v>1270</v>
      </c>
      <c r="D201" s="13" t="str">
        <f>IF(NodesData[[#This Row],[Class Disambiguation]]="",NodesData[[#This Row],[Common Name]],NodesData[[#This Row],[Common Name]]&amp;" ("&amp;NodesData[[#This Row],[Class Disambiguation]]&amp;")")</f>
        <v>IDaaS (Acronym)</v>
      </c>
      <c r="F201" s="13" t="s">
        <v>811</v>
      </c>
      <c r="G201" s="20" t="str" cm="1">
        <f t="array" ref="G201">"n"&amp;SUBSTITUTE(CreateGuidString(),"-","_")</f>
        <v>n983C23C7_FD3E_4EF9_AF48_1EBF5C9D442D</v>
      </c>
    </row>
    <row r="202" spans="1:7" x14ac:dyDescent="0.35">
      <c r="A202" s="13" t="s">
        <v>812</v>
      </c>
      <c r="B202" s="14" t="s">
        <v>1538</v>
      </c>
      <c r="D202" s="13" t="str">
        <f>IF(NodesData[[#This Row],[Class Disambiguation]]="",NodesData[[#This Row],[Common Name]],NodesData[[#This Row],[Common Name]]&amp;" ("&amp;NodesData[[#This Row],[Class Disambiguation]]&amp;")")</f>
        <v>Ideal Type</v>
      </c>
      <c r="F202" s="13" t="s">
        <v>813</v>
      </c>
      <c r="G202" s="20" t="str" cm="1">
        <f t="array" ref="G202">"n"&amp;SUBSTITUTE(CreateGuidString(),"-","_")</f>
        <v>n46211A4F_E881_47E8_8C36_4B6F6F0E173F</v>
      </c>
    </row>
    <row r="203" spans="1:7" x14ac:dyDescent="0.35">
      <c r="A203" s="13" t="s">
        <v>814</v>
      </c>
      <c r="B203" s="14" t="s">
        <v>1539</v>
      </c>
      <c r="D203" s="13" t="str">
        <f>IF(NodesData[[#This Row],[Class Disambiguation]]="",NodesData[[#This Row],[Common Name]],NodesData[[#This Row],[Common Name]]&amp;" ("&amp;NodesData[[#This Row],[Class Disambiguation]]&amp;")")</f>
        <v>Identification</v>
      </c>
      <c r="F203" s="13" t="s">
        <v>815</v>
      </c>
      <c r="G203" s="20" t="str" cm="1">
        <f t="array" ref="G203">"n"&amp;SUBSTITUTE(CreateGuidString(),"-","_")</f>
        <v>nC6E73D80_854B_4541_85B5_4EACF4056020</v>
      </c>
    </row>
    <row r="204" spans="1:7" x14ac:dyDescent="0.35">
      <c r="A204" s="13" t="s">
        <v>816</v>
      </c>
      <c r="B204" s="14" t="s">
        <v>1540</v>
      </c>
      <c r="D204" s="13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F204" s="13" t="s">
        <v>817</v>
      </c>
      <c r="G204" s="20" t="str" cm="1">
        <f t="array" ref="G204">"n"&amp;SUBSTITUTE(CreateGuidString(),"-","_")</f>
        <v>n812AEA7D_7C78_4B9D_8706_C0B0A380A00C</v>
      </c>
    </row>
    <row r="205" spans="1:7" x14ac:dyDescent="0.35">
      <c r="A205" s="13" t="s">
        <v>818</v>
      </c>
      <c r="B205" s="14" t="s">
        <v>1541</v>
      </c>
      <c r="D205" s="13" t="str">
        <f>IF(NodesData[[#This Row],[Class Disambiguation]]="",NodesData[[#This Row],[Common Name]],NodesData[[#This Row],[Common Name]]&amp;" ("&amp;NodesData[[#This Row],[Class Disambiguation]]&amp;")")</f>
        <v>Identifier</v>
      </c>
      <c r="F205" s="13" t="s">
        <v>819</v>
      </c>
      <c r="G205" s="20" t="str" cm="1">
        <f t="array" ref="G205">"n"&amp;SUBSTITUTE(CreateGuidString(),"-","_")</f>
        <v>n4F5BD3C1_B446_4005_962F_C8AD7E421985</v>
      </c>
    </row>
    <row r="206" spans="1:7" x14ac:dyDescent="0.35">
      <c r="A206" s="13" t="s">
        <v>211</v>
      </c>
      <c r="B206" s="14" t="s">
        <v>1542</v>
      </c>
      <c r="D206" s="13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F206" s="13" t="s">
        <v>820</v>
      </c>
      <c r="G206" s="20" t="str" cm="1">
        <f t="array" ref="G206">"n"&amp;SUBSTITUTE(CreateGuidString(),"-","_")</f>
        <v>n538254D7_877E_4540_B359_ED337C45D087</v>
      </c>
    </row>
    <row r="207" spans="1:7" x14ac:dyDescent="0.35">
      <c r="A207" s="13" t="s">
        <v>821</v>
      </c>
      <c r="B207" s="14" t="s">
        <v>1543</v>
      </c>
      <c r="D207" s="13" t="str">
        <f>IF(NodesData[[#This Row],[Class Disambiguation]]="",NodesData[[#This Row],[Common Name]],NodesData[[#This Row],[Common Name]]&amp;" ("&amp;NodesData[[#This Row],[Class Disambiguation]]&amp;")")</f>
        <v>Identity</v>
      </c>
      <c r="F207" s="13" t="s">
        <v>822</v>
      </c>
      <c r="G207" s="20" t="str" cm="1">
        <f t="array" ref="G207">"n"&amp;SUBSTITUTE(CreateGuidString(),"-","_")</f>
        <v>n0A8CA54C_2A03_450E_A45E_C72A43458765</v>
      </c>
    </row>
    <row r="208" spans="1:7" x14ac:dyDescent="0.35">
      <c r="A208" s="13" t="s">
        <v>213</v>
      </c>
      <c r="B208" s="14" t="s">
        <v>1544</v>
      </c>
      <c r="D208" s="13" t="str">
        <f>IF(NodesData[[#This Row],[Class Disambiguation]]="",NodesData[[#This Row],[Common Name]],NodesData[[#This Row],[Common Name]]&amp;" ("&amp;NodesData[[#This Row],[Class Disambiguation]]&amp;")")</f>
        <v>Identity Aggregation</v>
      </c>
      <c r="F208" s="13" t="s">
        <v>823</v>
      </c>
      <c r="G208" s="20" t="str" cm="1">
        <f t="array" ref="G208">"n"&amp;SUBSTITUTE(CreateGuidString(),"-","_")</f>
        <v>n16CFAE3C_EDA6_4BA9_9181_87626FECAFD9</v>
      </c>
    </row>
    <row r="209" spans="1:7" x14ac:dyDescent="0.35">
      <c r="A209" s="13" t="s">
        <v>214</v>
      </c>
      <c r="B209" s="14" t="s">
        <v>1545</v>
      </c>
      <c r="D209" s="13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F209" s="13" t="s">
        <v>824</v>
      </c>
      <c r="G209" s="20" t="str" cm="1">
        <f t="array" ref="G209">"n"&amp;SUBSTITUTE(CreateGuidString(),"-","_")</f>
        <v>nC7FA2E7E_4DC7_42E6_B58A_7A5AF6E9749D</v>
      </c>
    </row>
    <row r="210" spans="1:7" x14ac:dyDescent="0.35">
      <c r="A210" s="13" t="s">
        <v>215</v>
      </c>
      <c r="B210" s="14" t="s">
        <v>1546</v>
      </c>
      <c r="D210" s="13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F210" s="13" t="s">
        <v>825</v>
      </c>
      <c r="G210" s="20" t="str" cm="1">
        <f t="array" ref="G210">"n"&amp;SUBSTITUTE(CreateGuidString(),"-","_")</f>
        <v>n9BC8C4EC_566B_492B_8A84_EC2C13C0D96B</v>
      </c>
    </row>
    <row r="211" spans="1:7" x14ac:dyDescent="0.35">
      <c r="A211" s="13" t="s">
        <v>217</v>
      </c>
      <c r="B211" s="14" t="s">
        <v>1548</v>
      </c>
      <c r="D211" s="13" t="str">
        <f>IF(NodesData[[#This Row],[Class Disambiguation]]="",NodesData[[#This Row],[Common Name]],NodesData[[#This Row],[Common Name]]&amp;" ("&amp;NodesData[[#This Row],[Class Disambiguation]]&amp;")")</f>
        <v>Identity Assurance</v>
      </c>
      <c r="F211" s="13" t="s">
        <v>826</v>
      </c>
      <c r="G211" s="20" t="str" cm="1">
        <f t="array" ref="G211">"n"&amp;SUBSTITUTE(CreateGuidString(),"-","_")</f>
        <v>nC2325409_1F60_46FD_AC58_960AAEBBCE9F</v>
      </c>
    </row>
    <row r="212" spans="1:7" x14ac:dyDescent="0.35">
      <c r="A212" s="13" t="s">
        <v>827</v>
      </c>
      <c r="B212" s="14" t="s">
        <v>1549</v>
      </c>
      <c r="D212" s="13" t="str">
        <f>IF(NodesData[[#This Row],[Class Disambiguation]]="",NodesData[[#This Row],[Common Name]],NodesData[[#This Row],[Common Name]]&amp;" ("&amp;NodesData[[#This Row],[Class Disambiguation]]&amp;")")</f>
        <v>Identity Attribute</v>
      </c>
      <c r="F212" s="13" t="s">
        <v>828</v>
      </c>
      <c r="G212" s="20" t="str" cm="1">
        <f t="array" ref="G212">"n"&amp;SUBSTITUTE(CreateGuidString(),"-","_")</f>
        <v>nB30E32B3_F533_4528_B285_5F5637525D95</v>
      </c>
    </row>
    <row r="213" spans="1:7" x14ac:dyDescent="0.35">
      <c r="A213" s="33" t="s">
        <v>1928</v>
      </c>
      <c r="B213" s="14" t="s">
        <v>1937</v>
      </c>
      <c r="D213" s="19" t="str">
        <f>IF(NodesData[[#This Row],[Class Disambiguation]]="",NodesData[[#This Row],[Common Name]],NodesData[[#This Row],[Common Name]]&amp;" ("&amp;NodesData[[#This Row],[Class Disambiguation]]&amp;")")</f>
        <v>Identity Deception</v>
      </c>
      <c r="E213" s="19"/>
      <c r="G213" s="21" t="str" cm="1">
        <f t="array" ref="G213">"n"&amp;SUBSTITUTE(CreateGuidString(),"-","_")</f>
        <v>nB42BE858_15BC_4408_A12A_E37DFE71E895</v>
      </c>
    </row>
    <row r="214" spans="1:7" x14ac:dyDescent="0.35">
      <c r="A214" s="13" t="s">
        <v>220</v>
      </c>
      <c r="B214" s="14" t="s">
        <v>1551</v>
      </c>
      <c r="D214" s="13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F214" s="13" t="s">
        <v>829</v>
      </c>
      <c r="G214" s="20" t="str" cm="1">
        <f t="array" ref="G214">"n"&amp;SUBSTITUTE(CreateGuidString(),"-","_")</f>
        <v>n13F1BBC6_0978_426E_99CB_C59B9665426C</v>
      </c>
    </row>
    <row r="215" spans="1:7" x14ac:dyDescent="0.35">
      <c r="A215" s="13" t="s">
        <v>221</v>
      </c>
      <c r="B215" s="14" t="s">
        <v>1552</v>
      </c>
      <c r="D215" s="13" t="str">
        <f>IF(NodesData[[#This Row],[Class Disambiguation]]="",NodesData[[#This Row],[Common Name]],NodesData[[#This Row],[Common Name]]&amp;" ("&amp;NodesData[[#This Row],[Class Disambiguation]]&amp;")")</f>
        <v>Identity Federation</v>
      </c>
      <c r="F215" s="13" t="s">
        <v>830</v>
      </c>
      <c r="G215" s="20" t="str" cm="1">
        <f t="array" ref="G215">"n"&amp;SUBSTITUTE(CreateGuidString(),"-","_")</f>
        <v>nD9E30E62_B98D_46C3_AB52_1892349EBDF6</v>
      </c>
    </row>
    <row r="216" spans="1:7" x14ac:dyDescent="0.35">
      <c r="A216" s="13" t="s">
        <v>222</v>
      </c>
      <c r="B216" s="14" t="s">
        <v>1553</v>
      </c>
      <c r="D216" s="13" t="str">
        <f>IF(NodesData[[#This Row],[Class Disambiguation]]="",NodesData[[#This Row],[Common Name]],NodesData[[#This Row],[Common Name]]&amp;" ("&amp;NodesData[[#This Row],[Class Disambiguation]]&amp;")")</f>
        <v>Identity Guardian</v>
      </c>
      <c r="F216" s="13" t="s">
        <v>831</v>
      </c>
      <c r="G216" s="20" t="str" cm="1">
        <f t="array" ref="G216">"n"&amp;SUBSTITUTE(CreateGuidString(),"-","_")</f>
        <v>n8229376D_5A69_43A5_8FCC_05D1864B0D4E</v>
      </c>
    </row>
    <row r="217" spans="1:7" x14ac:dyDescent="0.35">
      <c r="A217" s="13" t="s">
        <v>832</v>
      </c>
      <c r="B217" s="14" t="s">
        <v>1554</v>
      </c>
      <c r="D217" s="13" t="str">
        <f>IF(NodesData[[#This Row],[Class Disambiguation]]="",NodesData[[#This Row],[Common Name]],NodesData[[#This Row],[Common Name]]&amp;" ("&amp;NodesData[[#This Row],[Class Disambiguation]]&amp;")")</f>
        <v>Identity Lifecycle</v>
      </c>
      <c r="F217" s="13" t="s">
        <v>833</v>
      </c>
      <c r="G217" s="20" t="str" cm="1">
        <f t="array" ref="G217">"n"&amp;SUBSTITUTE(CreateGuidString(),"-","_")</f>
        <v>n20D806E8_E8B4_4ABF_B103_A277219AB3C4</v>
      </c>
    </row>
    <row r="218" spans="1:7" x14ac:dyDescent="0.35">
      <c r="A218" s="13" t="s">
        <v>834</v>
      </c>
      <c r="B218" s="14" t="s">
        <v>1555</v>
      </c>
      <c r="D218" s="13" t="str">
        <f>IF(NodesData[[#This Row],[Class Disambiguation]]="",NodesData[[#This Row],[Common Name]],NodesData[[#This Row],[Common Name]]&amp;" ("&amp;NodesData[[#This Row],[Class Disambiguation]]&amp;")")</f>
        <v>Identity Management</v>
      </c>
      <c r="F218" s="13" t="s">
        <v>835</v>
      </c>
      <c r="G218" s="20" t="str" cm="1">
        <f t="array" ref="G218">"n"&amp;SUBSTITUTE(CreateGuidString(),"-","_")</f>
        <v>nC35CD2EC_A1EF_4B8B_854B_A02064332289</v>
      </c>
    </row>
    <row r="219" spans="1:7" x14ac:dyDescent="0.35">
      <c r="A219" s="13" t="s">
        <v>836</v>
      </c>
      <c r="B219" s="14" t="s">
        <v>1556</v>
      </c>
      <c r="D219" s="13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F219" s="13" t="s">
        <v>837</v>
      </c>
      <c r="G219" s="20" t="str" cm="1">
        <f t="array" ref="G219">"n"&amp;SUBSTITUTE(CreateGuidString(),"-","_")</f>
        <v>n887D2835_2355_4E92_8EB2_E5148090E220</v>
      </c>
    </row>
    <row r="220" spans="1:7" x14ac:dyDescent="0.35">
      <c r="A220" s="13" t="s">
        <v>226</v>
      </c>
      <c r="B220" s="14" t="s">
        <v>1557</v>
      </c>
      <c r="D220" s="13" t="str">
        <f>IF(NodesData[[#This Row],[Class Disambiguation]]="",NodesData[[#This Row],[Common Name]],NodesData[[#This Row],[Common Name]]&amp;" ("&amp;NodesData[[#This Row],[Class Disambiguation]]&amp;")")</f>
        <v>Identity Portability</v>
      </c>
      <c r="F220" s="13" t="s">
        <v>838</v>
      </c>
      <c r="G220" s="20" t="str" cm="1">
        <f t="array" ref="G220">"n"&amp;SUBSTITUTE(CreateGuidString(),"-","_")</f>
        <v>n0D70ACE0_E633_4B8B_AE74_7FC5793AF23B</v>
      </c>
    </row>
    <row r="221" spans="1:7" x14ac:dyDescent="0.35">
      <c r="A221" s="13" t="s">
        <v>839</v>
      </c>
      <c r="B221" s="14" t="s">
        <v>1558</v>
      </c>
      <c r="D221" s="13" t="str">
        <f>IF(NodesData[[#This Row],[Class Disambiguation]]="",NodesData[[#This Row],[Common Name]],NodesData[[#This Row],[Common Name]]&amp;" ("&amp;NodesData[[#This Row],[Class Disambiguation]]&amp;")")</f>
        <v>Identity Proofing</v>
      </c>
      <c r="F221" s="13" t="s">
        <v>840</v>
      </c>
      <c r="G221" s="20" t="str" cm="1">
        <f t="array" ref="G221">"n"&amp;SUBSTITUTE(CreateGuidString(),"-","_")</f>
        <v>nCCA85E8A_44AB_42C2_B444_F656A4D7D23F</v>
      </c>
    </row>
    <row r="222" spans="1:7" x14ac:dyDescent="0.35">
      <c r="A222" s="13" t="s">
        <v>841</v>
      </c>
      <c r="B222" s="14" t="s">
        <v>1559</v>
      </c>
      <c r="D222" s="13" t="str">
        <f>IF(NodesData[[#This Row],[Class Disambiguation]]="",NodesData[[#This Row],[Common Name]],NodesData[[#This Row],[Common Name]]&amp;" ("&amp;NodesData[[#This Row],[Class Disambiguation]]&amp;")")</f>
        <v>Identity Propagation</v>
      </c>
      <c r="F222" s="13" t="s">
        <v>842</v>
      </c>
      <c r="G222" s="20" t="str" cm="1">
        <f t="array" ref="G222">"n"&amp;SUBSTITUTE(CreateGuidString(),"-","_")</f>
        <v>n11ED6E5D_26FC_4988_9905_6B41F66D021E</v>
      </c>
    </row>
    <row r="223" spans="1:7" x14ac:dyDescent="0.35">
      <c r="A223" s="13" t="s">
        <v>843</v>
      </c>
      <c r="B223" s="14" t="s">
        <v>1560</v>
      </c>
      <c r="D223" s="13" t="str">
        <f>IF(NodesData[[#This Row],[Class Disambiguation]]="",NodesData[[#This Row],[Common Name]],NodesData[[#This Row],[Common Name]]&amp;" ("&amp;NodesData[[#This Row],[Class Disambiguation]]&amp;")")</f>
        <v>Identity Provider</v>
      </c>
      <c r="F223" s="13" t="s">
        <v>844</v>
      </c>
      <c r="G223" s="20" t="str" cm="1">
        <f t="array" ref="G223">"n"&amp;SUBSTITUTE(CreateGuidString(),"-","_")</f>
        <v>n9BB8B087_9FF9_4A58_B1A2_CB776ACFEBE9</v>
      </c>
    </row>
    <row r="224" spans="1:7" x14ac:dyDescent="0.35">
      <c r="A224" s="13" t="s">
        <v>845</v>
      </c>
      <c r="B224" s="14" t="s">
        <v>1561</v>
      </c>
      <c r="D224" s="13" t="str">
        <f>IF(NodesData[[#This Row],[Class Disambiguation]]="",NodesData[[#This Row],[Common Name]],NodesData[[#This Row],[Common Name]]&amp;" ("&amp;NodesData[[#This Row],[Class Disambiguation]]&amp;")")</f>
        <v>Identity Repository</v>
      </c>
      <c r="F224" s="13" t="s">
        <v>846</v>
      </c>
      <c r="G224" s="20" t="str" cm="1">
        <f t="array" ref="G224">"n"&amp;SUBSTITUTE(CreateGuidString(),"-","_")</f>
        <v>nECFECE28_1071_496D_863F_AE8E4B8BCE9E</v>
      </c>
    </row>
    <row r="225" spans="1:7" x14ac:dyDescent="0.35">
      <c r="A225" s="31" t="s">
        <v>1917</v>
      </c>
      <c r="B225" s="14" t="s">
        <v>1938</v>
      </c>
      <c r="D225" s="19" t="str">
        <f>IF(NodesData[[#This Row],[Class Disambiguation]]="",NodesData[[#This Row],[Common Name]],NodesData[[#This Row],[Common Name]]&amp;" ("&amp;NodesData[[#This Row],[Class Disambiguation]]&amp;")")</f>
        <v>Identity Theft</v>
      </c>
      <c r="E225" s="19"/>
      <c r="G225" s="21" t="str" cm="1">
        <f t="array" ref="G225">"n"&amp;SUBSTITUTE(CreateGuidString(),"-","_")</f>
        <v>n8FC4CA9D_3F41_4D41_8623_CA64FC3279BA</v>
      </c>
    </row>
    <row r="226" spans="1:7" x14ac:dyDescent="0.35">
      <c r="A226" s="32" t="s">
        <v>1930</v>
      </c>
      <c r="B226" s="14" t="s">
        <v>1939</v>
      </c>
      <c r="D226" s="19" t="str">
        <f>IF(NodesData[[#This Row],[Class Disambiguation]]="",NodesData[[#This Row],[Common Name]],NodesData[[#This Row],[Common Name]]&amp;" ("&amp;NodesData[[#This Row],[Class Disambiguation]]&amp;")")</f>
        <v>Identity Usage Authorization</v>
      </c>
      <c r="E226" s="19"/>
      <c r="G226" s="21" t="str" cm="1">
        <f t="array" ref="G226">"n"&amp;SUBSTITUTE(CreateGuidString(),"-","_")</f>
        <v>n4279B05E_B73C_4031_BB61_BF83EECA18EF</v>
      </c>
    </row>
    <row r="227" spans="1:7" x14ac:dyDescent="0.35">
      <c r="A227" s="13" t="s">
        <v>847</v>
      </c>
      <c r="B227" s="14" t="s">
        <v>1547</v>
      </c>
      <c r="D227" s="13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F227" s="13" t="s">
        <v>848</v>
      </c>
      <c r="G227" s="20" t="str" cm="1">
        <f t="array" ref="G227">"n"&amp;SUBSTITUTE(CreateGuidString(),"-","_")</f>
        <v>nE50008F6_120D_4FF7_A55F_2740E4175FC5</v>
      </c>
    </row>
    <row r="228" spans="1:7" x14ac:dyDescent="0.35">
      <c r="A228" s="13" t="s">
        <v>849</v>
      </c>
      <c r="B228" s="14" t="s">
        <v>1550</v>
      </c>
      <c r="D228" s="13" t="str">
        <f>IF(NodesData[[#This Row],[Class Disambiguation]]="",NodesData[[#This Row],[Common Name]],NodesData[[#This Row],[Common Name]]&amp;" ("&amp;NodesData[[#This Row],[Class Disambiguation]]&amp;")")</f>
        <v>Identity-Aware Proxy</v>
      </c>
      <c r="F228" s="13" t="s">
        <v>850</v>
      </c>
      <c r="G228" s="20" t="str" cm="1">
        <f t="array" ref="G228">"n"&amp;SUBSTITUTE(CreateGuidString(),"-","_")</f>
        <v>nF22C5F2A_DAF8_41A6_B9AE_F703E08DDFC8</v>
      </c>
    </row>
    <row r="229" spans="1:7" x14ac:dyDescent="0.35">
      <c r="A229" s="13" t="s">
        <v>851</v>
      </c>
      <c r="B229" s="14" t="s">
        <v>1562</v>
      </c>
      <c r="C229" s="13" t="s">
        <v>1270</v>
      </c>
      <c r="D229" s="13" t="str">
        <f>IF(NodesData[[#This Row],[Class Disambiguation]]="",NodesData[[#This Row],[Common Name]],NodesData[[#This Row],[Common Name]]&amp;" ("&amp;NodesData[[#This Row],[Class Disambiguation]]&amp;")")</f>
        <v>IdMS (Acronym)</v>
      </c>
      <c r="F229" s="13" t="s">
        <v>852</v>
      </c>
      <c r="G229" s="20" t="str" cm="1">
        <f t="array" ref="G229">"n"&amp;SUBSTITUTE(CreateGuidString(),"-","_")</f>
        <v>n331C71AC_1623_4A94_A12F_CF56560012D3</v>
      </c>
    </row>
    <row r="230" spans="1:7" x14ac:dyDescent="0.35">
      <c r="A230" s="13" t="s">
        <v>853</v>
      </c>
      <c r="B230" s="14" t="s">
        <v>1563</v>
      </c>
      <c r="C230" s="13" t="s">
        <v>1270</v>
      </c>
      <c r="D230" s="13" t="str">
        <f>IF(NodesData[[#This Row],[Class Disambiguation]]="",NodesData[[#This Row],[Common Name]],NodesData[[#This Row],[Common Name]]&amp;" ("&amp;NodesData[[#This Row],[Class Disambiguation]]&amp;")")</f>
        <v>IdP (Acronym)</v>
      </c>
      <c r="F230" s="13" t="s">
        <v>854</v>
      </c>
      <c r="G230" s="20" t="str" cm="1">
        <f t="array" ref="G230">"n"&amp;SUBSTITUTE(CreateGuidString(),"-","_")</f>
        <v>n7AA5A0CF_1E9A_437D_8E4B_BDA39D474F30</v>
      </c>
    </row>
    <row r="231" spans="1:7" x14ac:dyDescent="0.35">
      <c r="A231" s="34" t="s">
        <v>1931</v>
      </c>
      <c r="B231" s="14" t="s">
        <v>1940</v>
      </c>
      <c r="D231" s="19" t="str">
        <f>IF(NodesData[[#This Row],[Class Disambiguation]]="",NodesData[[#This Row],[Common Name]],NodesData[[#This Row],[Common Name]]&amp;" ("&amp;NodesData[[#This Row],[Class Disambiguation]]&amp;")")</f>
        <v>Illegal Action</v>
      </c>
      <c r="E231" s="19"/>
      <c r="G231" s="21" t="str" cm="1">
        <f t="array" ref="G231">"n"&amp;SUBSTITUTE(CreateGuidString(),"-","_")</f>
        <v>nD45AE441_FB56_4E8F_81B1_965050A971D9</v>
      </c>
    </row>
    <row r="232" spans="1:7" x14ac:dyDescent="0.35">
      <c r="A232" s="13" t="s">
        <v>855</v>
      </c>
      <c r="B232" s="14" t="s">
        <v>1564</v>
      </c>
      <c r="C232" s="13" t="s">
        <v>1270</v>
      </c>
      <c r="D232" s="13" t="str">
        <f>IF(NodesData[[#This Row],[Class Disambiguation]]="",NodesData[[#This Row],[Common Name]],NodesData[[#This Row],[Common Name]]&amp;" ("&amp;NodesData[[#This Row],[Class Disambiguation]]&amp;")")</f>
        <v>IMG (Acronym)</v>
      </c>
      <c r="F232" s="13" t="s">
        <v>856</v>
      </c>
      <c r="G232" s="20" t="str" cm="1">
        <f t="array" ref="G232">"n"&amp;SUBSTITUTE(CreateGuidString(),"-","_")</f>
        <v>n956BFE49_1357_43B1_B54E_A17BB0D2CEF3</v>
      </c>
    </row>
    <row r="233" spans="1:7" x14ac:dyDescent="0.35">
      <c r="A233" s="13" t="s">
        <v>857</v>
      </c>
      <c r="B233" s="14" t="s">
        <v>1565</v>
      </c>
      <c r="D233" s="13" t="str">
        <f>IF(NodesData[[#This Row],[Class Disambiguation]]="",NodesData[[#This Row],[Common Name]],NodesData[[#This Row],[Common Name]]&amp;" ("&amp;NodesData[[#This Row],[Class Disambiguation]]&amp;")")</f>
        <v>Impersonation</v>
      </c>
      <c r="F233" s="13" t="s">
        <v>858</v>
      </c>
      <c r="G233" s="20" t="str" cm="1">
        <f t="array" ref="G233">"n"&amp;SUBSTITUTE(CreateGuidString(),"-","_")</f>
        <v>n1D0E0DA9_FB7A_422F_B9C5_8918724AF7E3</v>
      </c>
    </row>
    <row r="234" spans="1:7" x14ac:dyDescent="0.35">
      <c r="A234" s="13" t="s">
        <v>1298</v>
      </c>
      <c r="B234" s="14" t="s">
        <v>1584</v>
      </c>
      <c r="D234" s="13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G234" s="20" t="str" cm="1">
        <f t="array" ref="G234">"n"&amp;SUBSTITUTE(CreateGuidString(),"-","_")</f>
        <v>nFC08E2B5_0690_4730_89A2_303133B97579</v>
      </c>
    </row>
    <row r="235" spans="1:7" x14ac:dyDescent="0.35">
      <c r="A235" s="13" t="s">
        <v>859</v>
      </c>
      <c r="B235" s="14" t="s">
        <v>1567</v>
      </c>
      <c r="D235" s="13" t="str">
        <f>IF(NodesData[[#This Row],[Class Disambiguation]]="",NodesData[[#This Row],[Common Name]],NodesData[[#This Row],[Common Name]]&amp;" ("&amp;NodesData[[#This Row],[Class Disambiguation]]&amp;")")</f>
        <v>Information</v>
      </c>
      <c r="F235" s="13" t="s">
        <v>860</v>
      </c>
      <c r="G235" s="20" t="str" cm="1">
        <f t="array" ref="G235">"n"&amp;SUBSTITUTE(CreateGuidString(),"-","_")</f>
        <v>nED97C4BF_E216_46EB_BF5A_4D670F870A72</v>
      </c>
    </row>
    <row r="236" spans="1:7" x14ac:dyDescent="0.35">
      <c r="A236" s="13" t="s">
        <v>861</v>
      </c>
      <c r="B236" s="14" t="s">
        <v>1568</v>
      </c>
      <c r="D236" s="13" t="str">
        <f>IF(NodesData[[#This Row],[Class Disambiguation]]="",NodesData[[#This Row],[Common Name]],NodesData[[#This Row],[Common Name]]&amp;" ("&amp;NodesData[[#This Row],[Class Disambiguation]]&amp;")")</f>
        <v>Information Asset</v>
      </c>
      <c r="F236" s="13" t="s">
        <v>862</v>
      </c>
      <c r="G236" s="20" t="str" cm="1">
        <f t="array" ref="G236">"n"&amp;SUBSTITUTE(CreateGuidString(),"-","_")</f>
        <v>n2510958B_6558_41A6_8BB7_EDB9B0A459C7</v>
      </c>
    </row>
    <row r="237" spans="1:7" x14ac:dyDescent="0.35">
      <c r="A237" s="13" t="s">
        <v>863</v>
      </c>
      <c r="B237" s="14" t="s">
        <v>1569</v>
      </c>
      <c r="D237" s="13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F237" s="13" t="s">
        <v>864</v>
      </c>
      <c r="G237" s="20" t="str" cm="1">
        <f t="array" ref="G237">"n"&amp;SUBSTITUTE(CreateGuidString(),"-","_")</f>
        <v>n8D8198A4_9F48_46DE_A401_6711E8B8ADFE</v>
      </c>
    </row>
    <row r="238" spans="1:7" x14ac:dyDescent="0.35">
      <c r="A238" s="13" t="s">
        <v>865</v>
      </c>
      <c r="B238" s="14" t="s">
        <v>1570</v>
      </c>
      <c r="D238" s="13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F238" s="13" t="s">
        <v>866</v>
      </c>
      <c r="G238" s="20" t="str" cm="1">
        <f t="array" ref="G238">"n"&amp;SUBSTITUTE(CreateGuidString(),"-","_")</f>
        <v>nDF6F7FA8_9975_43AB_AA44_C2BBA83D7B18</v>
      </c>
    </row>
    <row r="239" spans="1:7" x14ac:dyDescent="0.35">
      <c r="A239" s="13" t="s">
        <v>867</v>
      </c>
      <c r="B239" s="14" t="s">
        <v>1571</v>
      </c>
      <c r="D239" s="13" t="str">
        <f>IF(NodesData[[#This Row],[Class Disambiguation]]="",NodesData[[#This Row],[Common Name]],NodesData[[#This Row],[Common Name]]&amp;" ("&amp;NodesData[[#This Row],[Class Disambiguation]]&amp;")")</f>
        <v>Information Owner</v>
      </c>
      <c r="F239" s="13" t="s">
        <v>868</v>
      </c>
      <c r="G239" s="20" t="str" cm="1">
        <f t="array" ref="G239">"n"&amp;SUBSTITUTE(CreateGuidString(),"-","_")</f>
        <v>n6C1C31B4_B69D_41A9_A7AC_D927BEC47D28</v>
      </c>
    </row>
    <row r="240" spans="1:7" x14ac:dyDescent="0.35">
      <c r="A240" s="13" t="s">
        <v>247</v>
      </c>
      <c r="B240" s="14" t="s">
        <v>1572</v>
      </c>
      <c r="D240" s="13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F240" s="13" t="s">
        <v>869</v>
      </c>
      <c r="G240" s="20" t="str" cm="1">
        <f t="array" ref="G240">"n"&amp;SUBSTITUTE(CreateGuidString(),"-","_")</f>
        <v>n01CA5D8E_663F_4FB2_A841_31C7425B976B</v>
      </c>
    </row>
    <row r="241" spans="1:7" x14ac:dyDescent="0.35">
      <c r="A241" s="13" t="s">
        <v>248</v>
      </c>
      <c r="B241" s="14" t="s">
        <v>1573</v>
      </c>
      <c r="D241" s="13" t="str">
        <f>IF(NodesData[[#This Row],[Class Disambiguation]]="",NodesData[[#This Row],[Common Name]],NodesData[[#This Row],[Common Name]]&amp;" ("&amp;NodesData[[#This Row],[Class Disambiguation]]&amp;")")</f>
        <v>Information System</v>
      </c>
      <c r="F241" s="13" t="s">
        <v>870</v>
      </c>
      <c r="G241" s="20" t="str" cm="1">
        <f t="array" ref="G241">"n"&amp;SUBSTITUTE(CreateGuidString(),"-","_")</f>
        <v>n864BB08D_6A38_4A24_9074_C7CC4C9BF16F</v>
      </c>
    </row>
    <row r="242" spans="1:7" x14ac:dyDescent="0.35">
      <c r="A242" s="13" t="s">
        <v>1294</v>
      </c>
      <c r="B242" s="14" t="s">
        <v>1574</v>
      </c>
      <c r="D242" s="13" t="str">
        <f>IF(NodesData[[#This Row],[Class Disambiguation]]="",NodesData[[#This Row],[Common Name]],NodesData[[#This Row],[Common Name]]&amp;" ("&amp;NodesData[[#This Row],[Class Disambiguation]]&amp;")")</f>
        <v>Inherence Factor</v>
      </c>
      <c r="G242" s="20" t="str" cm="1">
        <f t="array" ref="G242">"n"&amp;SUBSTITUTE(CreateGuidString(),"-","_")</f>
        <v>n60BE23C0_EB55_4FC5_B3D3_597F42839BE4</v>
      </c>
    </row>
    <row r="243" spans="1:7" x14ac:dyDescent="0.35">
      <c r="A243" s="13" t="s">
        <v>250</v>
      </c>
      <c r="B243" s="14" t="s">
        <v>1575</v>
      </c>
      <c r="D243" s="13" t="str">
        <f>IF(NodesData[[#This Row],[Class Disambiguation]]="",NodesData[[#This Row],[Common Name]],NodesData[[#This Row],[Common Name]]&amp;" ("&amp;NodesData[[#This Row],[Class Disambiguation]]&amp;")")</f>
        <v>Inside Attacker</v>
      </c>
      <c r="F243" s="13" t="s">
        <v>871</v>
      </c>
      <c r="G243" s="20" t="str" cm="1">
        <f t="array" ref="G243">"n"&amp;SUBSTITUTE(CreateGuidString(),"-","_")</f>
        <v>n66BD730A_7BE3_4541_8549_64997C0D7345</v>
      </c>
    </row>
    <row r="244" spans="1:7" x14ac:dyDescent="0.35">
      <c r="A244" s="13" t="s">
        <v>251</v>
      </c>
      <c r="B244" s="14" t="s">
        <v>1576</v>
      </c>
      <c r="D244" s="13" t="str">
        <f>IF(NodesData[[#This Row],[Class Disambiguation]]="",NodesData[[#This Row],[Common Name]],NodesData[[#This Row],[Common Name]]&amp;" ("&amp;NodesData[[#This Row],[Class Disambiguation]]&amp;")")</f>
        <v>Insider</v>
      </c>
      <c r="F244" s="13" t="s">
        <v>872</v>
      </c>
      <c r="G244" s="20" t="str" cm="1">
        <f t="array" ref="G244">"n"&amp;SUBSTITUTE(CreateGuidString(),"-","_")</f>
        <v>nAA4EB678_B3AA_496A_96C3_7AA22163291C</v>
      </c>
    </row>
    <row r="245" spans="1:7" x14ac:dyDescent="0.35">
      <c r="A245" s="13" t="s">
        <v>252</v>
      </c>
      <c r="B245" s="14" t="s">
        <v>1577</v>
      </c>
      <c r="D245" s="13" t="str">
        <f>IF(NodesData[[#This Row],[Class Disambiguation]]="",NodesData[[#This Row],[Common Name]],NodesData[[#This Row],[Common Name]]&amp;" ("&amp;NodesData[[#This Row],[Class Disambiguation]]&amp;")")</f>
        <v>Insider Attack</v>
      </c>
      <c r="F245" s="13" t="s">
        <v>873</v>
      </c>
      <c r="G245" s="20" t="str" cm="1">
        <f t="array" ref="G245">"n"&amp;SUBSTITUTE(CreateGuidString(),"-","_")</f>
        <v>n27A6B2A6_D18E_4CDC_AF65_166E91941006</v>
      </c>
    </row>
    <row r="246" spans="1:7" x14ac:dyDescent="0.35">
      <c r="A246" s="13" t="s">
        <v>253</v>
      </c>
      <c r="B246" s="14" t="s">
        <v>1578</v>
      </c>
      <c r="D246" s="13" t="str">
        <f>IF(NodesData[[#This Row],[Class Disambiguation]]="",NodesData[[#This Row],[Common Name]],NodesData[[#This Row],[Common Name]]&amp;" ("&amp;NodesData[[#This Row],[Class Disambiguation]]&amp;")")</f>
        <v>Insider Threat</v>
      </c>
      <c r="F246" s="13" t="s">
        <v>874</v>
      </c>
      <c r="G246" s="20" t="str" cm="1">
        <f t="array" ref="G246">"n"&amp;SUBSTITUTE(CreateGuidString(),"-","_")</f>
        <v>n7B421858_DA5A_4A39_BCB4_0763BFAE0089</v>
      </c>
    </row>
    <row r="247" spans="1:7" x14ac:dyDescent="0.35">
      <c r="A247" s="13" t="s">
        <v>875</v>
      </c>
      <c r="B247" s="14" t="s">
        <v>1579</v>
      </c>
      <c r="D247" s="13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F247" s="13" t="s">
        <v>876</v>
      </c>
      <c r="G247" s="20" t="str" cm="1">
        <f t="array" ref="G247">"n"&amp;SUBSTITUTE(CreateGuidString(),"-","_")</f>
        <v>nF82D4647_D355_453B_8C6C_B1659E831E36</v>
      </c>
    </row>
    <row r="248" spans="1:7" x14ac:dyDescent="0.35">
      <c r="A248" s="13" t="s">
        <v>877</v>
      </c>
      <c r="B248" s="14" t="s">
        <v>1580</v>
      </c>
      <c r="D248" s="13" t="str">
        <f>IF(NodesData[[#This Row],[Class Disambiguation]]="",NodesData[[#This Row],[Common Name]],NodesData[[#This Row],[Common Name]]&amp;" ("&amp;NodesData[[#This Row],[Class Disambiguation]]&amp;")")</f>
        <v>Intentional Error</v>
      </c>
      <c r="F248" s="13" t="s">
        <v>878</v>
      </c>
      <c r="G248" s="20" t="str" cm="1">
        <f t="array" ref="G248">"n"&amp;SUBSTITUTE(CreateGuidString(),"-","_")</f>
        <v>n0D1B70BC_9CAF_43E3_B788_5CCD77DE8671</v>
      </c>
    </row>
    <row r="249" spans="1:7" x14ac:dyDescent="0.35">
      <c r="A249" s="13" t="s">
        <v>879</v>
      </c>
      <c r="B249" s="14" t="s">
        <v>1581</v>
      </c>
      <c r="D249" s="13" t="str">
        <f>IF(NodesData[[#This Row],[Class Disambiguation]]="",NodesData[[#This Row],[Common Name]],NodesData[[#This Row],[Common Name]]&amp;" ("&amp;NodesData[[#This Row],[Class Disambiguation]]&amp;")")</f>
        <v>Interested Party</v>
      </c>
      <c r="F249" s="13" t="s">
        <v>880</v>
      </c>
      <c r="G249" s="20" t="str" cm="1">
        <f t="array" ref="G249">"n"&amp;SUBSTITUTE(CreateGuidString(),"-","_")</f>
        <v>n40D28E99_D6FE_431D_AA4E_39909AD870C8</v>
      </c>
    </row>
    <row r="250" spans="1:7" x14ac:dyDescent="0.35">
      <c r="A250" s="13" t="s">
        <v>881</v>
      </c>
      <c r="B250" s="14" t="s">
        <v>1582</v>
      </c>
      <c r="D250" s="13" t="str">
        <f>IF(NodesData[[#This Row],[Class Disambiguation]]="",NodesData[[#This Row],[Common Name]],NodesData[[#This Row],[Common Name]]&amp;" ("&amp;NodesData[[#This Row],[Class Disambiguation]]&amp;")")</f>
        <v>Interoperability</v>
      </c>
      <c r="F250" s="13" t="s">
        <v>882</v>
      </c>
      <c r="G250" s="20" t="str" cm="1">
        <f t="array" ref="G250">"n"&amp;SUBSTITUTE(CreateGuidString(),"-","_")</f>
        <v>nEA344100_0773_4CBF_B044_C219243604B0</v>
      </c>
    </row>
    <row r="251" spans="1:7" x14ac:dyDescent="0.35">
      <c r="A251" s="13" t="s">
        <v>883</v>
      </c>
      <c r="B251" s="14" t="s">
        <v>1583</v>
      </c>
      <c r="D251" s="13" t="str">
        <f>IF(NodesData[[#This Row],[Class Disambiguation]]="",NodesData[[#This Row],[Common Name]],NodesData[[#This Row],[Common Name]]&amp;" ("&amp;NodesData[[#This Row],[Class Disambiguation]]&amp;")")</f>
        <v>Interval Scale</v>
      </c>
      <c r="F251" s="13" t="s">
        <v>884</v>
      </c>
      <c r="G251" s="20" t="str" cm="1">
        <f t="array" ref="G251">"n"&amp;SUBSTITUTE(CreateGuidString(),"-","_")</f>
        <v>nFF2D8996_2FE6_4B57_AE68_0B3F996C9E70</v>
      </c>
    </row>
    <row r="252" spans="1:7" x14ac:dyDescent="0.35">
      <c r="A252" s="13" t="s">
        <v>1310</v>
      </c>
      <c r="B252" s="14" t="s">
        <v>1597</v>
      </c>
      <c r="D252" s="13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G252" s="20" t="str" cm="1">
        <f t="array" ref="G252">"n"&amp;SUBSTITUTE(CreateGuidString(),"-","_")</f>
        <v>n26BC0448_F0EF_423E_9F10_6F03142EBD0B</v>
      </c>
    </row>
    <row r="253" spans="1:7" x14ac:dyDescent="0.35">
      <c r="A253" s="13" t="s">
        <v>885</v>
      </c>
      <c r="B253" s="14" t="s">
        <v>1585</v>
      </c>
      <c r="D253" s="13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F253" s="13" t="s">
        <v>886</v>
      </c>
      <c r="G253" s="20" t="str" cm="1">
        <f t="array" ref="G253">"n"&amp;SUBSTITUTE(CreateGuidString(),"-","_")</f>
        <v>n7C53F8C1_0139_4C47_871F_4D4B89265B31</v>
      </c>
    </row>
    <row r="254" spans="1:7" x14ac:dyDescent="0.35">
      <c r="A254" s="13" t="s">
        <v>887</v>
      </c>
      <c r="B254" s="14" t="s">
        <v>1586</v>
      </c>
      <c r="D254" s="13" t="str">
        <f>IF(NodesData[[#This Row],[Class Disambiguation]]="",NodesData[[#This Row],[Common Name]],NodesData[[#This Row],[Common Name]]&amp;" ("&amp;NodesData[[#This Row],[Class Disambiguation]]&amp;")")</f>
        <v>IT Asset Scope</v>
      </c>
      <c r="F254" s="13" t="s">
        <v>888</v>
      </c>
      <c r="G254" s="20" t="str" cm="1">
        <f t="array" ref="G254">"n"&amp;SUBSTITUTE(CreateGuidString(),"-","_")</f>
        <v>n37215E3A_D7C6_48F2_AAD3_DC0D9FDC9992</v>
      </c>
    </row>
    <row r="255" spans="1:7" x14ac:dyDescent="0.35">
      <c r="A255" s="13" t="s">
        <v>1341</v>
      </c>
      <c r="B255" s="14" t="s">
        <v>1842</v>
      </c>
      <c r="D255" s="19" t="str">
        <f>IF(NodesData[[#This Row],[Class Disambiguation]]="",NodesData[[#This Row],[Common Name]],NodesData[[#This Row],[Common Name]]&amp;" ("&amp;NodesData[[#This Row],[Class Disambiguation]]&amp;")")</f>
        <v>IT Component</v>
      </c>
      <c r="E255" s="19"/>
      <c r="G255" s="20" t="str" cm="1">
        <f t="array" ref="G255">"n"&amp;SUBSTITUTE(CreateGuidString(),"-","_")</f>
        <v>n814ABD06_71F2_49AE_AA38_132473CD5C87</v>
      </c>
    </row>
    <row r="256" spans="1:7" x14ac:dyDescent="0.35">
      <c r="A256" s="13" t="s">
        <v>1342</v>
      </c>
      <c r="B256" s="14" t="s">
        <v>1846</v>
      </c>
      <c r="D256" s="19" t="str">
        <f>IF(NodesData[[#This Row],[Class Disambiguation]]="",NodesData[[#This Row],[Common Name]],NodesData[[#This Row],[Common Name]]&amp;" ("&amp;NodesData[[#This Row],[Class Disambiguation]]&amp;")")</f>
        <v>IT Hardware</v>
      </c>
      <c r="E256" s="19"/>
      <c r="G256" s="21" t="str" cm="1">
        <f t="array" ref="G256">"n"&amp;SUBSTITUTE(CreateGuidString(),"-","_")</f>
        <v>nBC4C412A_E0D5_4241_A4EE_E4A6B4FF9FCC</v>
      </c>
    </row>
    <row r="257" spans="1:7" x14ac:dyDescent="0.35">
      <c r="A257" s="13" t="s">
        <v>1344</v>
      </c>
      <c r="B257" s="14" t="s">
        <v>1847</v>
      </c>
      <c r="D257" s="19" t="str">
        <f>IF(NodesData[[#This Row],[Class Disambiguation]]="",NodesData[[#This Row],[Common Name]],NodesData[[#This Row],[Common Name]]&amp;" ("&amp;NodesData[[#This Row],[Class Disambiguation]]&amp;")")</f>
        <v>IT Software</v>
      </c>
      <c r="E257" s="19"/>
      <c r="G257" s="21" t="str" cm="1">
        <f t="array" ref="G257">"n"&amp;SUBSTITUTE(CreateGuidString(),"-","_")</f>
        <v>nEAD0E3A4_3AB4_49A5_8D6F_25935FC1D203</v>
      </c>
    </row>
    <row r="258" spans="1:7" x14ac:dyDescent="0.35">
      <c r="A258" s="13" t="s">
        <v>261</v>
      </c>
      <c r="B258" s="14" t="s">
        <v>1587</v>
      </c>
      <c r="D258" s="13" t="str">
        <f>IF(NodesData[[#This Row],[Class Disambiguation]]="",NodesData[[#This Row],[Common Name]],NodesData[[#This Row],[Common Name]]&amp;" ("&amp;NodesData[[#This Row],[Class Disambiguation]]&amp;")")</f>
        <v>IT System</v>
      </c>
      <c r="F258" s="13" t="s">
        <v>889</v>
      </c>
      <c r="G258" s="20" t="str" cm="1">
        <f t="array" ref="G258">"n"&amp;SUBSTITUTE(CreateGuidString(),"-","_")</f>
        <v>n04191EDC_7A73_4E7C_AC22_BEE3C89BCC2C</v>
      </c>
    </row>
    <row r="259" spans="1:7" x14ac:dyDescent="0.35">
      <c r="A259" s="13" t="s">
        <v>890</v>
      </c>
      <c r="B259" s="14" t="s">
        <v>1588</v>
      </c>
      <c r="C259" s="13" t="s">
        <v>1270</v>
      </c>
      <c r="D259" s="13" t="str">
        <f>IF(NodesData[[#This Row],[Class Disambiguation]]="",NodesData[[#This Row],[Common Name]],NodesData[[#This Row],[Common Name]]&amp;" ("&amp;NodesData[[#This Row],[Class Disambiguation]]&amp;")")</f>
        <v>JML (Acronym)</v>
      </c>
      <c r="F259" s="13" t="s">
        <v>891</v>
      </c>
      <c r="G259" s="20" t="str" cm="1">
        <f t="array" ref="G259">"n"&amp;SUBSTITUTE(CreateGuidString(),"-","_")</f>
        <v>n24CEC8BC_171F_4D04_B083_D3848339CCF4</v>
      </c>
    </row>
    <row r="260" spans="1:7" x14ac:dyDescent="0.35">
      <c r="A260" s="13" t="s">
        <v>892</v>
      </c>
      <c r="B260" s="14" t="s">
        <v>1589</v>
      </c>
      <c r="D260" s="13" t="str">
        <f>IF(NodesData[[#This Row],[Class Disambiguation]]="",NodesData[[#This Row],[Common Name]],NodesData[[#This Row],[Common Name]]&amp;" ("&amp;NodesData[[#This Row],[Class Disambiguation]]&amp;")")</f>
        <v>Joiner</v>
      </c>
      <c r="F260" s="13" t="s">
        <v>893</v>
      </c>
      <c r="G260" s="20" t="str" cm="1">
        <f t="array" ref="G260">"n"&amp;SUBSTITUTE(CreateGuidString(),"-","_")</f>
        <v>n4E5D3147_09EF_4ABF_AF5E_B2B7CAC2DA6F</v>
      </c>
    </row>
    <row r="261" spans="1:7" x14ac:dyDescent="0.35">
      <c r="A261" s="13" t="s">
        <v>894</v>
      </c>
      <c r="B261" s="14" t="s">
        <v>1590</v>
      </c>
      <c r="D261" s="13" t="str">
        <f>IF(NodesData[[#This Row],[Class Disambiguation]]="",NodesData[[#This Row],[Common Name]],NodesData[[#This Row],[Common Name]]&amp;" ("&amp;NodesData[[#This Row],[Class Disambiguation]]&amp;")")</f>
        <v>Joiner Hire Date</v>
      </c>
      <c r="F261" s="13" t="s">
        <v>895</v>
      </c>
      <c r="G261" s="20" t="str" cm="1">
        <f t="array" ref="G261">"n"&amp;SUBSTITUTE(CreateGuidString(),"-","_")</f>
        <v>nEB92B8AA_041E_4664_8DF1_130E46295603</v>
      </c>
    </row>
    <row r="262" spans="1:7" x14ac:dyDescent="0.35">
      <c r="A262" s="13" t="s">
        <v>896</v>
      </c>
      <c r="B262" s="14" t="s">
        <v>1591</v>
      </c>
      <c r="D262" s="13" t="str">
        <f>IF(NodesData[[#This Row],[Class Disambiguation]]="",NodesData[[#This Row],[Common Name]],NodesData[[#This Row],[Common Name]]&amp;" ("&amp;NodesData[[#This Row],[Class Disambiguation]]&amp;")")</f>
        <v>Joiner Lead Time</v>
      </c>
      <c r="F262" s="13" t="s">
        <v>897</v>
      </c>
      <c r="G262" s="20" t="str" cm="1">
        <f t="array" ref="G262">"n"&amp;SUBSTITUTE(CreateGuidString(),"-","_")</f>
        <v>nD710E5BC_2C84_436C_BB6E_F81A61421BF3</v>
      </c>
    </row>
    <row r="263" spans="1:7" x14ac:dyDescent="0.35">
      <c r="A263" s="13" t="s">
        <v>898</v>
      </c>
      <c r="B263" s="14" t="s">
        <v>1592</v>
      </c>
      <c r="D263" s="13" t="str">
        <f>IF(NodesData[[#This Row],[Class Disambiguation]]="",NodesData[[#This Row],[Common Name]],NodesData[[#This Row],[Common Name]]&amp;" ("&amp;NodesData[[#This Row],[Class Disambiguation]]&amp;")")</f>
        <v>Joiner Process</v>
      </c>
      <c r="F263" s="13" t="s">
        <v>899</v>
      </c>
      <c r="G263" s="20" t="str" cm="1">
        <f t="array" ref="G263">"n"&amp;SUBSTITUTE(CreateGuidString(),"-","_")</f>
        <v>n4C705735_C9C6_4578_8454_9FAD5C99A9A6</v>
      </c>
    </row>
    <row r="264" spans="1:7" x14ac:dyDescent="0.35">
      <c r="A264" s="13" t="s">
        <v>900</v>
      </c>
      <c r="B264" s="14" t="s">
        <v>1593</v>
      </c>
      <c r="D264" s="13" t="str">
        <f>IF(NodesData[[#This Row],[Class Disambiguation]]="",NodesData[[#This Row],[Common Name]],NodesData[[#This Row],[Common Name]]&amp;" ("&amp;NodesData[[#This Row],[Class Disambiguation]]&amp;")")</f>
        <v>Joiner Start Date</v>
      </c>
      <c r="F264" s="13" t="s">
        <v>901</v>
      </c>
      <c r="G264" s="20" t="str" cm="1">
        <f t="array" ref="G264">"n"&amp;SUBSTITUTE(CreateGuidString(),"-","_")</f>
        <v>n06F15086_97DC_4C0B_89BC_135F601487E0</v>
      </c>
    </row>
    <row r="265" spans="1:7" x14ac:dyDescent="0.35">
      <c r="A265" s="13" t="s">
        <v>902</v>
      </c>
      <c r="B265" s="14" t="s">
        <v>1594</v>
      </c>
      <c r="D265" s="13" t="str">
        <f>IF(NodesData[[#This Row],[Class Disambiguation]]="",NodesData[[#This Row],[Common Name]],NodesData[[#This Row],[Common Name]]&amp;" ("&amp;NodesData[[#This Row],[Class Disambiguation]]&amp;")")</f>
        <v>Key Criteria Type</v>
      </c>
      <c r="F265" s="13" t="s">
        <v>903</v>
      </c>
      <c r="G265" s="20" t="str" cm="1">
        <f t="array" ref="G265">"n"&amp;SUBSTITUTE(CreateGuidString(),"-","_")</f>
        <v>nE2E43522_746F_4D34_88CF_E2517BF1D0C7</v>
      </c>
    </row>
    <row r="266" spans="1:7" x14ac:dyDescent="0.35">
      <c r="A266" s="13" t="s">
        <v>904</v>
      </c>
      <c r="B266" s="14" t="s">
        <v>1595</v>
      </c>
      <c r="D266" s="13" t="str">
        <f>IF(NodesData[[#This Row],[Class Disambiguation]]="",NodesData[[#This Row],[Common Name]],NodesData[[#This Row],[Common Name]]&amp;" ("&amp;NodesData[[#This Row],[Class Disambiguation]]&amp;")")</f>
        <v>Key Information</v>
      </c>
      <c r="F266" s="13" t="s">
        <v>905</v>
      </c>
      <c r="G266" s="20" t="str" cm="1">
        <f t="array" ref="G266">"n"&amp;SUBSTITUTE(CreateGuidString(),"-","_")</f>
        <v>n8B6EB38E_849E_4623_8CEA_BEF140CE9A0D</v>
      </c>
    </row>
    <row r="267" spans="1:7" x14ac:dyDescent="0.35">
      <c r="A267" s="13" t="s">
        <v>906</v>
      </c>
      <c r="B267" s="14" t="s">
        <v>1596</v>
      </c>
      <c r="D267" s="13" t="str">
        <f>IF(NodesData[[#This Row],[Class Disambiguation]]="",NodesData[[#This Row],[Common Name]],NodesData[[#This Row],[Common Name]]&amp;" ("&amp;NodesData[[#This Row],[Class Disambiguation]]&amp;")")</f>
        <v>Keying Material</v>
      </c>
      <c r="F267" s="13" t="s">
        <v>907</v>
      </c>
      <c r="G267" s="20" t="str" cm="1">
        <f t="array" ref="G267">"n"&amp;SUBSTITUTE(CreateGuidString(),"-","_")</f>
        <v>n4C570548_0F61_4DED_9E6F_4EDCC93C4F48</v>
      </c>
    </row>
    <row r="268" spans="1:7" x14ac:dyDescent="0.35">
      <c r="A268" s="13" t="s">
        <v>1311</v>
      </c>
      <c r="B268" s="14" t="s">
        <v>1599</v>
      </c>
      <c r="D268" s="13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G268" s="20" t="str" cm="1">
        <f t="array" ref="G268">"n"&amp;SUBSTITUTE(CreateGuidString(),"-","_")</f>
        <v>n991E6E4A_7D56_4D3B_B1F3_36D3B50BB027</v>
      </c>
    </row>
    <row r="269" spans="1:7" x14ac:dyDescent="0.35">
      <c r="A269" s="13" t="s">
        <v>2</v>
      </c>
      <c r="B269" s="14" t="s">
        <v>1598</v>
      </c>
      <c r="D269" s="13" t="str">
        <f>IF(NodesData[[#This Row],[Class Disambiguation]]="",NodesData[[#This Row],[Common Name]],NodesData[[#This Row],[Common Name]]&amp;" ("&amp;NodesData[[#This Row],[Class Disambiguation]]&amp;")")</f>
        <v>Knowledge Factor</v>
      </c>
      <c r="G269" s="20" t="str" cm="1">
        <f t="array" ref="G269">"n"&amp;SUBSTITUTE(CreateGuidString(),"-","_")</f>
        <v>n68A98F19_44FE_4F8A_9895_10BD66072AE0</v>
      </c>
    </row>
    <row r="270" spans="1:7" x14ac:dyDescent="0.35">
      <c r="A270" s="13" t="s">
        <v>1313</v>
      </c>
      <c r="B270" s="14" t="s">
        <v>1620</v>
      </c>
      <c r="D270" s="13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G270" s="20" t="str" cm="1">
        <f t="array" ref="G270">"n"&amp;SUBSTITUTE(CreateGuidString(),"-","_")</f>
        <v>nF28F3A3E_AD5C_4DA8_AE72_4AE6B42516FE</v>
      </c>
    </row>
    <row r="271" spans="1:7" x14ac:dyDescent="0.35">
      <c r="A271" s="13" t="s">
        <v>908</v>
      </c>
      <c r="B271" s="14" t="s">
        <v>1600</v>
      </c>
      <c r="C271" s="13" t="s">
        <v>1270</v>
      </c>
      <c r="D271" s="13" t="str">
        <f>IF(NodesData[[#This Row],[Class Disambiguation]]="",NodesData[[#This Row],[Common Name]],NodesData[[#This Row],[Common Name]]&amp;" ("&amp;NodesData[[#This Row],[Class Disambiguation]]&amp;")")</f>
        <v>KYC (Acronym)</v>
      </c>
      <c r="F271" s="13" t="s">
        <v>909</v>
      </c>
      <c r="G271" s="20" t="str" cm="1">
        <f t="array" ref="G271">"n"&amp;SUBSTITUTE(CreateGuidString(),"-","_")</f>
        <v>n5D905CF7_F6C3_40D5_A8BD_636126E99C56</v>
      </c>
    </row>
    <row r="272" spans="1:7" x14ac:dyDescent="0.35">
      <c r="A272" s="13" t="s">
        <v>910</v>
      </c>
      <c r="B272" s="14" t="s">
        <v>1601</v>
      </c>
      <c r="D272" s="13" t="str">
        <f>IF(NodesData[[#This Row],[Class Disambiguation]]="",NodesData[[#This Row],[Common Name]],NodesData[[#This Row],[Common Name]]&amp;" ("&amp;NodesData[[#This Row],[Class Disambiguation]]&amp;")")</f>
        <v>KYC Registry</v>
      </c>
      <c r="F272" s="13" t="s">
        <v>911</v>
      </c>
      <c r="G272" s="20" t="str" cm="1">
        <f t="array" ref="G272">"n"&amp;SUBSTITUTE(CreateGuidString(),"-","_")</f>
        <v>n2F950CC6_9AB5_455B_B49A_71BC0A5BF31F</v>
      </c>
    </row>
    <row r="273" spans="1:7" x14ac:dyDescent="0.35">
      <c r="A273" s="13" t="s">
        <v>912</v>
      </c>
      <c r="B273" s="14" t="s">
        <v>1602</v>
      </c>
      <c r="D273" s="13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F273" s="13" t="s">
        <v>913</v>
      </c>
      <c r="G273" s="20" t="str" cm="1">
        <f t="array" ref="G273">"n"&amp;SUBSTITUTE(CreateGuidString(),"-","_")</f>
        <v>n4D68B5C9_A2E7_416D_9413_5B4352291356</v>
      </c>
    </row>
    <row r="274" spans="1:7" x14ac:dyDescent="0.35">
      <c r="A274" s="13" t="s">
        <v>914</v>
      </c>
      <c r="B274" s="14" t="s">
        <v>1603</v>
      </c>
      <c r="D274" s="13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F274" s="13" t="s">
        <v>915</v>
      </c>
      <c r="G274" s="20" t="str" cm="1">
        <f t="array" ref="G274">"n"&amp;SUBSTITUTE(CreateGuidString(),"-","_")</f>
        <v>nCF9530A4_8F4F_45E0_A2CA_DECA4ED32992</v>
      </c>
    </row>
    <row r="275" spans="1:7" x14ac:dyDescent="0.35">
      <c r="A275" s="13" t="s">
        <v>916</v>
      </c>
      <c r="B275" s="14" t="s">
        <v>1604</v>
      </c>
      <c r="C275" s="13" t="s">
        <v>1270</v>
      </c>
      <c r="D275" s="13" t="str">
        <f>IF(NodesData[[#This Row],[Class Disambiguation]]="",NodesData[[#This Row],[Common Name]],NodesData[[#This Row],[Common Name]]&amp;" ("&amp;NodesData[[#This Row],[Class Disambiguation]]&amp;")")</f>
        <v>LBAC (Acronym)</v>
      </c>
      <c r="F275" s="13" t="s">
        <v>917</v>
      </c>
      <c r="G275" s="20" t="str" cm="1">
        <f t="array" ref="G275">"n"&amp;SUBSTITUTE(CreateGuidString(),"-","_")</f>
        <v>nEF86CE88_9563_43E4_8249_4B16A7868E48</v>
      </c>
    </row>
    <row r="276" spans="1:7" x14ac:dyDescent="0.35">
      <c r="A276" s="13" t="s">
        <v>918</v>
      </c>
      <c r="B276" s="14" t="s">
        <v>1605</v>
      </c>
      <c r="D276" s="13" t="str">
        <f>IF(NodesData[[#This Row],[Class Disambiguation]]="",NodesData[[#This Row],[Common Name]],NodesData[[#This Row],[Common Name]]&amp;" ("&amp;NodesData[[#This Row],[Class Disambiguation]]&amp;")")</f>
        <v>Leading Indicator</v>
      </c>
      <c r="F276" s="13" t="s">
        <v>919</v>
      </c>
      <c r="G276" s="20" t="str" cm="1">
        <f t="array" ref="G276">"n"&amp;SUBSTITUTE(CreateGuidString(),"-","_")</f>
        <v>nB13A89AF_98E5_4AF8_BE34_BD67CA6539FF</v>
      </c>
    </row>
    <row r="277" spans="1:7" x14ac:dyDescent="0.35">
      <c r="A277" s="13" t="s">
        <v>920</v>
      </c>
      <c r="B277" s="14" t="s">
        <v>1606</v>
      </c>
      <c r="D277" s="13" t="str">
        <f>IF(NodesData[[#This Row],[Class Disambiguation]]="",NodesData[[#This Row],[Common Name]],NodesData[[#This Row],[Common Name]]&amp;" ("&amp;NodesData[[#This Row],[Class Disambiguation]]&amp;")")</f>
        <v>Least Privilege</v>
      </c>
      <c r="F277" s="13" t="s">
        <v>921</v>
      </c>
      <c r="G277" s="20" t="str" cm="1">
        <f t="array" ref="G277">"n"&amp;SUBSTITUTE(CreateGuidString(),"-","_")</f>
        <v>nBD003816_CFA0_427C_BE00_37CB84514BBC</v>
      </c>
    </row>
    <row r="278" spans="1:7" x14ac:dyDescent="0.35">
      <c r="A278" s="13" t="s">
        <v>922</v>
      </c>
      <c r="B278" s="14" t="s">
        <v>1607</v>
      </c>
      <c r="D278" s="13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F278" s="13" t="s">
        <v>923</v>
      </c>
      <c r="G278" s="20" t="str" cm="1">
        <f t="array" ref="G278">"n"&amp;SUBSTITUTE(CreateGuidString(),"-","_")</f>
        <v>n2CE54C82_9144_47E6_A4B6_8D1007394D1F</v>
      </c>
    </row>
    <row r="279" spans="1:7" x14ac:dyDescent="0.35">
      <c r="A279" s="13" t="s">
        <v>924</v>
      </c>
      <c r="B279" s="14" t="s">
        <v>1608</v>
      </c>
      <c r="D279" s="13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F279" s="13" t="s">
        <v>925</v>
      </c>
      <c r="G279" s="20" t="str" cm="1">
        <f t="array" ref="G279">"n"&amp;SUBSTITUTE(CreateGuidString(),"-","_")</f>
        <v>n2E11776D_A6F2_4210_A396_A5C5CFEF8E57</v>
      </c>
    </row>
    <row r="280" spans="1:7" x14ac:dyDescent="0.35">
      <c r="A280" s="13" t="s">
        <v>926</v>
      </c>
      <c r="B280" s="14" t="s">
        <v>1609</v>
      </c>
      <c r="C280" s="13" t="s">
        <v>1270</v>
      </c>
      <c r="D280" s="13" t="str">
        <f>IF(NodesData[[#This Row],[Class Disambiguation]]="",NodesData[[#This Row],[Common Name]],NodesData[[#This Row],[Common Name]]&amp;" ("&amp;NodesData[[#This Row],[Class Disambiguation]]&amp;")")</f>
        <v>LEI (Acronym)</v>
      </c>
      <c r="F280" s="13" t="s">
        <v>927</v>
      </c>
      <c r="G280" s="20" t="str" cm="1">
        <f t="array" ref="G280">"n"&amp;SUBSTITUTE(CreateGuidString(),"-","_")</f>
        <v>n620EA41E_08C4_4360_9835_A13876D57314</v>
      </c>
    </row>
    <row r="281" spans="1:7" x14ac:dyDescent="0.35">
      <c r="A281" s="13" t="s">
        <v>928</v>
      </c>
      <c r="B281" s="14" t="s">
        <v>1610</v>
      </c>
      <c r="D281" s="13" t="str">
        <f>IF(NodesData[[#This Row],[Class Disambiguation]]="",NodesData[[#This Row],[Common Name]],NodesData[[#This Row],[Common Name]]&amp;" ("&amp;NodesData[[#This Row],[Class Disambiguation]]&amp;")")</f>
        <v>Levels of Assurance</v>
      </c>
      <c r="F281" s="13" t="s">
        <v>929</v>
      </c>
      <c r="G281" s="20" t="str" cm="1">
        <f t="array" ref="G281">"n"&amp;SUBSTITUTE(CreateGuidString(),"-","_")</f>
        <v>n51F10ABA_7CF7_46AF_AF67_B855CBFEA7F9</v>
      </c>
    </row>
    <row r="282" spans="1:7" x14ac:dyDescent="0.35">
      <c r="A282" s="13" t="s">
        <v>930</v>
      </c>
      <c r="B282" s="14" t="s">
        <v>1611</v>
      </c>
      <c r="D282" s="13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F282" s="13" t="s">
        <v>931</v>
      </c>
      <c r="G282" s="20" t="str" cm="1">
        <f t="array" ref="G282">"n"&amp;SUBSTITUTE(CreateGuidString(),"-","_")</f>
        <v>nED38A4EA_F581_46B1_9781_C9EABB54A604</v>
      </c>
    </row>
    <row r="283" spans="1:7" x14ac:dyDescent="0.35">
      <c r="A283" s="13" t="s">
        <v>932</v>
      </c>
      <c r="B283" s="14" t="s">
        <v>1612</v>
      </c>
      <c r="C283" s="13" t="s">
        <v>1270</v>
      </c>
      <c r="D283" s="13" t="str">
        <f>IF(NodesData[[#This Row],[Class Disambiguation]]="",NodesData[[#This Row],[Common Name]],NodesData[[#This Row],[Common Name]]&amp;" ("&amp;NodesData[[#This Row],[Class Disambiguation]]&amp;")")</f>
        <v>LOA (Acronym)</v>
      </c>
      <c r="F283" s="13" t="s">
        <v>933</v>
      </c>
      <c r="G283" s="20" t="str" cm="1">
        <f t="array" ref="G283">"n"&amp;SUBSTITUTE(CreateGuidString(),"-","_")</f>
        <v>n6A0DD2E3_4641_42FE_A94B_D55C288C6156</v>
      </c>
    </row>
    <row r="284" spans="1:7" x14ac:dyDescent="0.35">
      <c r="A284" s="13" t="s">
        <v>1296</v>
      </c>
      <c r="B284" s="14" t="s">
        <v>1613</v>
      </c>
      <c r="D284" s="13" t="str">
        <f>IF(NodesData[[#This Row],[Class Disambiguation]]="",NodesData[[#This Row],[Common Name]],NodesData[[#This Row],[Common Name]]&amp;" ("&amp;NodesData[[#This Row],[Class Disambiguation]]&amp;")")</f>
        <v>Location Factor</v>
      </c>
      <c r="G284" s="20" t="str" cm="1">
        <f t="array" ref="G284">"n"&amp;SUBSTITUTE(CreateGuidString(),"-","_")</f>
        <v>n5749F663_FAA3_41AA_A5CE_05300A2AB8F0</v>
      </c>
    </row>
    <row r="285" spans="1:7" x14ac:dyDescent="0.35">
      <c r="A285" s="13" t="s">
        <v>285</v>
      </c>
      <c r="B285" s="14" t="s">
        <v>1614</v>
      </c>
      <c r="D285" s="13" t="str">
        <f>IF(NodesData[[#This Row],[Class Disambiguation]]="",NodesData[[#This Row],[Common Name]],NodesData[[#This Row],[Common Name]]&amp;" ("&amp;NodesData[[#This Row],[Class Disambiguation]]&amp;")")</f>
        <v>Logic Bomb</v>
      </c>
      <c r="F285" s="13" t="s">
        <v>934</v>
      </c>
      <c r="G285" s="20" t="str" cm="1">
        <f t="array" ref="G285">"n"&amp;SUBSTITUTE(CreateGuidString(),"-","_")</f>
        <v>n678B7DA4_5009_44EF_83DA_AB57E6714239</v>
      </c>
    </row>
    <row r="286" spans="1:7" x14ac:dyDescent="0.35">
      <c r="A286" s="13" t="s">
        <v>286</v>
      </c>
      <c r="B286" s="14" t="s">
        <v>1615</v>
      </c>
      <c r="D286" s="13" t="str">
        <f>IF(NodesData[[#This Row],[Class Disambiguation]]="",NodesData[[#This Row],[Common Name]],NodesData[[#This Row],[Common Name]]&amp;" ("&amp;NodesData[[#This Row],[Class Disambiguation]]&amp;")")</f>
        <v>Login</v>
      </c>
      <c r="F286" s="13" t="s">
        <v>935</v>
      </c>
      <c r="G286" s="20" t="str" cm="1">
        <f t="array" ref="G286">"n"&amp;SUBSTITUTE(CreateGuidString(),"-","_")</f>
        <v>n87BD0A73_28C8_459F_9152_58EA2E7EEABF</v>
      </c>
    </row>
    <row r="287" spans="1:7" x14ac:dyDescent="0.35">
      <c r="A287" s="13" t="s">
        <v>287</v>
      </c>
      <c r="B287" s="14" t="s">
        <v>1616</v>
      </c>
      <c r="C287" s="13" t="s">
        <v>1270</v>
      </c>
      <c r="D287" s="13" t="str">
        <f>IF(NodesData[[#This Row],[Class Disambiguation]]="",NodesData[[#This Row],[Common Name]],NodesData[[#This Row],[Common Name]]&amp;" ("&amp;NodesData[[#This Row],[Class Disambiguation]]&amp;")")</f>
        <v>Login ID (Acronym)</v>
      </c>
      <c r="F287" s="13" t="s">
        <v>936</v>
      </c>
      <c r="G287" s="20" t="str" cm="1">
        <f t="array" ref="G287">"n"&amp;SUBSTITUTE(CreateGuidString(),"-","_")</f>
        <v>nDA8ECE3E_33E0_4A11_BC67_C176F19E9154</v>
      </c>
    </row>
    <row r="288" spans="1:7" x14ac:dyDescent="0.35">
      <c r="A288" s="13" t="s">
        <v>288</v>
      </c>
      <c r="B288" s="14" t="s">
        <v>1617</v>
      </c>
      <c r="D288" s="13" t="str">
        <f>IF(NodesData[[#This Row],[Class Disambiguation]]="",NodesData[[#This Row],[Common Name]],NodesData[[#This Row],[Common Name]]&amp;" ("&amp;NodesData[[#This Row],[Class Disambiguation]]&amp;")")</f>
        <v>Login Name</v>
      </c>
      <c r="F288" s="13" t="s">
        <v>937</v>
      </c>
      <c r="G288" s="20" t="str" cm="1">
        <f t="array" ref="G288">"n"&amp;SUBSTITUTE(CreateGuidString(),"-","_")</f>
        <v>nEA225421_DE6F_41F2_BA43_2F6C209AAA2F</v>
      </c>
    </row>
    <row r="289" spans="1:7" x14ac:dyDescent="0.35">
      <c r="A289" s="13" t="s">
        <v>938</v>
      </c>
      <c r="B289" s="14" t="s">
        <v>1618</v>
      </c>
      <c r="D289" s="13" t="str">
        <f>IF(NodesData[[#This Row],[Class Disambiguation]]="",NodesData[[#This Row],[Common Name]],NodesData[[#This Row],[Common Name]]&amp;" ("&amp;NodesData[[#This Row],[Class Disambiguation]]&amp;")")</f>
        <v>Mechanism</v>
      </c>
      <c r="F289" s="13" t="s">
        <v>939</v>
      </c>
      <c r="G289" s="20" t="str" cm="1">
        <f t="array" ref="G289">"n"&amp;SUBSTITUTE(CreateGuidString(),"-","_")</f>
        <v>n77598521_B7B1_4AD3_AC95_D8AE0A06C64E</v>
      </c>
    </row>
    <row r="290" spans="1:7" x14ac:dyDescent="0.35">
      <c r="A290" s="13" t="s">
        <v>940</v>
      </c>
      <c r="B290" s="14" t="s">
        <v>1619</v>
      </c>
      <c r="D290" s="13" t="str">
        <f>IF(NodesData[[#This Row],[Class Disambiguation]]="",NodesData[[#This Row],[Common Name]],NodesData[[#This Row],[Common Name]]&amp;" ("&amp;NodesData[[#This Row],[Class Disambiguation]]&amp;")")</f>
        <v>Metadirectory</v>
      </c>
      <c r="F290" s="13" t="s">
        <v>941</v>
      </c>
      <c r="G290" s="20" t="str" cm="1">
        <f t="array" ref="G290">"n"&amp;SUBSTITUTE(CreateGuidString(),"-","_")</f>
        <v>n5A695B24_E473_4183_92C7_4DDB792CAB02</v>
      </c>
    </row>
    <row r="291" spans="1:7" x14ac:dyDescent="0.35">
      <c r="A291" s="13" t="s">
        <v>942</v>
      </c>
      <c r="B291" s="14" t="s">
        <v>1621</v>
      </c>
      <c r="D291" s="13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F291" s="13" t="s">
        <v>943</v>
      </c>
      <c r="G291" s="20" t="str" cm="1">
        <f t="array" ref="G291">"n"&amp;SUBSTITUTE(CreateGuidString(),"-","_")</f>
        <v>n7EBA2D71_6B8A_4902_8C64_C44B537E20BA</v>
      </c>
    </row>
    <row r="292" spans="1:7" x14ac:dyDescent="0.35">
      <c r="A292" s="13" t="s">
        <v>944</v>
      </c>
      <c r="B292" s="14" t="s">
        <v>1622</v>
      </c>
      <c r="D292" s="13" t="str">
        <f>IF(NodesData[[#This Row],[Class Disambiguation]]="",NodesData[[#This Row],[Common Name]],NodesData[[#This Row],[Common Name]]&amp;" ("&amp;NodesData[[#This Row],[Class Disambiguation]]&amp;")")</f>
        <v>Multilevel Security</v>
      </c>
      <c r="F292" s="13" t="s">
        <v>945</v>
      </c>
      <c r="G292" s="20" t="str" cm="1">
        <f t="array" ref="G292">"n"&amp;SUBSTITUTE(CreateGuidString(),"-","_")</f>
        <v>n776F3791_D2BB_4EBB_A2DE_253240A3D42F</v>
      </c>
    </row>
    <row r="293" spans="1:7" x14ac:dyDescent="0.35">
      <c r="A293" s="12" t="s">
        <v>1841</v>
      </c>
      <c r="B293" s="14" t="s">
        <v>1624</v>
      </c>
      <c r="D293" s="13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G293" s="20" t="str" cm="1">
        <f t="array" ref="G293">"n"&amp;SUBSTITUTE(CreateGuidString(),"-","_")</f>
        <v>n75811901_7FB3_43E8_AB92_1BA903E60A23</v>
      </c>
    </row>
    <row r="294" spans="1:7" x14ac:dyDescent="0.35">
      <c r="A294" s="13" t="s">
        <v>305</v>
      </c>
      <c r="B294" s="14" t="s">
        <v>1623</v>
      </c>
      <c r="D294" s="13" t="str">
        <f>IF(NodesData[[#This Row],[Class Disambiguation]]="",NodesData[[#This Row],[Common Name]],NodesData[[#This Row],[Common Name]]&amp;" ("&amp;NodesData[[#This Row],[Class Disambiguation]]&amp;")")</f>
        <v>Multiple Accounts</v>
      </c>
      <c r="F294" s="13" t="s">
        <v>946</v>
      </c>
      <c r="G294" s="20" t="str" cm="1">
        <f t="array" ref="G294">"n"&amp;SUBSTITUTE(CreateGuidString(),"-","_")</f>
        <v>n8C3C5CB1_D147_44D7_83B1_5882A647E1F3</v>
      </c>
    </row>
    <row r="295" spans="1:7" x14ac:dyDescent="0.35">
      <c r="A295" s="13" t="s">
        <v>947</v>
      </c>
      <c r="B295" s="14" t="s">
        <v>1630</v>
      </c>
      <c r="D295" s="13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F295" s="13" t="s">
        <v>948</v>
      </c>
      <c r="G295" s="20" t="str" cm="1">
        <f t="array" ref="G295">"n"&amp;SUBSTITUTE(CreateGuidString(),"-","_")</f>
        <v>nD163B50C_65B9_489C_9A29_CECB3EF1BCEA</v>
      </c>
    </row>
    <row r="296" spans="1:7" x14ac:dyDescent="0.35">
      <c r="A296" s="13" t="s">
        <v>307</v>
      </c>
      <c r="B296" s="14" t="s">
        <v>1625</v>
      </c>
      <c r="D296" s="13" t="str">
        <f>IF(NodesData[[#This Row],[Class Disambiguation]]="",NodesData[[#This Row],[Common Name]],NodesData[[#This Row],[Common Name]]&amp;" ("&amp;NodesData[[#This Row],[Class Disambiguation]]&amp;")")</f>
        <v>Need-to-Know</v>
      </c>
      <c r="F296" s="13" t="s">
        <v>949</v>
      </c>
      <c r="G296" s="20" t="str" cm="1">
        <f t="array" ref="G296">"n"&amp;SUBSTITUTE(CreateGuidString(),"-","_")</f>
        <v>nF5E52095_C50C_4860_9A4F_83A8FFEF8846</v>
      </c>
    </row>
    <row r="297" spans="1:7" x14ac:dyDescent="0.35">
      <c r="A297" s="13" t="s">
        <v>950</v>
      </c>
      <c r="B297" s="14" t="s">
        <v>1626</v>
      </c>
      <c r="D297" s="13" t="str">
        <f>IF(NodesData[[#This Row],[Class Disambiguation]]="",NodesData[[#This Row],[Common Name]],NodesData[[#This Row],[Common Name]]&amp;" ("&amp;NodesData[[#This Row],[Class Disambiguation]]&amp;")")</f>
        <v>New Joiner</v>
      </c>
      <c r="F297" s="13" t="s">
        <v>951</v>
      </c>
      <c r="G297" s="20" t="str" cm="1">
        <f t="array" ref="G297">"n"&amp;SUBSTITUTE(CreateGuidString(),"-","_")</f>
        <v>nBBF88776_1227_4239_836B_3DE509048FBB</v>
      </c>
    </row>
    <row r="298" spans="1:7" x14ac:dyDescent="0.35">
      <c r="A298" s="13" t="s">
        <v>952</v>
      </c>
      <c r="B298" s="14" t="s">
        <v>1627</v>
      </c>
      <c r="D298" s="13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F298" s="13" t="s">
        <v>953</v>
      </c>
      <c r="G298" s="20" t="str" cm="1">
        <f t="array" ref="G298">"n"&amp;SUBSTITUTE(CreateGuidString(),"-","_")</f>
        <v>nF8377536_4F0A_4A38_8594_C4F9CAFA5073</v>
      </c>
    </row>
    <row r="299" spans="1:7" x14ac:dyDescent="0.35">
      <c r="A299" s="13" t="s">
        <v>954</v>
      </c>
      <c r="B299" s="14" t="s">
        <v>1628</v>
      </c>
      <c r="D299" s="13" t="str">
        <f>IF(NodesData[[#This Row],[Class Disambiguation]]="",NodesData[[#This Row],[Common Name]],NodesData[[#This Row],[Common Name]]&amp;" ("&amp;NodesData[[#This Row],[Class Disambiguation]]&amp;")")</f>
        <v>Nonworker</v>
      </c>
      <c r="F299" s="13" t="s">
        <v>955</v>
      </c>
      <c r="G299" s="20" t="str" cm="1">
        <f t="array" ref="G299">"n"&amp;SUBSTITUTE(CreateGuidString(),"-","_")</f>
        <v>n6410CA3E_A697_44D1_8BF3_3911664DD5A3</v>
      </c>
    </row>
    <row r="300" spans="1:7" x14ac:dyDescent="0.35">
      <c r="A300" s="13" t="s">
        <v>312</v>
      </c>
      <c r="B300" s="14" t="s">
        <v>1629</v>
      </c>
      <c r="D300" s="13" t="str">
        <f>IF(NodesData[[#This Row],[Class Disambiguation]]="",NodesData[[#This Row],[Common Name]],NodesData[[#This Row],[Common Name]]&amp;" ("&amp;NodesData[[#This Row],[Class Disambiguation]]&amp;")")</f>
        <v>Numerical Identity</v>
      </c>
      <c r="F300" s="13" t="s">
        <v>956</v>
      </c>
      <c r="G300" s="20" t="str" cm="1">
        <f t="array" ref="G300">"n"&amp;SUBSTITUTE(CreateGuidString(),"-","_")</f>
        <v>n3FABD537_ECBE_4A4E_BB4D_CCE0C804E2FE</v>
      </c>
    </row>
    <row r="301" spans="1:7" x14ac:dyDescent="0.35">
      <c r="A301" s="13" t="s">
        <v>957</v>
      </c>
      <c r="B301" s="14" t="s">
        <v>1633</v>
      </c>
      <c r="C301" s="13" t="s">
        <v>1270</v>
      </c>
      <c r="D301" s="13" t="str">
        <f>IF(NodesData[[#This Row],[Class Disambiguation]]="",NodesData[[#This Row],[Common Name]],NodesData[[#This Row],[Common Name]]&amp;" ("&amp;NodesData[[#This Row],[Class Disambiguation]]&amp;")")</f>
        <v>OAuth (Acronym)</v>
      </c>
      <c r="F301" s="13" t="s">
        <v>958</v>
      </c>
      <c r="G301" s="20" t="str" cm="1">
        <f t="array" ref="G301">"n"&amp;SUBSTITUTE(CreateGuidString(),"-","_")</f>
        <v>nA8B9D217_8DA2_4EE6_A80B_AEF3AA259736</v>
      </c>
    </row>
    <row r="302" spans="1:7" x14ac:dyDescent="0.35">
      <c r="A302" s="13" t="s">
        <v>959</v>
      </c>
      <c r="B302" s="14" t="s">
        <v>1631</v>
      </c>
      <c r="D302" s="13" t="str">
        <f>IF(NodesData[[#This Row],[Class Disambiguation]]="",NodesData[[#This Row],[Common Name]],NodesData[[#This Row],[Common Name]]&amp;" ("&amp;NodesData[[#This Row],[Class Disambiguation]]&amp;")")</f>
        <v>Object</v>
      </c>
      <c r="F302" s="13" t="s">
        <v>960</v>
      </c>
      <c r="G302" s="20" t="str" cm="1">
        <f t="array" ref="G302">"n"&amp;SUBSTITUTE(CreateGuidString(),"-","_")</f>
        <v>nD9A6ADC1_0DA7_44BC_861D_F25D8E280278</v>
      </c>
    </row>
    <row r="303" spans="1:7" x14ac:dyDescent="0.35">
      <c r="A303" s="13" t="s">
        <v>961</v>
      </c>
      <c r="B303" s="14" t="s">
        <v>1632</v>
      </c>
      <c r="D303" s="13" t="str">
        <f>IF(NodesData[[#This Row],[Class Disambiguation]]="",NodesData[[#This Row],[Common Name]],NodesData[[#This Row],[Common Name]]&amp;" ("&amp;NodesData[[#This Row],[Class Disambiguation]]&amp;")")</f>
        <v>Omission Error</v>
      </c>
      <c r="F303" s="13" t="s">
        <v>962</v>
      </c>
      <c r="G303" s="20" t="str" cm="1">
        <f t="array" ref="G303">"n"&amp;SUBSTITUTE(CreateGuidString(),"-","_")</f>
        <v>nC5B856B4_CE58_4A4C_B205_BA48DB491974</v>
      </c>
    </row>
    <row r="304" spans="1:7" x14ac:dyDescent="0.35">
      <c r="A304" s="13" t="s">
        <v>1318</v>
      </c>
      <c r="B304" s="14" t="s">
        <v>1650</v>
      </c>
      <c r="D304" s="13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G304" s="20" t="str" cm="1">
        <f t="array" ref="G304">"n"&amp;SUBSTITUTE(CreateGuidString(),"-","_")</f>
        <v>n20F44DB9_5C70_4875_A33A_0119077D37C2</v>
      </c>
    </row>
    <row r="305" spans="1:7" x14ac:dyDescent="0.35">
      <c r="A305" s="13" t="s">
        <v>963</v>
      </c>
      <c r="B305" s="14" t="s">
        <v>1634</v>
      </c>
      <c r="C305" s="13" t="s">
        <v>1270</v>
      </c>
      <c r="D305" s="13" t="str">
        <f>IF(NodesData[[#This Row],[Class Disambiguation]]="",NodesData[[#This Row],[Common Name]],NodesData[[#This Row],[Common Name]]&amp;" ("&amp;NodesData[[#This Row],[Class Disambiguation]]&amp;")")</f>
        <v>OPA (Acronym)</v>
      </c>
      <c r="F305" s="13" t="s">
        <v>964</v>
      </c>
      <c r="G305" s="20" t="str" cm="1">
        <f t="array" ref="G305">"n"&amp;SUBSTITUTE(CreateGuidString(),"-","_")</f>
        <v>n1A5291CD_E705_44E6_8D5D_D22A70040274</v>
      </c>
    </row>
    <row r="306" spans="1:7" x14ac:dyDescent="0.35">
      <c r="A306" s="13" t="s">
        <v>965</v>
      </c>
      <c r="B306" s="14" t="s">
        <v>1635</v>
      </c>
      <c r="D306" s="13" t="str">
        <f>IF(NodesData[[#This Row],[Class Disambiguation]]="",NodesData[[#This Row],[Common Name]],NodesData[[#This Row],[Common Name]]&amp;" ("&amp;NodesData[[#This Row],[Class Disambiguation]]&amp;")")</f>
        <v>Open Policy Agent</v>
      </c>
      <c r="F306" s="13" t="s">
        <v>966</v>
      </c>
      <c r="G306" s="20" t="str" cm="1">
        <f t="array" ref="G306">"n"&amp;SUBSTITUTE(CreateGuidString(),"-","_")</f>
        <v>nC0C27555_2341_4666_AA0D_62E018B8F7E0</v>
      </c>
    </row>
    <row r="307" spans="1:7" x14ac:dyDescent="0.35">
      <c r="A307" s="13" t="s">
        <v>967</v>
      </c>
      <c r="B307" s="14" t="s">
        <v>1636</v>
      </c>
      <c r="D307" s="13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F307" s="13" t="s">
        <v>968</v>
      </c>
      <c r="G307" s="20" t="str" cm="1">
        <f t="array" ref="G307">"n"&amp;SUBSTITUTE(CreateGuidString(),"-","_")</f>
        <v>n421DC016_AE96_44B2_9B3C_9D54EC22A08E</v>
      </c>
    </row>
    <row r="308" spans="1:7" x14ac:dyDescent="0.35">
      <c r="A308" s="13" t="s">
        <v>969</v>
      </c>
      <c r="B308" s="14" t="s">
        <v>1637</v>
      </c>
      <c r="D308" s="13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F308" s="13" t="s">
        <v>970</v>
      </c>
      <c r="G308" s="20" t="str" cm="1">
        <f t="array" ref="G308">"n"&amp;SUBSTITUTE(CreateGuidString(),"-","_")</f>
        <v>n450D9C38_3CD8_46DB_A359_DEF355D216CF</v>
      </c>
    </row>
    <row r="309" spans="1:7" x14ac:dyDescent="0.35">
      <c r="A309" s="13" t="s">
        <v>971</v>
      </c>
      <c r="B309" s="14" t="s">
        <v>1638</v>
      </c>
      <c r="D309" s="13" t="str">
        <f>IF(NodesData[[#This Row],[Class Disambiguation]]="",NodesData[[#This Row],[Common Name]],NodesData[[#This Row],[Common Name]]&amp;" ("&amp;NodesData[[#This Row],[Class Disambiguation]]&amp;")")</f>
        <v>Ordinal Scale</v>
      </c>
      <c r="F309" s="13" t="s">
        <v>972</v>
      </c>
      <c r="G309" s="20" t="str" cm="1">
        <f t="array" ref="G309">"n"&amp;SUBSTITUTE(CreateGuidString(),"-","_")</f>
        <v>nCC3270D9_1F07_4419_8BAD_B785947ACE2A</v>
      </c>
    </row>
    <row r="310" spans="1:7" x14ac:dyDescent="0.35">
      <c r="A310" s="13" t="s">
        <v>1266</v>
      </c>
      <c r="B310" s="14" t="s">
        <v>1639</v>
      </c>
      <c r="D310" s="13" t="str">
        <f>IF(NodesData[[#This Row],[Class Disambiguation]]="",NodesData[[#This Row],[Common Name]],NodesData[[#This Row],[Common Name]]&amp;" ("&amp;NodesData[[#This Row],[Class Disambiguation]]&amp;")")</f>
        <v>Organization Context</v>
      </c>
      <c r="F310" s="13" t="s">
        <v>973</v>
      </c>
      <c r="G310" s="20" t="str" cm="1">
        <f t="array" ref="G310">"n"&amp;SUBSTITUTE(CreateGuidString(),"-","_")</f>
        <v>n88516077_FEC1_4001_A2E9_29C1B95C2AAF</v>
      </c>
    </row>
    <row r="311" spans="1:7" x14ac:dyDescent="0.35">
      <c r="A311" s="13" t="s">
        <v>1267</v>
      </c>
      <c r="B311" s="14" t="s">
        <v>1640</v>
      </c>
      <c r="D311" s="13" t="str">
        <f>IF(NodesData[[#This Row],[Class Disambiguation]]="",NodesData[[#This Row],[Common Name]],NodesData[[#This Row],[Common Name]]&amp;" ("&amp;NodesData[[#This Row],[Class Disambiguation]]&amp;")")</f>
        <v>Organization Scope</v>
      </c>
      <c r="F311" s="13" t="s">
        <v>974</v>
      </c>
      <c r="G311" s="20" t="str" cm="1">
        <f t="array" ref="G311">"n"&amp;SUBSTITUTE(CreateGuidString(),"-","_")</f>
        <v>nE3A49FAC_5F80_428F_822C_2C28729BC7EE</v>
      </c>
    </row>
    <row r="312" spans="1:7" x14ac:dyDescent="0.35">
      <c r="A312" s="13" t="s">
        <v>975</v>
      </c>
      <c r="B312" s="14" t="s">
        <v>1641</v>
      </c>
      <c r="D312" s="13" t="str">
        <f>IF(NodesData[[#This Row],[Class Disambiguation]]="",NodesData[[#This Row],[Common Name]],NodesData[[#This Row],[Common Name]]&amp;" ("&amp;NodesData[[#This Row],[Class Disambiguation]]&amp;")")</f>
        <v>Orphan</v>
      </c>
      <c r="F312" s="13" t="s">
        <v>976</v>
      </c>
      <c r="G312" s="20" t="str" cm="1">
        <f t="array" ref="G312">"n"&amp;SUBSTITUTE(CreateGuidString(),"-","_")</f>
        <v>nC3B64449_FFD1_4495_9EB5_6A92931706E6</v>
      </c>
    </row>
    <row r="313" spans="1:7" x14ac:dyDescent="0.35">
      <c r="A313" s="13" t="s">
        <v>329</v>
      </c>
      <c r="B313" s="14" t="s">
        <v>1642</v>
      </c>
      <c r="D313" s="13" t="str">
        <f>IF(NodesData[[#This Row],[Class Disambiguation]]="",NodesData[[#This Row],[Common Name]],NodesData[[#This Row],[Common Name]]&amp;" ("&amp;NodesData[[#This Row],[Class Disambiguation]]&amp;")")</f>
        <v>Orphan Account</v>
      </c>
      <c r="F313" s="13" t="s">
        <v>977</v>
      </c>
      <c r="G313" s="20" t="str" cm="1">
        <f t="array" ref="G313">"n"&amp;SUBSTITUTE(CreateGuidString(),"-","_")</f>
        <v>n60BE95EA_173F_478A_8BD4_8391E802722F</v>
      </c>
    </row>
    <row r="314" spans="1:7" x14ac:dyDescent="0.35">
      <c r="A314" s="13" t="s">
        <v>978</v>
      </c>
      <c r="B314" s="14" t="s">
        <v>1643</v>
      </c>
      <c r="D314" s="13" t="str">
        <f>IF(NodesData[[#This Row],[Class Disambiguation]]="",NodesData[[#This Row],[Common Name]],NodesData[[#This Row],[Common Name]]&amp;" ("&amp;NodesData[[#This Row],[Class Disambiguation]]&amp;")")</f>
        <v>Orphan File</v>
      </c>
      <c r="F314" s="13" t="s">
        <v>979</v>
      </c>
      <c r="G314" s="20" t="str" cm="1">
        <f t="array" ref="G314">"n"&amp;SUBSTITUTE(CreateGuidString(),"-","_")</f>
        <v>n5AC1E68E_D250_4145_BA5A_71EAE6378FD1</v>
      </c>
    </row>
    <row r="315" spans="1:7" x14ac:dyDescent="0.35">
      <c r="A315" s="13" t="s">
        <v>980</v>
      </c>
      <c r="B315" s="14" t="s">
        <v>1644</v>
      </c>
      <c r="D315" s="13" t="str">
        <f>IF(NodesData[[#This Row],[Class Disambiguation]]="",NodesData[[#This Row],[Common Name]],NodesData[[#This Row],[Common Name]]&amp;" ("&amp;NodesData[[#This Row],[Class Disambiguation]]&amp;")")</f>
        <v>Orphan Object</v>
      </c>
      <c r="F315" s="13" t="s">
        <v>981</v>
      </c>
      <c r="G315" s="20" t="str" cm="1">
        <f t="array" ref="G315">"n"&amp;SUBSTITUTE(CreateGuidString(),"-","_")</f>
        <v>n6C00AE59_4580_4CE0_ABC9_1FE46EC9369A</v>
      </c>
    </row>
    <row r="316" spans="1:7" x14ac:dyDescent="0.35">
      <c r="A316" s="13" t="s">
        <v>982</v>
      </c>
      <c r="B316" s="14" t="s">
        <v>1645</v>
      </c>
      <c r="D316" s="13" t="str">
        <f>IF(NodesData[[#This Row],[Class Disambiguation]]="",NodesData[[#This Row],[Common Name]],NodesData[[#This Row],[Common Name]]&amp;" ("&amp;NodesData[[#This Row],[Class Disambiguation]]&amp;")")</f>
        <v>Orphan Process</v>
      </c>
      <c r="F316" s="13" t="s">
        <v>983</v>
      </c>
      <c r="G316" s="20" t="str" cm="1">
        <f t="array" ref="G316">"n"&amp;SUBSTITUTE(CreateGuidString(),"-","_")</f>
        <v>n5A076E32_020E_43E4_9544_75D8B81BBB44</v>
      </c>
    </row>
    <row r="317" spans="1:7" x14ac:dyDescent="0.35">
      <c r="A317" s="13" t="s">
        <v>984</v>
      </c>
      <c r="B317" s="14" t="s">
        <v>1646</v>
      </c>
      <c r="D317" s="13" t="str">
        <f>IF(NodesData[[#This Row],[Class Disambiguation]]="",NodesData[[#This Row],[Common Name]],NodesData[[#This Row],[Common Name]]&amp;" ("&amp;NodesData[[#This Row],[Class Disambiguation]]&amp;")")</f>
        <v>Orphan Product</v>
      </c>
      <c r="F317" s="13" t="s">
        <v>985</v>
      </c>
      <c r="G317" s="20" t="str" cm="1">
        <f t="array" ref="G317">"n"&amp;SUBSTITUTE(CreateGuidString(),"-","_")</f>
        <v>n0E087B2A_343B_4AC6_BA20_9E52CE0D39A4</v>
      </c>
    </row>
    <row r="318" spans="1:7" x14ac:dyDescent="0.35">
      <c r="A318" s="13" t="s">
        <v>986</v>
      </c>
      <c r="B318" s="14" t="s">
        <v>1647</v>
      </c>
      <c r="D318" s="13" t="str">
        <f>IF(NodesData[[#This Row],[Class Disambiguation]]="",NodesData[[#This Row],[Common Name]],NodesData[[#This Row],[Common Name]]&amp;" ("&amp;NodesData[[#This Row],[Class Disambiguation]]&amp;")")</f>
        <v>Orphan Role</v>
      </c>
      <c r="F318" s="13" t="s">
        <v>987</v>
      </c>
      <c r="G318" s="20" t="str" cm="1">
        <f t="array" ref="G318">"n"&amp;SUBSTITUTE(CreateGuidString(),"-","_")</f>
        <v>n06DDAA8F_ACF8_42B5_9D9A_547B6A276A63</v>
      </c>
    </row>
    <row r="319" spans="1:7" x14ac:dyDescent="0.35">
      <c r="A319" s="13" t="s">
        <v>988</v>
      </c>
      <c r="B319" s="14" t="s">
        <v>1648</v>
      </c>
      <c r="D319" s="13" t="str">
        <f>IF(NodesData[[#This Row],[Class Disambiguation]]="",NodesData[[#This Row],[Common Name]],NodesData[[#This Row],[Common Name]]&amp;" ("&amp;NodesData[[#This Row],[Class Disambiguation]]&amp;")")</f>
        <v>Orphan Routes / APIs</v>
      </c>
      <c r="F319" s="13" t="s">
        <v>989</v>
      </c>
      <c r="G319" s="20" t="str" cm="1">
        <f t="array" ref="G319">"n"&amp;SUBSTITUTE(CreateGuidString(),"-","_")</f>
        <v>n6449EFF1_FF93_4BCB_B5E5_4B6AE47BEAD1</v>
      </c>
    </row>
    <row r="320" spans="1:7" x14ac:dyDescent="0.35">
      <c r="A320" s="13" t="s">
        <v>990</v>
      </c>
      <c r="B320" s="14" t="s">
        <v>1649</v>
      </c>
      <c r="D320" s="13" t="str">
        <f>IF(NodesData[[#This Row],[Class Disambiguation]]="",NodesData[[#This Row],[Common Name]],NodesData[[#This Row],[Common Name]]&amp;" ("&amp;NodesData[[#This Row],[Class Disambiguation]]&amp;")")</f>
        <v>Orphan System</v>
      </c>
      <c r="F320" s="13" t="s">
        <v>991</v>
      </c>
      <c r="G320" s="20" t="str" cm="1">
        <f t="array" ref="G320">"n"&amp;SUBSTITUTE(CreateGuidString(),"-","_")</f>
        <v>n953626E2_C772_47D1_B8C1_1B25B35564D3</v>
      </c>
    </row>
    <row r="321" spans="1:7" x14ac:dyDescent="0.35">
      <c r="A321" s="13" t="s">
        <v>1299</v>
      </c>
      <c r="B321" s="14" t="s">
        <v>1652</v>
      </c>
      <c r="D321" s="13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G321" s="20" t="str" cm="1">
        <f t="array" ref="G321">"n"&amp;SUBSTITUTE(CreateGuidString(),"-","_")</f>
        <v>n6A0AF078_EA6F_487F_9065_E83B37900056</v>
      </c>
    </row>
    <row r="322" spans="1:7" x14ac:dyDescent="0.35">
      <c r="A322" s="13" t="s">
        <v>339</v>
      </c>
      <c r="B322" s="14" t="s">
        <v>1651</v>
      </c>
      <c r="D322" s="13" t="str">
        <f>IF(NodesData[[#This Row],[Class Disambiguation]]="",NodesData[[#This Row],[Common Name]],NodesData[[#This Row],[Common Name]]&amp;" ("&amp;NodesData[[#This Row],[Class Disambiguation]]&amp;")")</f>
        <v>Outsider</v>
      </c>
      <c r="F322" s="13" t="s">
        <v>992</v>
      </c>
      <c r="G322" s="20" t="str" cm="1">
        <f t="array" ref="G322">"n"&amp;SUBSTITUTE(CreateGuidString(),"-","_")</f>
        <v>n35CA9DD4_CC2B_4C2A_8B82_B2C7C796BE3F</v>
      </c>
    </row>
    <row r="323" spans="1:7" x14ac:dyDescent="0.35">
      <c r="A323" s="13" t="s">
        <v>1314</v>
      </c>
      <c r="B323" s="14" t="s">
        <v>1654</v>
      </c>
      <c r="D323" s="13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G323" s="20" t="str" cm="1">
        <f t="array" ref="G323">"n"&amp;SUBSTITUTE(CreateGuidString(),"-","_")</f>
        <v>n967833EC_1F90_420A_A48F_F50E3420A094</v>
      </c>
    </row>
    <row r="324" spans="1:7" x14ac:dyDescent="0.35">
      <c r="A324" s="13" t="s">
        <v>993</v>
      </c>
      <c r="B324" s="14" t="s">
        <v>1653</v>
      </c>
      <c r="D324" s="13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F324" s="13" t="s">
        <v>994</v>
      </c>
      <c r="G324" s="20" t="str" cm="1">
        <f t="array" ref="G324">"n"&amp;SUBSTITUTE(CreateGuidString(),"-","_")</f>
        <v>n21FD58C2_C347_4871_AFC0_BC1BB4718FBD</v>
      </c>
    </row>
    <row r="325" spans="1:7" x14ac:dyDescent="0.35">
      <c r="A325" s="13" t="s">
        <v>1328</v>
      </c>
      <c r="B325" s="14" t="s">
        <v>1655</v>
      </c>
      <c r="D325" s="13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G325" s="20" t="str" cm="1">
        <f t="array" ref="G325">"n"&amp;SUBSTITUTE(CreateGuidString(),"-","_")</f>
        <v>n677802B6_673C_4887_BF60_569DE827B334</v>
      </c>
    </row>
    <row r="326" spans="1:7" x14ac:dyDescent="0.35">
      <c r="A326" s="13" t="s">
        <v>343</v>
      </c>
      <c r="B326" s="14" t="s">
        <v>1656</v>
      </c>
      <c r="D326" s="13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F326" s="13" t="s">
        <v>995</v>
      </c>
      <c r="G326" s="20" t="str" cm="1">
        <f t="array" ref="G326">"n"&amp;SUBSTITUTE(CreateGuidString(),"-","_")</f>
        <v>n63BF6D84_A735_44E3_B45A_928167EC8916</v>
      </c>
    </row>
    <row r="327" spans="1:7" x14ac:dyDescent="0.35">
      <c r="A327" s="13" t="s">
        <v>996</v>
      </c>
      <c r="B327" s="14" t="s">
        <v>1657</v>
      </c>
      <c r="D327" s="13" t="str">
        <f>IF(NodesData[[#This Row],[Class Disambiguation]]="",NodesData[[#This Row],[Common Name]],NodesData[[#This Row],[Common Name]]&amp;" ("&amp;NodesData[[#This Row],[Class Disambiguation]]&amp;")")</f>
        <v>Password Rotation</v>
      </c>
      <c r="F327" s="13" t="s">
        <v>997</v>
      </c>
      <c r="G327" s="20" t="str" cm="1">
        <f t="array" ref="G327">"n"&amp;SUBSTITUTE(CreateGuidString(),"-","_")</f>
        <v>n056429B8_8242_40F3_9DE5_B97D6F724A58</v>
      </c>
    </row>
    <row r="328" spans="1:7" x14ac:dyDescent="0.35">
      <c r="A328" s="13" t="s">
        <v>3</v>
      </c>
      <c r="B328" s="14" t="s">
        <v>1658</v>
      </c>
      <c r="D328" s="13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F328" s="13" t="s">
        <v>998</v>
      </c>
      <c r="G328" s="20" t="str" cm="1">
        <f t="array" ref="G328">"n"&amp;SUBSTITUTE(CreateGuidString(),"-","_")</f>
        <v>nE6D2E317_518A_415E_89B0_10D15392A16C</v>
      </c>
    </row>
    <row r="329" spans="1:7" x14ac:dyDescent="0.35">
      <c r="A329" s="13" t="s">
        <v>1324</v>
      </c>
      <c r="B329" s="14" t="s">
        <v>1659</v>
      </c>
      <c r="D329" s="13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G329" s="20" t="str" cm="1">
        <f t="array" ref="G329">"n"&amp;SUBSTITUTE(CreateGuidString(),"-","_")</f>
        <v>n113CC5BD_0E53_40A7_A1DC_11CF0AA850FE</v>
      </c>
    </row>
    <row r="330" spans="1:7" x14ac:dyDescent="0.35">
      <c r="A330" s="13" t="s">
        <v>344</v>
      </c>
      <c r="B330" s="14" t="s">
        <v>1663</v>
      </c>
      <c r="D330" s="13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F330" s="13" t="s">
        <v>999</v>
      </c>
      <c r="G330" s="20" t="str" cm="1">
        <f t="array" ref="G330">"n"&amp;SUBSTITUTE(CreateGuidString(),"-","_")</f>
        <v>nD01574A0_FBB9_40BE_9EC4_E4A3521107C4</v>
      </c>
    </row>
    <row r="331" spans="1:7" x14ac:dyDescent="0.35">
      <c r="A331" s="13" t="s">
        <v>1268</v>
      </c>
      <c r="B331" s="14" t="s">
        <v>1660</v>
      </c>
      <c r="D331" s="13" t="str">
        <f>IF(NodesData[[#This Row],[Class Disambiguation]]="",NodesData[[#This Row],[Common Name]],NodesData[[#This Row],[Common Name]]&amp;" ("&amp;NodesData[[#This Row],[Class Disambiguation]]&amp;")")</f>
        <v>People</v>
      </c>
      <c r="F331" s="13" t="s">
        <v>1000</v>
      </c>
      <c r="G331" s="20" t="str" cm="1">
        <f t="array" ref="G331">"n"&amp;SUBSTITUTE(CreateGuidString(),"-","_")</f>
        <v>nDB651082_4D6E_439D_A135_D296012B15B5</v>
      </c>
    </row>
    <row r="332" spans="1:7" x14ac:dyDescent="0.35">
      <c r="A332" s="13" t="s">
        <v>1001</v>
      </c>
      <c r="B332" s="14" t="s">
        <v>1661</v>
      </c>
      <c r="D332" s="13" t="str">
        <f>IF(NodesData[[#This Row],[Class Disambiguation]]="",NodesData[[#This Row],[Common Name]],NodesData[[#This Row],[Common Name]]&amp;" ("&amp;NodesData[[#This Row],[Class Disambiguation]]&amp;")")</f>
        <v>Permission</v>
      </c>
      <c r="F332" s="13" t="s">
        <v>1002</v>
      </c>
      <c r="G332" s="20" t="str" cm="1">
        <f t="array" ref="G332">"n"&amp;SUBSTITUTE(CreateGuidString(),"-","_")</f>
        <v>n1E53458D_5D16_442B_9A91_41A14D579D2B</v>
      </c>
    </row>
    <row r="333" spans="1:7" x14ac:dyDescent="0.35">
      <c r="A333" s="13" t="s">
        <v>350</v>
      </c>
      <c r="B333" s="14" t="s">
        <v>1662</v>
      </c>
      <c r="D333" s="13" t="str">
        <f>IF(NodesData[[#This Row],[Class Disambiguation]]="",NodesData[[#This Row],[Common Name]],NodesData[[#This Row],[Common Name]]&amp;" ("&amp;NodesData[[#This Row],[Class Disambiguation]]&amp;")")</f>
        <v>Persona</v>
      </c>
      <c r="F333" s="13" t="s">
        <v>1003</v>
      </c>
      <c r="G333" s="20" t="str" cm="1">
        <f t="array" ref="G333">"n"&amp;SUBSTITUTE(CreateGuidString(),"-","_")</f>
        <v>n48353531_93BD_4F35_8DA6_19130D6D1DB3</v>
      </c>
    </row>
    <row r="334" spans="1:7" x14ac:dyDescent="0.35">
      <c r="A334" s="13" t="s">
        <v>1327</v>
      </c>
      <c r="B334" s="14" t="s">
        <v>1684</v>
      </c>
      <c r="D334" s="13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G334" s="20" t="str" cm="1">
        <f t="array" ref="G334">"n"&amp;SUBSTITUTE(CreateGuidString(),"-","_")</f>
        <v>nBD95AE44_EEBE_4B0B_BA4F_CCAADBDB2E1F</v>
      </c>
    </row>
    <row r="335" spans="1:7" x14ac:dyDescent="0.35">
      <c r="A335" s="13" t="s">
        <v>1319</v>
      </c>
      <c r="B335" s="14" t="s">
        <v>1664</v>
      </c>
      <c r="D335" s="13" t="str">
        <f>IF(NodesData[[#This Row],[Class Disambiguation]]="",NodesData[[#This Row],[Common Name]],NodesData[[#This Row],[Common Name]]&amp;" ("&amp;NodesData[[#This Row],[Class Disambiguation]]&amp;")")</f>
        <v>Physical Token OTP</v>
      </c>
      <c r="G335" s="20" t="str" cm="1">
        <f t="array" ref="G335">"n"&amp;SUBSTITUTE(CreateGuidString(),"-","_")</f>
        <v>n461CE1F7_7C65_4297_ABF3_7C5E71B38516</v>
      </c>
    </row>
    <row r="336" spans="1:7" x14ac:dyDescent="0.35">
      <c r="A336" s="13" t="s">
        <v>1004</v>
      </c>
      <c r="B336" s="14" t="s">
        <v>1665</v>
      </c>
      <c r="C336" s="13" t="s">
        <v>1270</v>
      </c>
      <c r="D336" s="13" t="str">
        <f>IF(NodesData[[#This Row],[Class Disambiguation]]="",NodesData[[#This Row],[Common Name]],NodesData[[#This Row],[Common Name]]&amp;" ("&amp;NodesData[[#This Row],[Class Disambiguation]]&amp;")")</f>
        <v>PMS (Acronym)</v>
      </c>
      <c r="F336" s="13" t="s">
        <v>1005</v>
      </c>
      <c r="G336" s="20" t="str" cm="1">
        <f t="array" ref="G336">"n"&amp;SUBSTITUTE(CreateGuidString(),"-","_")</f>
        <v>n335584EA_2A74_43DD_8E26_912054CF4D5C</v>
      </c>
    </row>
    <row r="337" spans="1:7" x14ac:dyDescent="0.35">
      <c r="A337" s="13" t="s">
        <v>1006</v>
      </c>
      <c r="B337" s="14" t="s">
        <v>1666</v>
      </c>
      <c r="D337" s="13" t="str">
        <f>IF(NodesData[[#This Row],[Class Disambiguation]]="",NodesData[[#This Row],[Common Name]],NodesData[[#This Row],[Common Name]]&amp;" ("&amp;NodesData[[#This Row],[Class Disambiguation]]&amp;")")</f>
        <v>Policy</v>
      </c>
      <c r="F337" s="13" t="s">
        <v>1007</v>
      </c>
      <c r="G337" s="20" t="str" cm="1">
        <f t="array" ref="G337">"n"&amp;SUBSTITUTE(CreateGuidString(),"-","_")</f>
        <v>n9E0EF21E_D648_4AA7_BC4B_040F51BC06E9</v>
      </c>
    </row>
    <row r="338" spans="1:7" x14ac:dyDescent="0.35">
      <c r="A338" s="13" t="s">
        <v>1008</v>
      </c>
      <c r="B338" s="14" t="s">
        <v>1667</v>
      </c>
      <c r="D338" s="13" t="str">
        <f>IF(NodesData[[#This Row],[Class Disambiguation]]="",NodesData[[#This Row],[Common Name]],NodesData[[#This Row],[Common Name]]&amp;" ("&amp;NodesData[[#This Row],[Class Disambiguation]]&amp;")")</f>
        <v>Policy Analysis</v>
      </c>
      <c r="F338" s="13" t="s">
        <v>1009</v>
      </c>
      <c r="G338" s="20" t="str" cm="1">
        <f t="array" ref="G338">"n"&amp;SUBSTITUTE(CreateGuidString(),"-","_")</f>
        <v>n18139050_FF02_46ED_A32D_552D8DCCEBC5</v>
      </c>
    </row>
    <row r="339" spans="1:7" x14ac:dyDescent="0.35">
      <c r="A339" s="13" t="s">
        <v>1010</v>
      </c>
      <c r="B339" s="14" t="s">
        <v>1668</v>
      </c>
      <c r="D339" s="13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F339" s="13" t="s">
        <v>1011</v>
      </c>
      <c r="G339" s="20" t="str" cm="1">
        <f t="array" ref="G339">"n"&amp;SUBSTITUTE(CreateGuidString(),"-","_")</f>
        <v>nCEA55B9C_E247_429F_B80F_381D636F44ED</v>
      </c>
    </row>
    <row r="340" spans="1:7" x14ac:dyDescent="0.35">
      <c r="A340" s="13" t="s">
        <v>1012</v>
      </c>
      <c r="B340" s="14" t="s">
        <v>1669</v>
      </c>
      <c r="D340" s="13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F340" s="13" t="s">
        <v>1013</v>
      </c>
      <c r="G340" s="20" t="str" cm="1">
        <f t="array" ref="G340">"n"&amp;SUBSTITUTE(CreateGuidString(),"-","_")</f>
        <v>n2122A7ED_ACEE_4ED1_84A1_A677E02ECE9C</v>
      </c>
    </row>
    <row r="341" spans="1:7" x14ac:dyDescent="0.35">
      <c r="A341" s="13" t="s">
        <v>1014</v>
      </c>
      <c r="B341" s="14" t="s">
        <v>1670</v>
      </c>
      <c r="D341" s="13" t="str">
        <f>IF(NodesData[[#This Row],[Class Disambiguation]]="",NodesData[[#This Row],[Common Name]],NodesData[[#This Row],[Common Name]]&amp;" ("&amp;NodesData[[#This Row],[Class Disambiguation]]&amp;")")</f>
        <v>Policy Manageability</v>
      </c>
      <c r="F341" s="13" t="s">
        <v>1015</v>
      </c>
      <c r="G341" s="20" t="str" cm="1">
        <f t="array" ref="G341">"n"&amp;SUBSTITUTE(CreateGuidString(),"-","_")</f>
        <v>n40F0DD4E_F2B4_4116_92CB_D48F918AD51F</v>
      </c>
    </row>
    <row r="342" spans="1:7" x14ac:dyDescent="0.35">
      <c r="A342" s="13" t="s">
        <v>1016</v>
      </c>
      <c r="B342" s="14" t="s">
        <v>1671</v>
      </c>
      <c r="D342" s="13" t="str">
        <f>IF(NodesData[[#This Row],[Class Disambiguation]]="",NodesData[[#This Row],[Common Name]],NodesData[[#This Row],[Common Name]]&amp;" ("&amp;NodesData[[#This Row],[Class Disambiguation]]&amp;")")</f>
        <v>Policy Mining</v>
      </c>
      <c r="F342" s="13" t="s">
        <v>1017</v>
      </c>
      <c r="G342" s="20" t="str" cm="1">
        <f t="array" ref="G342">"n"&amp;SUBSTITUTE(CreateGuidString(),"-","_")</f>
        <v>n831D53CF_23D8_4A5A_A961_4D224A7790D8</v>
      </c>
    </row>
    <row r="343" spans="1:7" x14ac:dyDescent="0.35">
      <c r="A343" s="13" t="s">
        <v>1018</v>
      </c>
      <c r="B343" s="14" t="s">
        <v>1672</v>
      </c>
      <c r="D343" s="13" t="str">
        <f>IF(NodesData[[#This Row],[Class Disambiguation]]="",NodesData[[#This Row],[Common Name]],NodesData[[#This Row],[Common Name]]&amp;" ("&amp;NodesData[[#This Row],[Class Disambiguation]]&amp;")")</f>
        <v>Policy Modeling</v>
      </c>
      <c r="F343" s="13" t="s">
        <v>1019</v>
      </c>
      <c r="G343" s="20" t="str" cm="1">
        <f t="array" ref="G343">"n"&amp;SUBSTITUTE(CreateGuidString(),"-","_")</f>
        <v>nE7DBA24D_80F0_4BA7_AAAB_33D0C8D46FD3</v>
      </c>
    </row>
    <row r="344" spans="1:7" x14ac:dyDescent="0.35">
      <c r="A344" s="13" t="s">
        <v>1295</v>
      </c>
      <c r="B344" s="14" t="s">
        <v>1673</v>
      </c>
      <c r="D344" s="13" t="str">
        <f>IF(NodesData[[#This Row],[Class Disambiguation]]="",NodesData[[#This Row],[Common Name]],NodesData[[#This Row],[Common Name]]&amp;" ("&amp;NodesData[[#This Row],[Class Disambiguation]]&amp;")")</f>
        <v>Possession Factor</v>
      </c>
      <c r="G344" s="20" t="str" cm="1">
        <f t="array" ref="G344">"n"&amp;SUBSTITUTE(CreateGuidString(),"-","_")</f>
        <v>n8C744FBD_4DFA_4992_B60B_CAB6ED2E4596</v>
      </c>
    </row>
    <row r="345" spans="1:7" x14ac:dyDescent="0.35">
      <c r="A345" s="13" t="s">
        <v>1020</v>
      </c>
      <c r="B345" s="14" t="s">
        <v>1674</v>
      </c>
      <c r="D345" s="13" t="str">
        <f>IF(NodesData[[#This Row],[Class Disambiguation]]="",NodesData[[#This Row],[Common Name]],NodesData[[#This Row],[Common Name]]&amp;" ("&amp;NodesData[[#This Row],[Class Disambiguation]]&amp;")")</f>
        <v>Pre-approval</v>
      </c>
      <c r="F345" s="13" t="s">
        <v>1021</v>
      </c>
      <c r="G345" s="20" t="str" cm="1">
        <f t="array" ref="G345">"n"&amp;SUBSTITUTE(CreateGuidString(),"-","_")</f>
        <v>nFD54412E_216D_47C2_AFC7_E04B45FE37CF</v>
      </c>
    </row>
    <row r="346" spans="1:7" x14ac:dyDescent="0.35">
      <c r="A346" s="13" t="s">
        <v>1022</v>
      </c>
      <c r="B346" s="14" t="s">
        <v>1675</v>
      </c>
      <c r="D346" s="13" t="str">
        <f>IF(NodesData[[#This Row],[Class Disambiguation]]="",NodesData[[#This Row],[Common Name]],NodesData[[#This Row],[Common Name]]&amp;" ("&amp;NodesData[[#This Row],[Class Disambiguation]]&amp;")")</f>
        <v>Principal</v>
      </c>
      <c r="F346" s="13" t="s">
        <v>1023</v>
      </c>
      <c r="G346" s="20" t="str" cm="1">
        <f t="array" ref="G346">"n"&amp;SUBSTITUTE(CreateGuidString(),"-","_")</f>
        <v>nC902E09B_70FA_4071_8695_C259777F8B6E</v>
      </c>
    </row>
    <row r="347" spans="1:7" x14ac:dyDescent="0.35">
      <c r="A347" s="13" t="s">
        <v>364</v>
      </c>
      <c r="B347" s="14" t="s">
        <v>1676</v>
      </c>
      <c r="D347" s="13" t="str">
        <f>IF(NodesData[[#This Row],[Class Disambiguation]]="",NodesData[[#This Row],[Common Name]],NodesData[[#This Row],[Common Name]]&amp;" ("&amp;NodesData[[#This Row],[Class Disambiguation]]&amp;")")</f>
        <v>Private Key Loss</v>
      </c>
      <c r="F347" s="13" t="s">
        <v>1024</v>
      </c>
      <c r="G347" s="20" t="str" cm="1">
        <f t="array" ref="G347">"n"&amp;SUBSTITUTE(CreateGuidString(),"-","_")</f>
        <v>n9E165B8C_EA14_4FBD_95FF_837311F8AFDE</v>
      </c>
    </row>
    <row r="348" spans="1:7" x14ac:dyDescent="0.35">
      <c r="A348" s="13" t="s">
        <v>1025</v>
      </c>
      <c r="B348" s="14" t="s">
        <v>1677</v>
      </c>
      <c r="D348" s="13" t="str">
        <f>IF(NodesData[[#This Row],[Class Disambiguation]]="",NodesData[[#This Row],[Common Name]],NodesData[[#This Row],[Common Name]]&amp;" ("&amp;NodesData[[#This Row],[Class Disambiguation]]&amp;")")</f>
        <v>Privilege</v>
      </c>
      <c r="F348" s="13" t="s">
        <v>1026</v>
      </c>
      <c r="G348" s="20" t="str" cm="1">
        <f t="array" ref="G348">"n"&amp;SUBSTITUTE(CreateGuidString(),"-","_")</f>
        <v>nBFB6F1F8_22BF_472F_885A_B06AFC72B038</v>
      </c>
    </row>
    <row r="349" spans="1:7" x14ac:dyDescent="0.35">
      <c r="A349" s="13" t="s">
        <v>366</v>
      </c>
      <c r="B349" s="14" t="s">
        <v>1678</v>
      </c>
      <c r="D349" s="13" t="str">
        <f>IF(NodesData[[#This Row],[Class Disambiguation]]="",NodesData[[#This Row],[Common Name]],NodesData[[#This Row],[Common Name]]&amp;" ("&amp;NodesData[[#This Row],[Class Disambiguation]]&amp;")")</f>
        <v>Privilege Abuse</v>
      </c>
      <c r="F349" s="13" t="s">
        <v>1027</v>
      </c>
      <c r="G349" s="20" t="str" cm="1">
        <f t="array" ref="G349">"n"&amp;SUBSTITUTE(CreateGuidString(),"-","_")</f>
        <v>nF2C03FDB_7792_4CBD_AF81_C7CD847896B9</v>
      </c>
    </row>
    <row r="350" spans="1:7" x14ac:dyDescent="0.35">
      <c r="A350" s="13" t="s">
        <v>1028</v>
      </c>
      <c r="B350" s="14" t="s">
        <v>1679</v>
      </c>
      <c r="D350" s="13" t="str">
        <f>IF(NodesData[[#This Row],[Class Disambiguation]]="",NodesData[[#This Row],[Common Name]],NodesData[[#This Row],[Common Name]]&amp;" ("&amp;NodesData[[#This Row],[Class Disambiguation]]&amp;")")</f>
        <v>Privilege Chaining</v>
      </c>
      <c r="F350" s="13" t="s">
        <v>1029</v>
      </c>
      <c r="G350" s="20" t="str" cm="1">
        <f t="array" ref="G350">"n"&amp;SUBSTITUTE(CreateGuidString(),"-","_")</f>
        <v>n39DB98EF_39DB_4964_AEE5_89C50307E94B</v>
      </c>
    </row>
    <row r="351" spans="1:7" x14ac:dyDescent="0.35">
      <c r="A351" s="13" t="s">
        <v>1030</v>
      </c>
      <c r="B351" s="14" t="s">
        <v>1680</v>
      </c>
      <c r="D351" s="13" t="str">
        <f>IF(NodesData[[#This Row],[Class Disambiguation]]="",NodesData[[#This Row],[Common Name]],NodesData[[#This Row],[Common Name]]&amp;" ("&amp;NodesData[[#This Row],[Class Disambiguation]]&amp;")")</f>
        <v>Privilege Escalation</v>
      </c>
      <c r="F351" s="13" t="s">
        <v>1031</v>
      </c>
      <c r="G351" s="20" t="str" cm="1">
        <f t="array" ref="G351">"n"&amp;SUBSTITUTE(CreateGuidString(),"-","_")</f>
        <v>n74911C83_6264_49C9_9EE3_13A3E656A9A8</v>
      </c>
    </row>
    <row r="352" spans="1:7" x14ac:dyDescent="0.35">
      <c r="A352" s="13" t="s">
        <v>1032</v>
      </c>
      <c r="B352" s="14" t="s">
        <v>1681</v>
      </c>
      <c r="D352" s="13" t="str">
        <f>IF(NodesData[[#This Row],[Class Disambiguation]]="",NodesData[[#This Row],[Common Name]],NodesData[[#This Row],[Common Name]]&amp;" ("&amp;NodesData[[#This Row],[Class Disambiguation]]&amp;")")</f>
        <v>Privileged Identity</v>
      </c>
      <c r="F352" s="13" t="s">
        <v>1033</v>
      </c>
      <c r="G352" s="20" t="str" cm="1">
        <f t="array" ref="G352">"n"&amp;SUBSTITUTE(CreateGuidString(),"-","_")</f>
        <v>nE850F73D_EF91_469D_87E0_2F3DF4C83744</v>
      </c>
    </row>
    <row r="353" spans="1:7" x14ac:dyDescent="0.35">
      <c r="A353" s="13" t="s">
        <v>369</v>
      </c>
      <c r="B353" s="14" t="s">
        <v>1682</v>
      </c>
      <c r="D353" s="13" t="str">
        <f>IF(NodesData[[#This Row],[Class Disambiguation]]="",NodesData[[#This Row],[Common Name]],NodesData[[#This Row],[Common Name]]&amp;" ("&amp;NodesData[[#This Row],[Class Disambiguation]]&amp;")")</f>
        <v>Privileged Insider</v>
      </c>
      <c r="F353" s="13" t="s">
        <v>1034</v>
      </c>
      <c r="G353" s="20" t="str" cm="1">
        <f t="array" ref="G353">"n"&amp;SUBSTITUTE(CreateGuidString(),"-","_")</f>
        <v>n88ECE688_4896_4CF7_BD79_2EBDF810D359</v>
      </c>
    </row>
    <row r="354" spans="1:7" x14ac:dyDescent="0.35">
      <c r="A354" s="13" t="s">
        <v>1035</v>
      </c>
      <c r="B354" s="14" t="s">
        <v>1683</v>
      </c>
      <c r="D354" s="13" t="str">
        <f>IF(NodesData[[#This Row],[Class Disambiguation]]="",NodesData[[#This Row],[Common Name]],NodesData[[#This Row],[Common Name]]&amp;" ("&amp;NodesData[[#This Row],[Class Disambiguation]]&amp;")")</f>
        <v>Provisioning</v>
      </c>
      <c r="F354" s="13" t="s">
        <v>1036</v>
      </c>
      <c r="G354" s="20" t="str" cm="1">
        <f t="array" ref="G354">"n"&amp;SUBSTITUTE(CreateGuidString(),"-","_")</f>
        <v>n35635F70_38B9_40F0_9D94_8BB199EB563A</v>
      </c>
    </row>
    <row r="355" spans="1:7" x14ac:dyDescent="0.35">
      <c r="A355" s="13" t="s">
        <v>376</v>
      </c>
      <c r="B355" s="14" t="s">
        <v>1689</v>
      </c>
      <c r="D355" s="13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F355" s="13" t="s">
        <v>1037</v>
      </c>
      <c r="G355" s="20" t="str" cm="1">
        <f t="array" ref="G355">"n"&amp;SUBSTITUTE(CreateGuidString(),"-","_")</f>
        <v>n7CDC20E5_FFA8_4811_90D0_1438D901F342</v>
      </c>
    </row>
    <row r="356" spans="1:7" x14ac:dyDescent="0.35">
      <c r="A356" s="13" t="s">
        <v>378</v>
      </c>
      <c r="B356" s="14" t="s">
        <v>1685</v>
      </c>
      <c r="D356" s="13" t="str">
        <f>IF(NodesData[[#This Row],[Class Disambiguation]]="",NodesData[[#This Row],[Common Name]],NodesData[[#This Row],[Common Name]]&amp;" ("&amp;NodesData[[#This Row],[Class Disambiguation]]&amp;")")</f>
        <v>Qualitative Identity</v>
      </c>
      <c r="F356" s="13" t="s">
        <v>1038</v>
      </c>
      <c r="G356" s="20" t="str" cm="1">
        <f t="array" ref="G356">"n"&amp;SUBSTITUTE(CreateGuidString(),"-","_")</f>
        <v>n4A451E55_6516_477B_B914_04FB72BCA3B6</v>
      </c>
    </row>
    <row r="357" spans="1:7" x14ac:dyDescent="0.35">
      <c r="A357" s="13" t="s">
        <v>1039</v>
      </c>
      <c r="B357" s="14" t="s">
        <v>1686</v>
      </c>
      <c r="C357" s="13" t="s">
        <v>1270</v>
      </c>
      <c r="D357" s="13" t="str">
        <f>IF(NodesData[[#This Row],[Class Disambiguation]]="",NodesData[[#This Row],[Common Name]],NodesData[[#This Row],[Common Name]]&amp;" ("&amp;NodesData[[#This Row],[Class Disambiguation]]&amp;")")</f>
        <v>RA (Acronym)</v>
      </c>
      <c r="F357" s="13" t="s">
        <v>1040</v>
      </c>
      <c r="G357" s="20" t="str" cm="1">
        <f t="array" ref="G357">"n"&amp;SUBSTITUTE(CreateGuidString(),"-","_")</f>
        <v>n28327704_2531_4888_A5E4_AD540811F72E</v>
      </c>
    </row>
    <row r="358" spans="1:7" x14ac:dyDescent="0.35">
      <c r="A358" s="13" t="s">
        <v>1041</v>
      </c>
      <c r="B358" s="14" t="s">
        <v>1687</v>
      </c>
      <c r="D358" s="13" t="str">
        <f>IF(NodesData[[#This Row],[Class Disambiguation]]="",NodesData[[#This Row],[Common Name]],NodesData[[#This Row],[Common Name]]&amp;" ("&amp;NodesData[[#This Row],[Class Disambiguation]]&amp;")")</f>
        <v>Ratio Scale</v>
      </c>
      <c r="F358" s="13" t="s">
        <v>1042</v>
      </c>
      <c r="G358" s="20" t="str" cm="1">
        <f t="array" ref="G358">"n"&amp;SUBSTITUTE(CreateGuidString(),"-","_")</f>
        <v>nA189B191_1B5A_4837_9C20_9F87B136FF26</v>
      </c>
    </row>
    <row r="359" spans="1:7" x14ac:dyDescent="0.35">
      <c r="A359" s="13" t="s">
        <v>1043</v>
      </c>
      <c r="B359" s="14" t="s">
        <v>1688</v>
      </c>
      <c r="C359" s="13" t="s">
        <v>1270</v>
      </c>
      <c r="D359" s="13" t="str">
        <f>IF(NodesData[[#This Row],[Class Disambiguation]]="",NodesData[[#This Row],[Common Name]],NodesData[[#This Row],[Common Name]]&amp;" ("&amp;NodesData[[#This Row],[Class Disambiguation]]&amp;")")</f>
        <v>RBA (Acronym)</v>
      </c>
      <c r="F359" s="13" t="s">
        <v>1044</v>
      </c>
      <c r="G359" s="20" t="str" cm="1">
        <f t="array" ref="G359">"n"&amp;SUBSTITUTE(CreateGuidString(),"-","_")</f>
        <v>nDA17B020_D046_41B0_B33D_4DEBAA214000</v>
      </c>
    </row>
    <row r="360" spans="1:7" x14ac:dyDescent="0.35">
      <c r="A360" s="13" t="s">
        <v>1045</v>
      </c>
      <c r="B360" s="14" t="s">
        <v>1692</v>
      </c>
      <c r="D360" s="13" t="str">
        <f>IF(NodesData[[#This Row],[Class Disambiguation]]="",NodesData[[#This Row],[Common Name]],NodesData[[#This Row],[Common Name]]&amp;" ("&amp;NodesData[[#This Row],[Class Disambiguation]]&amp;")")</f>
        <v>Re-authentication</v>
      </c>
      <c r="F360" s="13" t="s">
        <v>1046</v>
      </c>
      <c r="G360" s="20" t="str" cm="1">
        <f t="array" ref="G360">"n"&amp;SUBSTITUTE(CreateGuidString(),"-","_")</f>
        <v>nDBA678BD_4DFB_4E73_ACB1_48EE453934E4</v>
      </c>
    </row>
    <row r="361" spans="1:7" x14ac:dyDescent="0.35">
      <c r="A361" s="13" t="s">
        <v>1047</v>
      </c>
      <c r="B361" s="14" t="s">
        <v>1690</v>
      </c>
      <c r="D361" s="13" t="str">
        <f>IF(NodesData[[#This Row],[Class Disambiguation]]="",NodesData[[#This Row],[Common Name]],NodesData[[#This Row],[Common Name]]&amp;" ("&amp;NodesData[[#This Row],[Class Disambiguation]]&amp;")")</f>
        <v>Recertification</v>
      </c>
      <c r="F361" s="13" t="s">
        <v>1048</v>
      </c>
      <c r="G361" s="20" t="str" cm="1">
        <f t="array" ref="G361">"n"&amp;SUBSTITUTE(CreateGuidString(),"-","_")</f>
        <v>nC4B0F1C6_4DAF_4579_9F08_B44A948FE9F9</v>
      </c>
    </row>
    <row r="362" spans="1:7" x14ac:dyDescent="0.35">
      <c r="A362" s="13" t="s">
        <v>1049</v>
      </c>
      <c r="B362" s="14" t="s">
        <v>1691</v>
      </c>
      <c r="D362" s="13" t="str">
        <f>IF(NodesData[[#This Row],[Class Disambiguation]]="",NodesData[[#This Row],[Common Name]],NodesData[[#This Row],[Common Name]]&amp;" ("&amp;NodesData[[#This Row],[Class Disambiguation]]&amp;")")</f>
        <v>Reference Monitor</v>
      </c>
      <c r="F362" s="13" t="s">
        <v>1050</v>
      </c>
      <c r="G362" s="20" t="str" cm="1">
        <f t="array" ref="G362">"n"&amp;SUBSTITUTE(CreateGuidString(),"-","_")</f>
        <v>nA59C58A5_656B_4DB1_8C95_19383FA72BB1</v>
      </c>
    </row>
    <row r="363" spans="1:7" x14ac:dyDescent="0.35">
      <c r="A363" s="13" t="s">
        <v>1051</v>
      </c>
      <c r="B363" s="14" t="s">
        <v>1701</v>
      </c>
      <c r="D363" s="13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F363" s="13" t="s">
        <v>1052</v>
      </c>
      <c r="G363" s="20" t="str" cm="1">
        <f t="array" ref="G363">"n"&amp;SUBSTITUTE(CreateGuidString(),"-","_")</f>
        <v>n8EA2548E_FC1F_4D4D_B412_223455ED20AD</v>
      </c>
    </row>
    <row r="364" spans="1:7" x14ac:dyDescent="0.35">
      <c r="A364" s="13" t="s">
        <v>1053</v>
      </c>
      <c r="B364" s="14" t="s">
        <v>1693</v>
      </c>
      <c r="D364" s="13" t="str">
        <f>IF(NodesData[[#This Row],[Class Disambiguation]]="",NodesData[[#This Row],[Common Name]],NodesData[[#This Row],[Common Name]]&amp;" ("&amp;NodesData[[#This Row],[Class Disambiguation]]&amp;")")</f>
        <v>Rejoiner</v>
      </c>
      <c r="F364" s="13" t="s">
        <v>1054</v>
      </c>
      <c r="G364" s="20" t="str" cm="1">
        <f t="array" ref="G364">"n"&amp;SUBSTITUTE(CreateGuidString(),"-","_")</f>
        <v>nA6DB94CD_DC64_407D_BD09_888DB3AF4EAA</v>
      </c>
    </row>
    <row r="365" spans="1:7" x14ac:dyDescent="0.35">
      <c r="A365" s="13" t="s">
        <v>1055</v>
      </c>
      <c r="B365" s="14" t="s">
        <v>1694</v>
      </c>
      <c r="D365" s="13" t="str">
        <f>IF(NodesData[[#This Row],[Class Disambiguation]]="",NodesData[[#This Row],[Common Name]],NodesData[[#This Row],[Common Name]]&amp;" ("&amp;NodesData[[#This Row],[Class Disambiguation]]&amp;")")</f>
        <v>Relying Party</v>
      </c>
      <c r="F365" s="13" t="s">
        <v>1056</v>
      </c>
      <c r="G365" s="20" t="str" cm="1">
        <f t="array" ref="G365">"n"&amp;SUBSTITUTE(CreateGuidString(),"-","_")</f>
        <v>n5EAA13B5_E2C1_4B62_AB80_71FE7A9615E2</v>
      </c>
    </row>
    <row r="366" spans="1:7" x14ac:dyDescent="0.35">
      <c r="A366" s="13" t="s">
        <v>1057</v>
      </c>
      <c r="B366" s="14" t="s">
        <v>1695</v>
      </c>
      <c r="D366" s="13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F366" s="13" t="s">
        <v>1058</v>
      </c>
      <c r="G366" s="20" t="str" cm="1">
        <f t="array" ref="G366">"n"&amp;SUBSTITUTE(CreateGuidString(),"-","_")</f>
        <v>n1E0D10B9_3C10_4B20_9BA5_044E56B564F9</v>
      </c>
    </row>
    <row r="367" spans="1:7" x14ac:dyDescent="0.35">
      <c r="A367" s="13" t="s">
        <v>1059</v>
      </c>
      <c r="B367" s="14" t="s">
        <v>1696</v>
      </c>
      <c r="D367" s="13" t="str">
        <f>IF(NodesData[[#This Row],[Class Disambiguation]]="",NodesData[[#This Row],[Common Name]],NodesData[[#This Row],[Common Name]]&amp;" ("&amp;NodesData[[#This Row],[Class Disambiguation]]&amp;")")</f>
        <v>Repeatability</v>
      </c>
      <c r="F367" s="13" t="s">
        <v>1060</v>
      </c>
      <c r="G367" s="20" t="str" cm="1">
        <f t="array" ref="G367">"n"&amp;SUBSTITUTE(CreateGuidString(),"-","_")</f>
        <v>n0F692C9B_48C1_4792_99F3_97A773F3740A</v>
      </c>
    </row>
    <row r="368" spans="1:7" x14ac:dyDescent="0.35">
      <c r="A368" s="13" t="s">
        <v>1061</v>
      </c>
      <c r="B368" s="14" t="s">
        <v>1697</v>
      </c>
      <c r="D368" s="13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F368" s="13" t="s">
        <v>1062</v>
      </c>
      <c r="G368" s="20" t="str" cm="1">
        <f t="array" ref="G368">"n"&amp;SUBSTITUTE(CreateGuidString(),"-","_")</f>
        <v>n0B818C34_F353_4699_9859_DEF5616CAE28</v>
      </c>
    </row>
    <row r="369" spans="1:7" x14ac:dyDescent="0.35">
      <c r="A369" s="13" t="s">
        <v>1063</v>
      </c>
      <c r="B369" s="14" t="s">
        <v>1698</v>
      </c>
      <c r="D369" s="13" t="str">
        <f>IF(NodesData[[#This Row],[Class Disambiguation]]="",NodesData[[#This Row],[Common Name]],NodesData[[#This Row],[Common Name]]&amp;" ("&amp;NodesData[[#This Row],[Class Disambiguation]]&amp;")")</f>
        <v>Reproducibility</v>
      </c>
      <c r="F369" s="13" t="s">
        <v>1064</v>
      </c>
      <c r="G369" s="20" t="str" cm="1">
        <f t="array" ref="G369">"n"&amp;SUBSTITUTE(CreateGuidString(),"-","_")</f>
        <v>nBD26B230_E1F3_477D_8F6B_DC643EEB608F</v>
      </c>
    </row>
    <row r="370" spans="1:7" x14ac:dyDescent="0.35">
      <c r="A370" s="13" t="s">
        <v>1065</v>
      </c>
      <c r="B370" s="14" t="s">
        <v>1699</v>
      </c>
      <c r="D370" s="13" t="str">
        <f>IF(NodesData[[#This Row],[Class Disambiguation]]="",NodesData[[#This Row],[Common Name]],NodesData[[#This Row],[Common Name]]&amp;" ("&amp;NodesData[[#This Row],[Class Disambiguation]]&amp;")")</f>
        <v>Revocation</v>
      </c>
      <c r="F370" s="13" t="s">
        <v>1066</v>
      </c>
      <c r="G370" s="20" t="str" cm="1">
        <f t="array" ref="G370">"n"&amp;SUBSTITUTE(CreateGuidString(),"-","_")</f>
        <v>nA74D8317_07E5_493D_9641_F16918BF9940</v>
      </c>
    </row>
    <row r="371" spans="1:7" x14ac:dyDescent="0.35">
      <c r="A371" s="13" t="s">
        <v>1067</v>
      </c>
      <c r="B371" s="14" t="s">
        <v>1700</v>
      </c>
      <c r="C371" s="13" t="s">
        <v>1270</v>
      </c>
      <c r="D371" s="13" t="str">
        <f>IF(NodesData[[#This Row],[Class Disambiguation]]="",NodesData[[#This Row],[Common Name]],NodesData[[#This Row],[Common Name]]&amp;" ("&amp;NodesData[[#This Row],[Class Disambiguation]]&amp;")")</f>
        <v>RIDP (Acronym)</v>
      </c>
      <c r="F371" s="13" t="s">
        <v>1068</v>
      </c>
      <c r="G371" s="20" t="str" cm="1">
        <f t="array" ref="G371">"n"&amp;SUBSTITUTE(CreateGuidString(),"-","_")</f>
        <v>nF5F569BC_5033_4641_A6CA_8E02BD770F38</v>
      </c>
    </row>
    <row r="372" spans="1:7" x14ac:dyDescent="0.35">
      <c r="A372" s="13" t="s">
        <v>1069</v>
      </c>
      <c r="B372" s="14" t="s">
        <v>1728</v>
      </c>
      <c r="D372" s="13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F372" s="13" t="s">
        <v>1070</v>
      </c>
      <c r="G372" s="20" t="str" cm="1">
        <f t="array" ref="G372">"n"&amp;SUBSTITUTE(CreateGuidString(),"-","_")</f>
        <v>nEEC31748_2659_481F_B41A_0C30D9FE2B0F</v>
      </c>
    </row>
    <row r="373" spans="1:7" x14ac:dyDescent="0.35">
      <c r="A373" s="13" t="s">
        <v>1071</v>
      </c>
      <c r="B373" s="14" t="s">
        <v>1702</v>
      </c>
      <c r="D373" s="13" t="str">
        <f>IF(NodesData[[#This Row],[Class Disambiguation]]="",NodesData[[#This Row],[Common Name]],NodesData[[#This Row],[Common Name]]&amp;" ("&amp;NodesData[[#This Row],[Class Disambiguation]]&amp;")")</f>
        <v>Role</v>
      </c>
      <c r="F373" s="13" t="s">
        <v>1072</v>
      </c>
      <c r="G373" s="20" t="str" cm="1">
        <f t="array" ref="G373">"n"&amp;SUBSTITUTE(CreateGuidString(),"-","_")</f>
        <v>n815C8050_78FF_4B42_9058_BEEF89B202BC</v>
      </c>
    </row>
    <row r="374" spans="1:7" x14ac:dyDescent="0.35">
      <c r="A374" s="13" t="s">
        <v>1073</v>
      </c>
      <c r="B374" s="14" t="s">
        <v>1704</v>
      </c>
      <c r="D374" s="13" t="str">
        <f>IF(NodesData[[#This Row],[Class Disambiguation]]="",NodesData[[#This Row],[Common Name]],NodesData[[#This Row],[Common Name]]&amp;" ("&amp;NodesData[[#This Row],[Class Disambiguation]]&amp;")")</f>
        <v>Role Bloating</v>
      </c>
      <c r="F374" s="13" t="s">
        <v>1074</v>
      </c>
      <c r="G374" s="20" t="str" cm="1">
        <f t="array" ref="G374">"n"&amp;SUBSTITUTE(CreateGuidString(),"-","_")</f>
        <v>nFAFB2135_58F5_4ABA_98FC_246BAD347A01</v>
      </c>
    </row>
    <row r="375" spans="1:7" x14ac:dyDescent="0.35">
      <c r="A375" s="13" t="s">
        <v>1075</v>
      </c>
      <c r="B375" s="14" t="s">
        <v>1705</v>
      </c>
      <c r="D375" s="13" t="str">
        <f>IF(NodesData[[#This Row],[Class Disambiguation]]="",NodesData[[#This Row],[Common Name]],NodesData[[#This Row],[Common Name]]&amp;" ("&amp;NodesData[[#This Row],[Class Disambiguation]]&amp;")")</f>
        <v>Role Capacity</v>
      </c>
      <c r="F375" s="13" t="s">
        <v>1076</v>
      </c>
      <c r="G375" s="20" t="str" cm="1">
        <f t="array" ref="G375">"n"&amp;SUBSTITUTE(CreateGuidString(),"-","_")</f>
        <v>n8FB08632_256B_450E_A9CC_C2C7EF820802</v>
      </c>
    </row>
    <row r="376" spans="1:7" x14ac:dyDescent="0.35">
      <c r="A376" s="13" t="s">
        <v>1077</v>
      </c>
      <c r="B376" s="14" t="s">
        <v>1706</v>
      </c>
      <c r="D376" s="13" t="str">
        <f>IF(NodesData[[#This Row],[Class Disambiguation]]="",NodesData[[#This Row],[Common Name]],NodesData[[#This Row],[Common Name]]&amp;" ("&amp;NodesData[[#This Row],[Class Disambiguation]]&amp;")")</f>
        <v>Role Cardinality</v>
      </c>
      <c r="F376" s="13" t="s">
        <v>1078</v>
      </c>
      <c r="G376" s="20" t="str" cm="1">
        <f t="array" ref="G376">"n"&amp;SUBSTITUTE(CreateGuidString(),"-","_")</f>
        <v>nDB61969A_F138_400B_950D_E21E632C9ED8</v>
      </c>
    </row>
    <row r="377" spans="1:7" x14ac:dyDescent="0.35">
      <c r="A377" s="13" t="s">
        <v>1079</v>
      </c>
      <c r="B377" s="14" t="s">
        <v>1707</v>
      </c>
      <c r="D377" s="13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F377" s="13" t="s">
        <v>1080</v>
      </c>
      <c r="G377" s="20" t="str" cm="1">
        <f t="array" ref="G377">"n"&amp;SUBSTITUTE(CreateGuidString(),"-","_")</f>
        <v>n07A2CE9C_4C70_47EA_B12B_B987088C5277</v>
      </c>
    </row>
    <row r="378" spans="1:7" x14ac:dyDescent="0.35">
      <c r="A378" s="13" t="s">
        <v>1081</v>
      </c>
      <c r="B378" s="14" t="s">
        <v>1708</v>
      </c>
      <c r="D378" s="13" t="str">
        <f>IF(NodesData[[#This Row],[Class Disambiguation]]="",NodesData[[#This Row],[Common Name]],NodesData[[#This Row],[Common Name]]&amp;" ("&amp;NodesData[[#This Row],[Class Disambiguation]]&amp;")")</f>
        <v>Role Explosion</v>
      </c>
      <c r="F378" s="13" t="s">
        <v>1082</v>
      </c>
      <c r="G378" s="20" t="str" cm="1">
        <f t="array" ref="G378">"n"&amp;SUBSTITUTE(CreateGuidString(),"-","_")</f>
        <v>n4593ACAA_D0B3_4A75_83C5_22BB78182182</v>
      </c>
    </row>
    <row r="379" spans="1:7" x14ac:dyDescent="0.35">
      <c r="A379" s="13" t="s">
        <v>1083</v>
      </c>
      <c r="B379" s="14" t="s">
        <v>1709</v>
      </c>
      <c r="D379" s="13" t="str">
        <f>IF(NodesData[[#This Row],[Class Disambiguation]]="",NodesData[[#This Row],[Common Name]],NodesData[[#This Row],[Common Name]]&amp;" ("&amp;NodesData[[#This Row],[Class Disambiguation]]&amp;")")</f>
        <v>Role Management</v>
      </c>
      <c r="F379" s="13" t="s">
        <v>1084</v>
      </c>
      <c r="G379" s="20" t="str" cm="1">
        <f t="array" ref="G379">"n"&amp;SUBSTITUTE(CreateGuidString(),"-","_")</f>
        <v>n5282A508_ECB8_46B9_B49A_C1EE5B9BB697</v>
      </c>
    </row>
    <row r="380" spans="1:7" x14ac:dyDescent="0.35">
      <c r="A380" s="13" t="s">
        <v>1085</v>
      </c>
      <c r="B380" s="14" t="s">
        <v>1703</v>
      </c>
      <c r="D380" s="13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F380" s="13" t="s">
        <v>1086</v>
      </c>
      <c r="G380" s="20" t="str" cm="1">
        <f t="array" ref="G380">"n"&amp;SUBSTITUTE(CreateGuidString(),"-","_")</f>
        <v>n682945B8_CE92_473F_9E4F_E768CBD4B272</v>
      </c>
    </row>
    <row r="381" spans="1:7" x14ac:dyDescent="0.35">
      <c r="A381" s="13" t="s">
        <v>1087</v>
      </c>
      <c r="B381" s="14" t="s">
        <v>1710</v>
      </c>
      <c r="C381" s="13" t="s">
        <v>1270</v>
      </c>
      <c r="D381" s="13" t="str">
        <f>IF(NodesData[[#This Row],[Class Disambiguation]]="",NodesData[[#This Row],[Common Name]],NodesData[[#This Row],[Common Name]]&amp;" ("&amp;NodesData[[#This Row],[Class Disambiguation]]&amp;")")</f>
        <v>RP (Acronym)</v>
      </c>
      <c r="F381" s="13" t="s">
        <v>1088</v>
      </c>
      <c r="G381" s="20" t="str" cm="1">
        <f t="array" ref="G381">"n"&amp;SUBSTITUTE(CreateGuidString(),"-","_")</f>
        <v>nFE074F46_9EEC_400F_8B51_BCE80AE87341</v>
      </c>
    </row>
    <row r="382" spans="1:7" x14ac:dyDescent="0.35">
      <c r="A382" s="13" t="s">
        <v>407</v>
      </c>
      <c r="B382" s="14" t="s">
        <v>1711</v>
      </c>
      <c r="D382" s="13" t="str">
        <f>IF(NodesData[[#This Row],[Class Disambiguation]]="",NodesData[[#This Row],[Common Name]],NodesData[[#This Row],[Common Name]]&amp;" ("&amp;NodesData[[#This Row],[Class Disambiguation]]&amp;")")</f>
        <v>SAM Database</v>
      </c>
      <c r="F382" s="13" t="s">
        <v>1089</v>
      </c>
      <c r="G382" s="20" t="str" cm="1">
        <f t="array" ref="G382">"n"&amp;SUBSTITUTE(CreateGuidString(),"-","_")</f>
        <v>n5B8534AD_24A7_4CD0_9BCD_17942E96C28F</v>
      </c>
    </row>
    <row r="383" spans="1:7" x14ac:dyDescent="0.35">
      <c r="A383" s="13" t="s">
        <v>408</v>
      </c>
      <c r="B383" s="14" t="s">
        <v>1712</v>
      </c>
      <c r="C383" s="13" t="s">
        <v>1270</v>
      </c>
      <c r="D383" s="13" t="str">
        <f>IF(NodesData[[#This Row],[Class Disambiguation]]="",NodesData[[#This Row],[Common Name]],NodesData[[#This Row],[Common Name]]&amp;" ("&amp;NodesData[[#This Row],[Class Disambiguation]]&amp;")")</f>
        <v>SAML (Acronym)</v>
      </c>
      <c r="F383" s="13" t="s">
        <v>1090</v>
      </c>
      <c r="G383" s="20" t="str" cm="1">
        <f t="array" ref="G383">"n"&amp;SUBSTITUTE(CreateGuidString(),"-","_")</f>
        <v>n2E0C1A26_2067_4376_95C6_2A1468861DDD</v>
      </c>
    </row>
    <row r="384" spans="1:7" x14ac:dyDescent="0.35">
      <c r="A384" s="13" t="s">
        <v>1091</v>
      </c>
      <c r="B384" s="14" t="s">
        <v>1713</v>
      </c>
      <c r="C384" s="13" t="s">
        <v>1270</v>
      </c>
      <c r="D384" s="13" t="str">
        <f>IF(NodesData[[#This Row],[Class Disambiguation]]="",NodesData[[#This Row],[Common Name]],NodesData[[#This Row],[Common Name]]&amp;" ("&amp;NodesData[[#This Row],[Class Disambiguation]]&amp;")")</f>
        <v>SCIM (Acronym)</v>
      </c>
      <c r="F384" s="13" t="s">
        <v>1092</v>
      </c>
      <c r="G384" s="20" t="str" cm="1">
        <f t="array" ref="G384">"n"&amp;SUBSTITUTE(CreateGuidString(),"-","_")</f>
        <v>n7E414586_B163_4D78_A8E1_4FC4A7FEB53B</v>
      </c>
    </row>
    <row r="385" spans="1:7" x14ac:dyDescent="0.35">
      <c r="A385" s="13" t="s">
        <v>1093</v>
      </c>
      <c r="B385" s="14" t="s">
        <v>1714</v>
      </c>
      <c r="C385" s="13" t="s">
        <v>1270</v>
      </c>
      <c r="D385" s="13" t="str">
        <f>IF(NodesData[[#This Row],[Class Disambiguation]]="",NodesData[[#This Row],[Common Name]],NodesData[[#This Row],[Common Name]]&amp;" ("&amp;NodesData[[#This Row],[Class Disambiguation]]&amp;")")</f>
        <v>SCIM 1.0 (Acronym)</v>
      </c>
      <c r="F385" s="13" t="s">
        <v>1094</v>
      </c>
      <c r="G385" s="20" t="str" cm="1">
        <f t="array" ref="G385">"n"&amp;SUBSTITUTE(CreateGuidString(),"-","_")</f>
        <v>nE5979C50_BC7C_46E7_9B2F_E465C45FFF8A</v>
      </c>
    </row>
    <row r="386" spans="1:7" x14ac:dyDescent="0.35">
      <c r="A386" s="13" t="s">
        <v>1095</v>
      </c>
      <c r="B386" s="14" t="s">
        <v>1715</v>
      </c>
      <c r="C386" s="13" t="s">
        <v>1270</v>
      </c>
      <c r="D386" s="13" t="str">
        <f>IF(NodesData[[#This Row],[Class Disambiguation]]="",NodesData[[#This Row],[Common Name]],NodesData[[#This Row],[Common Name]]&amp;" ("&amp;NodesData[[#This Row],[Class Disambiguation]]&amp;")")</f>
        <v>SCIM 1.1 (Acronym)</v>
      </c>
      <c r="F386" s="13" t="s">
        <v>1096</v>
      </c>
      <c r="G386" s="20" t="str" cm="1">
        <f t="array" ref="G386">"n"&amp;SUBSTITUTE(CreateGuidString(),"-","_")</f>
        <v>nB65DF40C_26FA_4491_8D5B_05D5383FFC6D</v>
      </c>
    </row>
    <row r="387" spans="1:7" x14ac:dyDescent="0.35">
      <c r="A387" s="13" t="s">
        <v>1097</v>
      </c>
      <c r="B387" s="14" t="s">
        <v>1716</v>
      </c>
      <c r="C387" s="13" t="s">
        <v>1270</v>
      </c>
      <c r="D387" s="13" t="str">
        <f>IF(NodesData[[#This Row],[Class Disambiguation]]="",NodesData[[#This Row],[Common Name]],NodesData[[#This Row],[Common Name]]&amp;" ("&amp;NodesData[[#This Row],[Class Disambiguation]]&amp;")")</f>
        <v>SCIM 2.0 (Acronym)</v>
      </c>
      <c r="F387" s="13" t="s">
        <v>1098</v>
      </c>
      <c r="G387" s="20" t="str" cm="1">
        <f t="array" ref="G387">"n"&amp;SUBSTITUTE(CreateGuidString(),"-","_")</f>
        <v>n4C2921C6_4B91_42EB_BFE7_6B06F7785D56</v>
      </c>
    </row>
    <row r="388" spans="1:7" x14ac:dyDescent="0.35">
      <c r="A388" s="13" t="s">
        <v>1099</v>
      </c>
      <c r="B388" s="14" t="s">
        <v>1717</v>
      </c>
      <c r="D388" s="13" t="str">
        <f>IF(NodesData[[#This Row],[Class Disambiguation]]="",NodesData[[#This Row],[Common Name]],NodesData[[#This Row],[Common Name]]&amp;" ("&amp;NodesData[[#This Row],[Class Disambiguation]]&amp;")")</f>
        <v>Scoping</v>
      </c>
      <c r="F388" s="13" t="s">
        <v>1100</v>
      </c>
      <c r="G388" s="20" t="str" cm="1">
        <f t="array" ref="G388">"n"&amp;SUBSTITUTE(CreateGuidString(),"-","_")</f>
        <v>n632ED968_F6F1_4EAC_88CB_C3B15B62EB8A</v>
      </c>
    </row>
    <row r="389" spans="1:7" x14ac:dyDescent="0.35">
      <c r="A389" s="13" t="s">
        <v>1101</v>
      </c>
      <c r="B389" s="14" t="s">
        <v>1718</v>
      </c>
      <c r="C389" s="13" t="s">
        <v>1270</v>
      </c>
      <c r="D389" s="13" t="str">
        <f>IF(NodesData[[#This Row],[Class Disambiguation]]="",NodesData[[#This Row],[Common Name]],NodesData[[#This Row],[Common Name]]&amp;" ("&amp;NodesData[[#This Row],[Class Disambiguation]]&amp;")")</f>
        <v>SD (Acronym)</v>
      </c>
      <c r="F389" s="13" t="s">
        <v>1102</v>
      </c>
      <c r="G389" s="20" t="str" cm="1">
        <f t="array" ref="G389">"n"&amp;SUBSTITUTE(CreateGuidString(),"-","_")</f>
        <v>n61455A09_9A28_4232_9B84_D16545E877AE</v>
      </c>
    </row>
    <row r="390" spans="1:7" x14ac:dyDescent="0.35">
      <c r="A390" s="13" t="s">
        <v>1103</v>
      </c>
      <c r="B390" s="14" t="s">
        <v>1719</v>
      </c>
      <c r="C390" s="13" t="s">
        <v>1270</v>
      </c>
      <c r="D390" s="13" t="str">
        <f>IF(NodesData[[#This Row],[Class Disambiguation]]="",NodesData[[#This Row],[Common Name]],NodesData[[#This Row],[Common Name]]&amp;" ("&amp;NodesData[[#This Row],[Class Disambiguation]]&amp;")")</f>
        <v>SDP (Acronym)</v>
      </c>
      <c r="F390" s="13" t="s">
        <v>1104</v>
      </c>
      <c r="G390" s="20" t="str" cm="1">
        <f t="array" ref="G390">"n"&amp;SUBSTITUTE(CreateGuidString(),"-","_")</f>
        <v>n2598FDB4_8073_49EC_8093_6EFDD102C140</v>
      </c>
    </row>
    <row r="391" spans="1:7" x14ac:dyDescent="0.35">
      <c r="A391" s="13" t="s">
        <v>1105</v>
      </c>
      <c r="B391" s="14" t="s">
        <v>1720</v>
      </c>
      <c r="D391" s="13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F391" s="13" t="s">
        <v>1106</v>
      </c>
      <c r="G391" s="20" t="str" cm="1">
        <f t="array" ref="G391">"n"&amp;SUBSTITUTE(CreateGuidString(),"-","_")</f>
        <v>n090F26C2_C723_4217_9C27_62A89E64DE60</v>
      </c>
    </row>
    <row r="392" spans="1:7" x14ac:dyDescent="0.35">
      <c r="A392" s="13" t="s">
        <v>1107</v>
      </c>
      <c r="B392" s="14" t="s">
        <v>1721</v>
      </c>
      <c r="D392" s="13" t="str">
        <f>IF(NodesData[[#This Row],[Class Disambiguation]]="",NodesData[[#This Row],[Common Name]],NodesData[[#This Row],[Common Name]]&amp;" ("&amp;NodesData[[#This Row],[Class Disambiguation]]&amp;")")</f>
        <v>Secure System</v>
      </c>
      <c r="F392" s="13" t="s">
        <v>1108</v>
      </c>
      <c r="G392" s="20" t="str" cm="1">
        <f t="array" ref="G392">"n"&amp;SUBSTITUTE(CreateGuidString(),"-","_")</f>
        <v>nD8B37EBE_938E_44A2_8689_73E940302894</v>
      </c>
    </row>
    <row r="393" spans="1:7" x14ac:dyDescent="0.35">
      <c r="A393" s="13" t="s">
        <v>1109</v>
      </c>
      <c r="B393" s="14" t="s">
        <v>1722</v>
      </c>
      <c r="D393" s="13" t="str">
        <f>IF(NodesData[[#This Row],[Class Disambiguation]]="",NodesData[[#This Row],[Common Name]],NodesData[[#This Row],[Common Name]]&amp;" ("&amp;NodesData[[#This Row],[Class Disambiguation]]&amp;")")</f>
        <v>Security</v>
      </c>
      <c r="F393" s="13" t="s">
        <v>1110</v>
      </c>
      <c r="G393" s="20" t="str" cm="1">
        <f t="array" ref="G393">"n"&amp;SUBSTITUTE(CreateGuidString(),"-","_")</f>
        <v>n7C78180C_BF59_4403_8697_2827D13A9E54</v>
      </c>
    </row>
    <row r="394" spans="1:7" x14ac:dyDescent="0.35">
      <c r="A394" s="13" t="s">
        <v>1111</v>
      </c>
      <c r="B394" s="14" t="s">
        <v>1723</v>
      </c>
      <c r="D394" s="13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F394" s="13" t="s">
        <v>1112</v>
      </c>
      <c r="G394" s="20" t="str" cm="1">
        <f t="array" ref="G394">"n"&amp;SUBSTITUTE(CreateGuidString(),"-","_")</f>
        <v>nA27A70DE_9EAF_4554_B800_93286E72802F</v>
      </c>
    </row>
    <row r="395" spans="1:7" x14ac:dyDescent="0.35">
      <c r="A395" s="13" t="s">
        <v>421</v>
      </c>
      <c r="B395" s="14" t="s">
        <v>1724</v>
      </c>
      <c r="D395" s="13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F395" s="13" t="s">
        <v>1113</v>
      </c>
      <c r="G395" s="20" t="str" cm="1">
        <f t="array" ref="G395">"n"&amp;SUBSTITUTE(CreateGuidString(),"-","_")</f>
        <v>n152279ED_6854_451E_A66F_AD7063EEEDD3</v>
      </c>
    </row>
    <row r="396" spans="1:7" x14ac:dyDescent="0.35">
      <c r="A396" s="13" t="s">
        <v>1114</v>
      </c>
      <c r="B396" s="14" t="s">
        <v>1725</v>
      </c>
      <c r="D396" s="13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F396" s="13" t="s">
        <v>1115</v>
      </c>
      <c r="G396" s="20" t="str" cm="1">
        <f t="array" ref="G396">"n"&amp;SUBSTITUTE(CreateGuidString(),"-","_")</f>
        <v>nAE858CFB_3993_4493_83FA_065F3E748619</v>
      </c>
    </row>
    <row r="397" spans="1:7" x14ac:dyDescent="0.35">
      <c r="A397" s="13" t="s">
        <v>1116</v>
      </c>
      <c r="B397" s="14" t="s">
        <v>1726</v>
      </c>
      <c r="D397" s="13" t="str">
        <f>IF(NodesData[[#This Row],[Class Disambiguation]]="",NodesData[[#This Row],[Common Name]],NodesData[[#This Row],[Common Name]]&amp;" ("&amp;NodesData[[#This Row],[Class Disambiguation]]&amp;")")</f>
        <v>Security Compartment</v>
      </c>
      <c r="F397" s="13" t="s">
        <v>1117</v>
      </c>
      <c r="G397" s="20" t="str" cm="1">
        <f t="array" ref="G397">"n"&amp;SUBSTITUTE(CreateGuidString(),"-","_")</f>
        <v>n8F3FA260_D16F_4243_955E_EE0AC3B24518</v>
      </c>
    </row>
    <row r="398" spans="1:7" x14ac:dyDescent="0.35">
      <c r="A398" s="13" t="s">
        <v>1118</v>
      </c>
      <c r="B398" s="14" t="s">
        <v>1727</v>
      </c>
      <c r="D398" s="13" t="str">
        <f>IF(NodesData[[#This Row],[Class Disambiguation]]="",NodesData[[#This Row],[Common Name]],NodesData[[#This Row],[Common Name]]&amp;" ("&amp;NodesData[[#This Row],[Class Disambiguation]]&amp;")")</f>
        <v>Security Label</v>
      </c>
      <c r="F398" s="13" t="s">
        <v>1119</v>
      </c>
      <c r="G398" s="20" t="str" cm="1">
        <f t="array" ref="G398">"n"&amp;SUBSTITUTE(CreateGuidString(),"-","_")</f>
        <v>n3A6B65CD_658A_451C_BDB9_52194B72B599</v>
      </c>
    </row>
    <row r="399" spans="1:7" x14ac:dyDescent="0.35">
      <c r="A399" s="13" t="s">
        <v>1329</v>
      </c>
      <c r="B399" s="14" t="s">
        <v>1735</v>
      </c>
      <c r="D399" s="13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G399" s="20" t="str" cm="1">
        <f t="array" ref="G399">"n"&amp;SUBSTITUTE(CreateGuidString(),"-","_")</f>
        <v>n83AB1924_097C_42A2_9256_DCF69C378B88</v>
      </c>
    </row>
    <row r="400" spans="1:7" x14ac:dyDescent="0.35">
      <c r="A400" s="13" t="s">
        <v>1120</v>
      </c>
      <c r="B400" s="14" t="s">
        <v>1729</v>
      </c>
      <c r="D400" s="13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F400" s="13" t="s">
        <v>1121</v>
      </c>
      <c r="G400" s="20" t="str" cm="1">
        <f t="array" ref="G400">"n"&amp;SUBSTITUTE(CreateGuidString(),"-","_")</f>
        <v>n414595B1_5C1C_468B_B2BF_C4E6FE8F341E</v>
      </c>
    </row>
    <row r="401" spans="1:7" x14ac:dyDescent="0.35">
      <c r="A401" s="13" t="s">
        <v>426</v>
      </c>
      <c r="B401" s="14" t="s">
        <v>1730</v>
      </c>
      <c r="D401" s="13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F401" s="13" t="s">
        <v>1122</v>
      </c>
      <c r="G401" s="20" t="str" cm="1">
        <f t="array" ref="G401">"n"&amp;SUBSTITUTE(CreateGuidString(),"-","_")</f>
        <v>n4E92CC19_6EEA_4B9B_8260_2EA92CB5DDDE</v>
      </c>
    </row>
    <row r="402" spans="1:7" x14ac:dyDescent="0.35">
      <c r="A402" s="13" t="s">
        <v>1123</v>
      </c>
      <c r="B402" s="14" t="s">
        <v>1731</v>
      </c>
      <c r="D402" s="13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F402" s="13" t="s">
        <v>1124</v>
      </c>
      <c r="G402" s="20" t="str" cm="1">
        <f t="array" ref="G402">"n"&amp;SUBSTITUTE(CreateGuidString(),"-","_")</f>
        <v>nF57E9B78_23B8_46C0_A078_E5FDFBD43E70</v>
      </c>
    </row>
    <row r="403" spans="1:7" x14ac:dyDescent="0.35">
      <c r="A403" s="13" t="s">
        <v>1125</v>
      </c>
      <c r="B403" s="14" t="s">
        <v>1732</v>
      </c>
      <c r="D403" s="13" t="str">
        <f>IF(NodesData[[#This Row],[Class Disambiguation]]="",NodesData[[#This Row],[Common Name]],NodesData[[#This Row],[Common Name]]&amp;" ("&amp;NodesData[[#This Row],[Class Disambiguation]]&amp;")")</f>
        <v>Service Account</v>
      </c>
      <c r="F403" s="13" t="s">
        <v>1126</v>
      </c>
      <c r="G403" s="20" t="str" cm="1">
        <f t="array" ref="G403">"n"&amp;SUBSTITUTE(CreateGuidString(),"-","_")</f>
        <v>nD89B15E1_02B9_49B0_9582_473A007366F7</v>
      </c>
    </row>
    <row r="404" spans="1:7" x14ac:dyDescent="0.35">
      <c r="A404" s="13" t="s">
        <v>429</v>
      </c>
      <c r="B404" s="14" t="s">
        <v>1733</v>
      </c>
      <c r="D404" s="13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F404" s="13" t="s">
        <v>1127</v>
      </c>
      <c r="G404" s="20" t="str" cm="1">
        <f t="array" ref="G404">"n"&amp;SUBSTITUTE(CreateGuidString(),"-","_")</f>
        <v>nCBDB447A_B293_47E1_A45A_A59DD4FF02CE</v>
      </c>
    </row>
    <row r="405" spans="1:7" x14ac:dyDescent="0.35">
      <c r="A405" s="13" t="s">
        <v>1128</v>
      </c>
      <c r="B405" s="14" t="s">
        <v>1734</v>
      </c>
      <c r="D405" s="13" t="str">
        <f>IF(NodesData[[#This Row],[Class Disambiguation]]="",NodesData[[#This Row],[Common Name]],NodesData[[#This Row],[Common Name]]&amp;" ("&amp;NodesData[[#This Row],[Class Disambiguation]]&amp;")")</f>
        <v>Session</v>
      </c>
      <c r="F405" s="13" t="s">
        <v>1129</v>
      </c>
      <c r="G405" s="20" t="str" cm="1">
        <f t="array" ref="G405">"n"&amp;SUBSTITUTE(CreateGuidString(),"-","_")</f>
        <v>n65374E57_D4E9_49BC_98F8_50BB55D58446</v>
      </c>
    </row>
    <row r="406" spans="1:7" x14ac:dyDescent="0.35">
      <c r="A406" s="13" t="s">
        <v>1331</v>
      </c>
      <c r="B406" s="14" t="s">
        <v>1740</v>
      </c>
      <c r="D406" s="13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G406" s="20" t="str" cm="1">
        <f t="array" ref="G406">"n"&amp;SUBSTITUTE(CreateGuidString(),"-","_")</f>
        <v>n546CE6E1_8AA9_4C6C_8A8B_B38E82320717</v>
      </c>
    </row>
    <row r="407" spans="1:7" x14ac:dyDescent="0.35">
      <c r="A407" s="13" t="s">
        <v>1130</v>
      </c>
      <c r="B407" s="14" t="s">
        <v>1736</v>
      </c>
      <c r="D407" s="13" t="str">
        <f>IF(NodesData[[#This Row],[Class Disambiguation]]="",NodesData[[#This Row],[Common Name]],NodesData[[#This Row],[Common Name]]&amp;" ("&amp;NodesData[[#This Row],[Class Disambiguation]]&amp;")")</f>
        <v>Single Login</v>
      </c>
      <c r="F407" s="13" t="s">
        <v>1131</v>
      </c>
      <c r="G407" s="20" t="str" cm="1">
        <f t="array" ref="G407">"n"&amp;SUBSTITUTE(CreateGuidString(),"-","_")</f>
        <v>n21B4E7B8_2A40_47AE_856E_8713BE6FDACB</v>
      </c>
    </row>
    <row r="408" spans="1:7" x14ac:dyDescent="0.35">
      <c r="A408" s="13" t="s">
        <v>1132</v>
      </c>
      <c r="B408" s="14" t="s">
        <v>1737</v>
      </c>
      <c r="D408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F408" s="13" t="s">
        <v>1133</v>
      </c>
      <c r="G408" s="20" t="str" cm="1">
        <f t="array" ref="G408">"n"&amp;SUBSTITUTE(CreateGuidString(),"-","_")</f>
        <v>n573E15AE_D82F_4059_A563_C8C3E9E9A9CA</v>
      </c>
    </row>
    <row r="409" spans="1:7" x14ac:dyDescent="0.35">
      <c r="A409" s="13" t="s">
        <v>1132</v>
      </c>
      <c r="B409" s="14" t="s">
        <v>1738</v>
      </c>
      <c r="D409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G409" s="20" t="str" cm="1">
        <f t="array" ref="G409">"n"&amp;SUBSTITUTE(CreateGuidString(),"-","_")</f>
        <v>n96432737_2C98_49C4_A4B9_BB0D2BAC7894</v>
      </c>
    </row>
    <row r="410" spans="1:7" x14ac:dyDescent="0.35">
      <c r="A410" s="13" t="s">
        <v>1321</v>
      </c>
      <c r="B410" s="14" t="s">
        <v>1739</v>
      </c>
      <c r="D410" s="13" t="str">
        <f>IF(NodesData[[#This Row],[Class Disambiguation]]="",NodesData[[#This Row],[Common Name]],NodesData[[#This Row],[Common Name]]&amp;" ("&amp;NodesData[[#This Row],[Class Disambiguation]]&amp;")")</f>
        <v>SMS OTP</v>
      </c>
      <c r="G410" s="20" t="str" cm="1">
        <f t="array" ref="G410">"n"&amp;SUBSTITUTE(CreateGuidString(),"-","_")</f>
        <v>nE82E03DC_0CA3_4880_B069_AD2A6BFE4F23</v>
      </c>
    </row>
    <row r="411" spans="1:7" x14ac:dyDescent="0.35">
      <c r="A411" s="13" t="s">
        <v>433</v>
      </c>
      <c r="B411" s="14" t="s">
        <v>1753</v>
      </c>
      <c r="D411" s="13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F411" s="13" t="s">
        <v>1134</v>
      </c>
      <c r="G411" s="20" t="str" cm="1">
        <f t="array" ref="G411">"n"&amp;SUBSTITUTE(CreateGuidString(),"-","_")</f>
        <v>nD887F066_F2B2_46FD_8A70_D58C351A919B</v>
      </c>
    </row>
    <row r="412" spans="1:7" x14ac:dyDescent="0.35">
      <c r="A412" s="13" t="s">
        <v>434</v>
      </c>
      <c r="B412" s="14" t="s">
        <v>1741</v>
      </c>
      <c r="D412" s="13" t="str">
        <f>IF(NodesData[[#This Row],[Class Disambiguation]]="",NodesData[[#This Row],[Common Name]],NodesData[[#This Row],[Common Name]]&amp;" ("&amp;NodesData[[#This Row],[Class Disambiguation]]&amp;")")</f>
        <v>Social Honeypot</v>
      </c>
      <c r="F412" s="13" t="s">
        <v>1135</v>
      </c>
      <c r="G412" s="20" t="str" cm="1">
        <f t="array" ref="G412">"n"&amp;SUBSTITUTE(CreateGuidString(),"-","_")</f>
        <v>n954974F1_C101_4C16_A57D_F4F6C046D282</v>
      </c>
    </row>
    <row r="413" spans="1:7" x14ac:dyDescent="0.35">
      <c r="A413" s="13" t="s">
        <v>1136</v>
      </c>
      <c r="B413" s="14" t="s">
        <v>1742</v>
      </c>
      <c r="C413" s="13" t="s">
        <v>1270</v>
      </c>
      <c r="D413" s="13" t="str">
        <f>IF(NodesData[[#This Row],[Class Disambiguation]]="",NodesData[[#This Row],[Common Name]],NodesData[[#This Row],[Common Name]]&amp;" ("&amp;NodesData[[#This Row],[Class Disambiguation]]&amp;")")</f>
        <v>SoD (Acronym)</v>
      </c>
      <c r="F413" s="13" t="s">
        <v>1137</v>
      </c>
      <c r="G413" s="20" t="str" cm="1">
        <f t="array" ref="G413">"n"&amp;SUBSTITUTE(CreateGuidString(),"-","_")</f>
        <v>nBE383CE6_A00C_440F_AAD0_E9C67D382094</v>
      </c>
    </row>
    <row r="414" spans="1:7" x14ac:dyDescent="0.35">
      <c r="A414" s="13" t="s">
        <v>1320</v>
      </c>
      <c r="B414" s="14" t="s">
        <v>1743</v>
      </c>
      <c r="D414" s="13" t="str">
        <f>IF(NodesData[[#This Row],[Class Disambiguation]]="",NodesData[[#This Row],[Common Name]],NodesData[[#This Row],[Common Name]]&amp;" ("&amp;NodesData[[#This Row],[Class Disambiguation]]&amp;")")</f>
        <v>Software / App OTP</v>
      </c>
      <c r="G414" s="20" t="str" cm="1">
        <f t="array" ref="G414">"n"&amp;SUBSTITUTE(CreateGuidString(),"-","_")</f>
        <v>n1F2667B1_028D_464D_BB32_ECA4C67866F2</v>
      </c>
    </row>
    <row r="415" spans="1:7" x14ac:dyDescent="0.35">
      <c r="A415" s="13" t="s">
        <v>1138</v>
      </c>
      <c r="B415" s="14" t="s">
        <v>1744</v>
      </c>
      <c r="D415" s="13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F415" s="13" t="s">
        <v>1139</v>
      </c>
      <c r="G415" s="20" t="str" cm="1">
        <f t="array" ref="G415">"n"&amp;SUBSTITUTE(CreateGuidString(),"-","_")</f>
        <v>n759931CC_9056_4667_9DEA_D4AA842F251F</v>
      </c>
    </row>
    <row r="416" spans="1:7" x14ac:dyDescent="0.35">
      <c r="A416" s="13" t="s">
        <v>1140</v>
      </c>
      <c r="B416" s="14" t="s">
        <v>1745</v>
      </c>
      <c r="C416" s="13" t="s">
        <v>1270</v>
      </c>
      <c r="D416" s="13" t="str">
        <f>IF(NodesData[[#This Row],[Class Disambiguation]]="",NodesData[[#This Row],[Common Name]],NodesData[[#This Row],[Common Name]]&amp;" ("&amp;NodesData[[#This Row],[Class Disambiguation]]&amp;")")</f>
        <v>SPIFFE (Acronym)</v>
      </c>
      <c r="F416" s="13" t="s">
        <v>1141</v>
      </c>
      <c r="G416" s="20" t="str" cm="1">
        <f t="array" ref="G416">"n"&amp;SUBSTITUTE(CreateGuidString(),"-","_")</f>
        <v>n937419F1_F2D3_4865_8480_FCC7CB00A161</v>
      </c>
    </row>
    <row r="417" spans="1:7" x14ac:dyDescent="0.35">
      <c r="A417" s="13" t="s">
        <v>1142</v>
      </c>
      <c r="B417" s="14" t="s">
        <v>1746</v>
      </c>
      <c r="C417" s="13" t="s">
        <v>1270</v>
      </c>
      <c r="D417" s="13" t="str">
        <f>IF(NodesData[[#This Row],[Class Disambiguation]]="",NodesData[[#This Row],[Common Name]],NodesData[[#This Row],[Common Name]]&amp;" ("&amp;NodesData[[#This Row],[Class Disambiguation]]&amp;")")</f>
        <v>SPMS (Acronym)</v>
      </c>
      <c r="F417" s="13" t="s">
        <v>1143</v>
      </c>
      <c r="G417" s="20" t="str" cm="1">
        <f t="array" ref="G417">"n"&amp;SUBSTITUTE(CreateGuidString(),"-","_")</f>
        <v>nBAF031C0_B340_47FD_BC21_A771FA4D4528</v>
      </c>
    </row>
    <row r="418" spans="1:7" x14ac:dyDescent="0.35">
      <c r="A418" s="13" t="s">
        <v>1144</v>
      </c>
      <c r="B418" s="14" t="s">
        <v>1747</v>
      </c>
      <c r="C418" s="13" t="s">
        <v>1270</v>
      </c>
      <c r="D418" s="13" t="str">
        <f>IF(NodesData[[#This Row],[Class Disambiguation]]="",NodesData[[#This Row],[Common Name]],NodesData[[#This Row],[Common Name]]&amp;" ("&amp;NodesData[[#This Row],[Class Disambiguation]]&amp;")")</f>
        <v>SSH Key (Acronym)</v>
      </c>
      <c r="F418" s="13" t="s">
        <v>1145</v>
      </c>
      <c r="G418" s="20" t="str" cm="1">
        <f t="array" ref="G418">"n"&amp;SUBSTITUTE(CreateGuidString(),"-","_")</f>
        <v>n018089CD_F913_4658_A663_88C07CF5F15A</v>
      </c>
    </row>
    <row r="419" spans="1:7" x14ac:dyDescent="0.35">
      <c r="A419" s="13" t="s">
        <v>440</v>
      </c>
      <c r="B419" s="14" t="s">
        <v>1748</v>
      </c>
      <c r="C419" s="13" t="s">
        <v>1270</v>
      </c>
      <c r="D419" s="13" t="str">
        <f>IF(NodesData[[#This Row],[Class Disambiguation]]="",NodesData[[#This Row],[Common Name]],NodesData[[#This Row],[Common Name]]&amp;" ("&amp;NodesData[[#This Row],[Class Disambiguation]]&amp;")")</f>
        <v>SSI (Acronym)</v>
      </c>
      <c r="F419" s="13" t="s">
        <v>1146</v>
      </c>
      <c r="G419" s="20" t="str" cm="1">
        <f t="array" ref="G419">"n"&amp;SUBSTITUTE(CreateGuidString(),"-","_")</f>
        <v>n057FF6ED_EDE2_4008_9DB5_76FE3502782D</v>
      </c>
    </row>
    <row r="420" spans="1:7" x14ac:dyDescent="0.35">
      <c r="A420" s="13" t="s">
        <v>1147</v>
      </c>
      <c r="B420" s="14" t="s">
        <v>1749</v>
      </c>
      <c r="C420" s="13" t="s">
        <v>1270</v>
      </c>
      <c r="D420" s="13" t="str">
        <f>IF(NodesData[[#This Row],[Class Disambiguation]]="",NodesData[[#This Row],[Common Name]],NodesData[[#This Row],[Common Name]]&amp;" ("&amp;NodesData[[#This Row],[Class Disambiguation]]&amp;")")</f>
        <v>SSO (Acronym)</v>
      </c>
      <c r="F420" s="13" t="s">
        <v>1148</v>
      </c>
      <c r="G420" s="20" t="str" cm="1">
        <f t="array" ref="G420">"n"&amp;SUBSTITUTE(CreateGuidString(),"-","_")</f>
        <v>n6041288F_D689_4DE1_8F96_9AF2F44935E5</v>
      </c>
    </row>
    <row r="421" spans="1:7" x14ac:dyDescent="0.35">
      <c r="A421" s="13" t="s">
        <v>1147</v>
      </c>
      <c r="B421" s="14" t="s">
        <v>1750</v>
      </c>
      <c r="D421" s="13" t="str">
        <f>IF(NodesData[[#This Row],[Class Disambiguation]]="",NodesData[[#This Row],[Common Name]],NodesData[[#This Row],[Common Name]]&amp;" ("&amp;NodesData[[#This Row],[Class Disambiguation]]&amp;")")</f>
        <v>SSO</v>
      </c>
      <c r="G421" s="20" t="str" cm="1">
        <f t="array" ref="G421">"n"&amp;SUBSTITUTE(CreateGuidString(),"-","_")</f>
        <v>n2B34030A_7FCD_4FCC_8B78_914ADDF9AE20</v>
      </c>
    </row>
    <row r="422" spans="1:7" x14ac:dyDescent="0.35">
      <c r="A422" s="13" t="s">
        <v>1149</v>
      </c>
      <c r="B422" s="14" t="s">
        <v>1751</v>
      </c>
      <c r="D422" s="13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F422" s="13" t="s">
        <v>1150</v>
      </c>
      <c r="G422" s="20" t="str" cm="1">
        <f t="array" ref="G422">"n"&amp;SUBSTITUTE(CreateGuidString(),"-","_")</f>
        <v>n554DBC6F_7A8F_4518_AD9A_4D82B56FD4B2</v>
      </c>
    </row>
    <row r="423" spans="1:7" x14ac:dyDescent="0.35">
      <c r="A423" s="13" t="s">
        <v>1151</v>
      </c>
      <c r="B423" s="14" t="s">
        <v>1752</v>
      </c>
      <c r="D423" s="13" t="str">
        <f>IF(NodesData[[#This Row],[Class Disambiguation]]="",NodesData[[#This Row],[Common Name]],NodesData[[#This Row],[Common Name]]&amp;" ("&amp;NodesData[[#This Row],[Class Disambiguation]]&amp;")")</f>
        <v>Stakeholder</v>
      </c>
      <c r="F423" s="13" t="s">
        <v>1152</v>
      </c>
      <c r="G423" s="20" t="str" cm="1">
        <f t="array" ref="G423">"n"&amp;SUBSTITUTE(CreateGuidString(),"-","_")</f>
        <v>nF8E2D5AC_324F_4156_B091_9393301E3ADE</v>
      </c>
    </row>
    <row r="424" spans="1:7" x14ac:dyDescent="0.35">
      <c r="A424" s="13" t="s">
        <v>444</v>
      </c>
      <c r="B424" s="14" t="s">
        <v>1756</v>
      </c>
      <c r="D424" s="13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F424" s="13" t="s">
        <v>1153</v>
      </c>
      <c r="G424" s="20" t="str" cm="1">
        <f t="array" ref="G424">"n"&amp;SUBSTITUTE(CreateGuidString(),"-","_")</f>
        <v>n9161887D_3AD6_447E_9C50_979C98AE1C2D</v>
      </c>
    </row>
    <row r="425" spans="1:7" x14ac:dyDescent="0.35">
      <c r="A425" s="32" t="s">
        <v>1921</v>
      </c>
      <c r="B425" s="14" t="s">
        <v>1941</v>
      </c>
      <c r="D425" s="19" t="str">
        <f>IF(NodesData[[#This Row],[Class Disambiguation]]="",NodesData[[#This Row],[Common Name]],NodesData[[#This Row],[Common Name]]&amp;" ("&amp;NodesData[[#This Row],[Class Disambiguation]]&amp;")")</f>
        <v>Stolen Account</v>
      </c>
      <c r="E425" s="19"/>
      <c r="G425" s="21" t="str" cm="1">
        <f t="array" ref="G425">"n"&amp;SUBSTITUTE(CreateGuidString(),"-","_")</f>
        <v>n5F344F46_30A1_457B_B0C1_C80B84062DC5</v>
      </c>
    </row>
    <row r="426" spans="1:7" x14ac:dyDescent="0.35">
      <c r="A426" s="13" t="s">
        <v>1154</v>
      </c>
      <c r="B426" s="14" t="s">
        <v>1754</v>
      </c>
      <c r="D426" s="13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F426" s="13" t="s">
        <v>1155</v>
      </c>
      <c r="G426" s="20" t="str" cm="1">
        <f t="array" ref="G426">"n"&amp;SUBSTITUTE(CreateGuidString(),"-","_")</f>
        <v>n2755C17E_2634_41E6_B02A_EA6A5F1065B0</v>
      </c>
    </row>
    <row r="427" spans="1:7" x14ac:dyDescent="0.35">
      <c r="A427" s="13" t="s">
        <v>1156</v>
      </c>
      <c r="B427" s="14" t="s">
        <v>1755</v>
      </c>
      <c r="D427" s="13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F427" s="13" t="s">
        <v>1157</v>
      </c>
      <c r="G427" s="20" t="str" cm="1">
        <f t="array" ref="G427">"n"&amp;SUBSTITUTE(CreateGuidString(),"-","_")</f>
        <v>n95E51CA8_7614_4392_A1B3_49CFC3CF1F92</v>
      </c>
    </row>
    <row r="428" spans="1:7" x14ac:dyDescent="0.35">
      <c r="A428" s="13" t="s">
        <v>1158</v>
      </c>
      <c r="B428" s="14" t="s">
        <v>1770</v>
      </c>
      <c r="D428" s="13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F428" s="13" t="s">
        <v>1159</v>
      </c>
      <c r="G428" s="20" t="str" cm="1">
        <f t="array" ref="G428">"n"&amp;SUBSTITUTE(CreateGuidString(),"-","_")</f>
        <v>nD21789EA_6C44_417C_B1C2_50255F79570C</v>
      </c>
    </row>
    <row r="429" spans="1:7" x14ac:dyDescent="0.35">
      <c r="A429" s="13" t="s">
        <v>1160</v>
      </c>
      <c r="B429" s="14" t="s">
        <v>1757</v>
      </c>
      <c r="D429" s="13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F429" s="13" t="s">
        <v>1161</v>
      </c>
      <c r="G429" s="20" t="str" cm="1">
        <f t="array" ref="G429">"n"&amp;SUBSTITUTE(CreateGuidString(),"-","_")</f>
        <v>nA03B89E5_10E2_44E9_84D6_1D91F8D7DB47</v>
      </c>
    </row>
    <row r="430" spans="1:7" x14ac:dyDescent="0.35">
      <c r="A430" s="13" t="s">
        <v>1162</v>
      </c>
      <c r="B430" s="14" t="s">
        <v>1758</v>
      </c>
      <c r="D430" s="13" t="str">
        <f>IF(NodesData[[#This Row],[Class Disambiguation]]="",NodesData[[#This Row],[Common Name]],NodesData[[#This Row],[Common Name]]&amp;" ("&amp;NodesData[[#This Row],[Class Disambiguation]]&amp;")")</f>
        <v>Subject</v>
      </c>
      <c r="F430" s="13" t="s">
        <v>1163</v>
      </c>
      <c r="G430" s="20" t="str" cm="1">
        <f t="array" ref="G430">"n"&amp;SUBSTITUTE(CreateGuidString(),"-","_")</f>
        <v>n733C9269_B4E7_4C4E_A592_87F9A79AFE98</v>
      </c>
    </row>
    <row r="431" spans="1:7" x14ac:dyDescent="0.35">
      <c r="A431" s="13" t="s">
        <v>1164</v>
      </c>
      <c r="B431" s="14" t="s">
        <v>1759</v>
      </c>
      <c r="D431" s="13" t="str">
        <f>IF(NodesData[[#This Row],[Class Disambiguation]]="",NodesData[[#This Row],[Common Name]],NodesData[[#This Row],[Common Name]]&amp;" ("&amp;NodesData[[#This Row],[Class Disambiguation]]&amp;")")</f>
        <v>Subjective Indicator</v>
      </c>
      <c r="F431" s="13" t="s">
        <v>1165</v>
      </c>
      <c r="G431" s="20" t="str" cm="1">
        <f t="array" ref="G431">"n"&amp;SUBSTITUTE(CreateGuidString(),"-","_")</f>
        <v>n5416C61F_F2A6_4B08_B14D_9FCB0418DD5A</v>
      </c>
    </row>
    <row r="432" spans="1:7" x14ac:dyDescent="0.35">
      <c r="A432" s="13" t="s">
        <v>451</v>
      </c>
      <c r="B432" s="14" t="s">
        <v>1760</v>
      </c>
      <c r="D432" s="13" t="str">
        <f>IF(NodesData[[#This Row],[Class Disambiguation]]="",NodesData[[#This Row],[Common Name]],NodesData[[#This Row],[Common Name]]&amp;" ("&amp;NodesData[[#This Row],[Class Disambiguation]]&amp;")")</f>
        <v>Supply Chain Attack</v>
      </c>
      <c r="F432" s="13" t="s">
        <v>1166</v>
      </c>
      <c r="G432" s="20" t="str" cm="1">
        <f t="array" ref="G432">"n"&amp;SUBSTITUTE(CreateGuidString(),"-","_")</f>
        <v>nB89F0CB6_68F4_4F9A_B011_B3B67B30D48C</v>
      </c>
    </row>
    <row r="433" spans="1:7" x14ac:dyDescent="0.35">
      <c r="A433" s="13" t="s">
        <v>452</v>
      </c>
      <c r="B433" s="14" t="s">
        <v>1761</v>
      </c>
      <c r="D433" s="13" t="str">
        <f>IF(NodesData[[#This Row],[Class Disambiguation]]="",NodesData[[#This Row],[Common Name]],NodesData[[#This Row],[Common Name]]&amp;" ("&amp;NodesData[[#This Row],[Class Disambiguation]]&amp;")")</f>
        <v>Sybil Attack</v>
      </c>
      <c r="F433" s="13" t="s">
        <v>1167</v>
      </c>
      <c r="G433" s="20" t="str" cm="1">
        <f t="array" ref="G433">"n"&amp;SUBSTITUTE(CreateGuidString(),"-","_")</f>
        <v>nE9CEE26A_D28C_4EEA_8046_729A712AEEEC</v>
      </c>
    </row>
    <row r="434" spans="1:7" x14ac:dyDescent="0.35">
      <c r="A434" s="13" t="s">
        <v>1168</v>
      </c>
      <c r="B434" s="14" t="s">
        <v>1762</v>
      </c>
      <c r="D434" s="13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F434" s="13" t="s">
        <v>1169</v>
      </c>
      <c r="G434" s="20" t="str" cm="1">
        <f t="array" ref="G434">"n"&amp;SUBSTITUTE(CreateGuidString(),"-","_")</f>
        <v>nD2858A30_7572_4A63_AB2B_0292C7589319</v>
      </c>
    </row>
    <row r="435" spans="1:7" x14ac:dyDescent="0.35">
      <c r="A435" s="13" t="s">
        <v>454</v>
      </c>
      <c r="B435" s="14" t="s">
        <v>1763</v>
      </c>
      <c r="D435" s="13" t="str">
        <f>IF(NodesData[[#This Row],[Class Disambiguation]]="",NodesData[[#This Row],[Common Name]],NodesData[[#This Row],[Common Name]]&amp;" ("&amp;NodesData[[#This Row],[Class Disambiguation]]&amp;")")</f>
        <v>System</v>
      </c>
      <c r="F435" s="13" t="s">
        <v>1170</v>
      </c>
      <c r="G435" s="20" t="str" cm="1">
        <f t="array" ref="G435">"n"&amp;SUBSTITUTE(CreateGuidString(),"-","_")</f>
        <v>n0C695CA6_2437_4A32_8A43_5EA8ABA0018D</v>
      </c>
    </row>
    <row r="436" spans="1:7" x14ac:dyDescent="0.35">
      <c r="A436" s="13" t="s">
        <v>455</v>
      </c>
      <c r="B436" s="14" t="s">
        <v>1764</v>
      </c>
      <c r="D436" s="13" t="str">
        <f>IF(NodesData[[#This Row],[Class Disambiguation]]="",NodesData[[#This Row],[Common Name]],NodesData[[#This Row],[Common Name]]&amp;" ("&amp;NodesData[[#This Row],[Class Disambiguation]]&amp;")")</f>
        <v>System Boundaries</v>
      </c>
      <c r="F436" s="13" t="s">
        <v>1171</v>
      </c>
      <c r="G436" s="20" t="str" cm="1">
        <f t="array" ref="G436">"n"&amp;SUBSTITUTE(CreateGuidString(),"-","_")</f>
        <v>n3688445F_2054_443E_B98B_BE425016106F</v>
      </c>
    </row>
    <row r="437" spans="1:7" x14ac:dyDescent="0.35">
      <c r="A437" s="13" t="s">
        <v>1172</v>
      </c>
      <c r="B437" s="14" t="s">
        <v>1765</v>
      </c>
      <c r="D437" s="13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F437" s="13" t="s">
        <v>1173</v>
      </c>
      <c r="G437" s="20" t="str" cm="1">
        <f t="array" ref="G437">"n"&amp;SUBSTITUTE(CreateGuidString(),"-","_")</f>
        <v>nD481E597_09DF_4DF7_9B03_4B4CC9B18822</v>
      </c>
    </row>
    <row r="438" spans="1:7" x14ac:dyDescent="0.35">
      <c r="A438" s="13" t="s">
        <v>1174</v>
      </c>
      <c r="B438" s="14" t="s">
        <v>1766</v>
      </c>
      <c r="D438" s="13" t="str">
        <f>IF(NodesData[[#This Row],[Class Disambiguation]]="",NodesData[[#This Row],[Common Name]],NodesData[[#This Row],[Common Name]]&amp;" ("&amp;NodesData[[#This Row],[Class Disambiguation]]&amp;")")</f>
        <v>System Owner</v>
      </c>
      <c r="F438" s="13" t="s">
        <v>1175</v>
      </c>
      <c r="G438" s="20" t="str" cm="1">
        <f t="array" ref="G438">"n"&amp;SUBSTITUTE(CreateGuidString(),"-","_")</f>
        <v>n5FCAD971_D794_43B1_826A_CDE45F385647</v>
      </c>
    </row>
    <row r="439" spans="1:7" x14ac:dyDescent="0.35">
      <c r="A439" s="13" t="s">
        <v>1176</v>
      </c>
      <c r="B439" s="14" t="s">
        <v>1767</v>
      </c>
      <c r="D439" s="13" t="str">
        <f>IF(NodesData[[#This Row],[Class Disambiguation]]="",NodesData[[#This Row],[Common Name]],NodesData[[#This Row],[Common Name]]&amp;" ("&amp;NodesData[[#This Row],[Class Disambiguation]]&amp;")")</f>
        <v>System Z</v>
      </c>
      <c r="F439" s="13" t="s">
        <v>1177</v>
      </c>
      <c r="G439" s="20" t="str" cm="1">
        <f t="array" ref="G439">"n"&amp;SUBSTITUTE(CreateGuidString(),"-","_")</f>
        <v>nBDBD40AA_0776_449E_ABEF_4F5F820B47E7</v>
      </c>
    </row>
    <row r="440" spans="1:7" x14ac:dyDescent="0.35">
      <c r="A440" s="13" t="s">
        <v>1322</v>
      </c>
      <c r="B440" s="14" t="s">
        <v>1768</v>
      </c>
      <c r="D440" s="13" t="str">
        <f>IF(NodesData[[#This Row],[Class Disambiguation]]="",NodesData[[#This Row],[Common Name]],NodesData[[#This Row],[Common Name]]&amp;" ("&amp;NodesData[[#This Row],[Class Disambiguation]]&amp;")")</f>
        <v>TAN List OTP</v>
      </c>
      <c r="G440" s="20" t="str" cm="1">
        <f t="array" ref="G440">"n"&amp;SUBSTITUTE(CreateGuidString(),"-","_")</f>
        <v>nB24ABA6E_B09F_44B7_9246_196D617EBDAB</v>
      </c>
    </row>
    <row r="441" spans="1:7" x14ac:dyDescent="0.35">
      <c r="A441" s="13" t="s">
        <v>1178</v>
      </c>
      <c r="B441" s="14" t="s">
        <v>1769</v>
      </c>
      <c r="D441" s="13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F441" s="13" t="s">
        <v>1179</v>
      </c>
      <c r="G441" s="20" t="str" cm="1">
        <f t="array" ref="G441">"n"&amp;SUBSTITUTE(CreateGuidString(),"-","_")</f>
        <v>n92EB0D46_1EBB_4624_B054_FBC56E4AEA64</v>
      </c>
    </row>
    <row r="442" spans="1:7" x14ac:dyDescent="0.35">
      <c r="A442" s="13" t="s">
        <v>1326</v>
      </c>
      <c r="B442" s="14" t="s">
        <v>1772</v>
      </c>
      <c r="D442" s="13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G442" s="20" t="str" cm="1">
        <f t="array" ref="G442">"n"&amp;SUBSTITUTE(CreateGuidString(),"-","_")</f>
        <v>n3BA4435D_B275_47A0_9F1B_EBEC85B3C877</v>
      </c>
    </row>
    <row r="443" spans="1:7" x14ac:dyDescent="0.35">
      <c r="A443" s="12" t="s">
        <v>1340</v>
      </c>
      <c r="B443" s="14" t="s">
        <v>1849</v>
      </c>
      <c r="D443" s="19" t="str">
        <f>IF(NodesData[[#This Row],[Class Disambiguation]]="",NodesData[[#This Row],[Common Name]],NodesData[[#This Row],[Common Name]]&amp;" ("&amp;NodesData[[#This Row],[Class Disambiguation]]&amp;")")</f>
        <v>Threat Agent</v>
      </c>
      <c r="E443" s="19"/>
      <c r="G443" s="21" t="str" cm="1">
        <f t="array" ref="G443">"n"&amp;SUBSTITUTE(CreateGuidString(),"-","_")</f>
        <v>n1316A8FD_BA4D_4499_BE96_C8AAAB12567E</v>
      </c>
    </row>
    <row r="444" spans="1:7" x14ac:dyDescent="0.35">
      <c r="A444" s="13" t="s">
        <v>1297</v>
      </c>
      <c r="B444" s="14" t="s">
        <v>1771</v>
      </c>
      <c r="D444" s="13" t="str">
        <f>IF(NodesData[[#This Row],[Class Disambiguation]]="",NodesData[[#This Row],[Common Name]],NodesData[[#This Row],[Common Name]]&amp;" ("&amp;NodesData[[#This Row],[Class Disambiguation]]&amp;")")</f>
        <v>Time Factor</v>
      </c>
      <c r="G444" s="20" t="str" cm="1">
        <f t="array" ref="G444">"n"&amp;SUBSTITUTE(CreateGuidString(),"-","_")</f>
        <v>n5120DB77_DA01_440A_9FB6_F223A051C052</v>
      </c>
    </row>
    <row r="445" spans="1:7" x14ac:dyDescent="0.35">
      <c r="A445" s="13" t="s">
        <v>1330</v>
      </c>
      <c r="B445" s="14" t="s">
        <v>1773</v>
      </c>
      <c r="D445" s="13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G445" s="20" t="str" cm="1">
        <f t="array" ref="G445">"n"&amp;SUBSTITUTE(CreateGuidString(),"-","_")</f>
        <v>n73B6032B_88B4_4977_824D_BC25C09F25D4</v>
      </c>
    </row>
    <row r="446" spans="1:7" x14ac:dyDescent="0.35">
      <c r="A446" s="13" t="s">
        <v>1312</v>
      </c>
      <c r="B446" s="14" t="s">
        <v>1787</v>
      </c>
      <c r="D446" s="13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G446" s="20" t="str" cm="1">
        <f t="array" ref="G446">"n"&amp;SUBSTITUTE(CreateGuidString(),"-","_")</f>
        <v>nC4D731DC_73DC_436E_89C9_0221352DABC3</v>
      </c>
    </row>
    <row r="447" spans="1:7" x14ac:dyDescent="0.35">
      <c r="A447" s="13" t="s">
        <v>1180</v>
      </c>
      <c r="B447" s="14" t="s">
        <v>1774</v>
      </c>
      <c r="D447" s="13" t="str">
        <f>IF(NodesData[[#This Row],[Class Disambiguation]]="",NodesData[[#This Row],[Common Name]],NodesData[[#This Row],[Common Name]]&amp;" ("&amp;NodesData[[#This Row],[Class Disambiguation]]&amp;")")</f>
        <v>Toxic Combinations</v>
      </c>
      <c r="F447" s="13" t="s">
        <v>1181</v>
      </c>
      <c r="G447" s="20" t="str" cm="1">
        <f t="array" ref="G447">"n"&amp;SUBSTITUTE(CreateGuidString(),"-","_")</f>
        <v>nA0B35A81_B2F4_49CA_8B9F_946B25FFB072</v>
      </c>
    </row>
    <row r="448" spans="1:7" x14ac:dyDescent="0.35">
      <c r="A448" s="13" t="s">
        <v>467</v>
      </c>
      <c r="B448" s="14" t="s">
        <v>1775</v>
      </c>
      <c r="D448" s="13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F448" s="13" t="s">
        <v>1182</v>
      </c>
      <c r="G448" s="20" t="str" cm="1">
        <f t="array" ref="G448">"n"&amp;SUBSTITUTE(CreateGuidString(),"-","_")</f>
        <v>n7A479983_11E5_4FD8_91B9_AF7C152DCFAD</v>
      </c>
    </row>
    <row r="449" spans="1:7" x14ac:dyDescent="0.35">
      <c r="A449" s="13" t="s">
        <v>468</v>
      </c>
      <c r="B449" s="14" t="s">
        <v>1776</v>
      </c>
      <c r="D449" s="13" t="str">
        <f>IF(NodesData[[#This Row],[Class Disambiguation]]="",NodesData[[#This Row],[Common Name]],NodesData[[#This Row],[Common Name]]&amp;" ("&amp;NodesData[[#This Row],[Class Disambiguation]]&amp;")")</f>
        <v>Tranquil</v>
      </c>
      <c r="F449" s="13" t="s">
        <v>1183</v>
      </c>
      <c r="G449" s="20" t="str" cm="1">
        <f t="array" ref="G449">"n"&amp;SUBSTITUTE(CreateGuidString(),"-","_")</f>
        <v>nB37B7F2C_2319_443C_B56A_0C2889015EC4</v>
      </c>
    </row>
    <row r="450" spans="1:7" x14ac:dyDescent="0.35">
      <c r="A450" s="13" t="s">
        <v>1184</v>
      </c>
      <c r="B450" s="14" t="s">
        <v>1777</v>
      </c>
      <c r="D450" s="13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F450" s="13" t="s">
        <v>1185</v>
      </c>
      <c r="G450" s="20" t="str" cm="1">
        <f t="array" ref="G450">"n"&amp;SUBSTITUTE(CreateGuidString(),"-","_")</f>
        <v>nBB8DCE98_4440_42F6_9770_82238F142927</v>
      </c>
    </row>
    <row r="451" spans="1:7" x14ac:dyDescent="0.35">
      <c r="A451" s="13" t="s">
        <v>1186</v>
      </c>
      <c r="B451" s="14" t="s">
        <v>1778</v>
      </c>
      <c r="D451" s="13" t="str">
        <f>IF(NodesData[[#This Row],[Class Disambiguation]]="",NodesData[[#This Row],[Common Name]],NodesData[[#This Row],[Common Name]]&amp;" ("&amp;NodesData[[#This Row],[Class Disambiguation]]&amp;")")</f>
        <v>Tranquility Property</v>
      </c>
      <c r="F451" s="13" t="s">
        <v>1187</v>
      </c>
      <c r="G451" s="20" t="str" cm="1">
        <f t="array" ref="G451">"n"&amp;SUBSTITUTE(CreateGuidString(),"-","_")</f>
        <v>nCE24DA78_DE5A_4EBE_8435_D851F65C1349</v>
      </c>
    </row>
    <row r="452" spans="1:7" x14ac:dyDescent="0.35">
      <c r="A452" s="13" t="s">
        <v>471</v>
      </c>
      <c r="B452" s="14" t="s">
        <v>1779</v>
      </c>
      <c r="D452" s="13" t="str">
        <f>IF(NodesData[[#This Row],[Class Disambiguation]]="",NodesData[[#This Row],[Common Name]],NodesData[[#This Row],[Common Name]]&amp;" ("&amp;NodesData[[#This Row],[Class Disambiguation]]&amp;")")</f>
        <v>Trust</v>
      </c>
      <c r="F452" s="13" t="s">
        <v>1188</v>
      </c>
      <c r="G452" s="20" t="str" cm="1">
        <f t="array" ref="G452">"n"&amp;SUBSTITUTE(CreateGuidString(),"-","_")</f>
        <v>n59061F2E_F96B_4B6A_84C5_E26C51277E26</v>
      </c>
    </row>
    <row r="453" spans="1:7" x14ac:dyDescent="0.35">
      <c r="A453" s="13" t="s">
        <v>1189</v>
      </c>
      <c r="B453" s="14" t="s">
        <v>1780</v>
      </c>
      <c r="D453" s="13" t="str">
        <f>IF(NodesData[[#This Row],[Class Disambiguation]]="",NodesData[[#This Row],[Common Name]],NodesData[[#This Row],[Common Name]]&amp;" ("&amp;NodesData[[#This Row],[Class Disambiguation]]&amp;")")</f>
        <v>Trust Asymmetry</v>
      </c>
      <c r="F453" s="13" t="s">
        <v>1190</v>
      </c>
      <c r="G453" s="20" t="str" cm="1">
        <f t="array" ref="G453">"n"&amp;SUBSTITUTE(CreateGuidString(),"-","_")</f>
        <v>n6F614CE5_99D2_4530_8218_27F4E0411841</v>
      </c>
    </row>
    <row r="454" spans="1:7" x14ac:dyDescent="0.35">
      <c r="A454" s="13" t="s">
        <v>1191</v>
      </c>
      <c r="B454" s="14" t="s">
        <v>1781</v>
      </c>
      <c r="D454" s="13" t="str">
        <f>IF(NodesData[[#This Row],[Class Disambiguation]]="",NodesData[[#This Row],[Common Name]],NodesData[[#This Row],[Common Name]]&amp;" ("&amp;NodesData[[#This Row],[Class Disambiguation]]&amp;")")</f>
        <v>Trust Composability</v>
      </c>
      <c r="F454" s="13" t="s">
        <v>1192</v>
      </c>
      <c r="G454" s="20" t="str" cm="1">
        <f t="array" ref="G454">"n"&amp;SUBSTITUTE(CreateGuidString(),"-","_")</f>
        <v>nB8BAA24D_EBA4_4783_A720_D0EB32BF87BA</v>
      </c>
    </row>
    <row r="455" spans="1:7" x14ac:dyDescent="0.35">
      <c r="A455" s="13" t="s">
        <v>1193</v>
      </c>
      <c r="B455" s="14" t="s">
        <v>1782</v>
      </c>
      <c r="D455" s="13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F455" s="13" t="s">
        <v>1194</v>
      </c>
      <c r="G455" s="20" t="str" cm="1">
        <f t="array" ref="G455">"n"&amp;SUBSTITUTE(CreateGuidString(),"-","_")</f>
        <v>n757A1B04_5F34_472C_AA27_2E942DEE5854</v>
      </c>
    </row>
    <row r="456" spans="1:7" x14ac:dyDescent="0.35">
      <c r="A456" s="13" t="s">
        <v>1195</v>
      </c>
      <c r="B456" s="14" t="s">
        <v>1783</v>
      </c>
      <c r="D456" s="13" t="str">
        <f>IF(NodesData[[#This Row],[Class Disambiguation]]="",NodesData[[#This Row],[Common Name]],NodesData[[#This Row],[Common Name]]&amp;" ("&amp;NodesData[[#This Row],[Class Disambiguation]]&amp;")")</f>
        <v>Trust Transitivity</v>
      </c>
      <c r="F456" s="13" t="s">
        <v>1196</v>
      </c>
      <c r="G456" s="20" t="str" cm="1">
        <f t="array" ref="G456">"n"&amp;SUBSTITUTE(CreateGuidString(),"-","_")</f>
        <v>n9DAA1D0A_ECB8_4471_82BA_77BE509074D1</v>
      </c>
    </row>
    <row r="457" spans="1:7" x14ac:dyDescent="0.35">
      <c r="A457" s="13" t="s">
        <v>477</v>
      </c>
      <c r="B457" s="14" t="s">
        <v>1784</v>
      </c>
      <c r="D457" s="13" t="str">
        <f>IF(NodesData[[#This Row],[Class Disambiguation]]="",NodesData[[#This Row],[Common Name]],NodesData[[#This Row],[Common Name]]&amp;" ("&amp;NodesData[[#This Row],[Class Disambiguation]]&amp;")")</f>
        <v>Typing Biometrics</v>
      </c>
      <c r="F457" s="13" t="s">
        <v>1197</v>
      </c>
      <c r="G457" s="20" t="str" cm="1">
        <f t="array" ref="G457">"n"&amp;SUBSTITUTE(CreateGuidString(),"-","_")</f>
        <v>nF0745B1B_EBD5_4B46_A635_9211D699F0F1</v>
      </c>
    </row>
    <row r="458" spans="1:7" x14ac:dyDescent="0.35">
      <c r="A458" s="13" t="s">
        <v>1198</v>
      </c>
      <c r="B458" s="14" t="s">
        <v>1785</v>
      </c>
      <c r="D458" s="13" t="str">
        <f>IF(NodesData[[#This Row],[Class Disambiguation]]="",NodesData[[#This Row],[Common Name]],NodesData[[#This Row],[Common Name]]&amp;" ("&amp;NodesData[[#This Row],[Class Disambiguation]]&amp;")")</f>
        <v>Typology</v>
      </c>
      <c r="F458" s="13" t="s">
        <v>1199</v>
      </c>
      <c r="G458" s="20" t="str" cm="1">
        <f t="array" ref="G458">"n"&amp;SUBSTITUTE(CreateGuidString(),"-","_")</f>
        <v>n4C469AFB_EAA2_4A34_B400_5CA3229AD63F</v>
      </c>
    </row>
    <row r="459" spans="1:7" x14ac:dyDescent="0.35">
      <c r="A459" s="13" t="s">
        <v>479</v>
      </c>
      <c r="B459" s="14" t="s">
        <v>1786</v>
      </c>
      <c r="D459" s="13" t="str">
        <f>IF(NodesData[[#This Row],[Class Disambiguation]]="",NodesData[[#This Row],[Common Name]],NodesData[[#This Row],[Common Name]]&amp;" ("&amp;NodesData[[#This Row],[Class Disambiguation]]&amp;")")</f>
        <v>Unanticipated User</v>
      </c>
      <c r="F459" s="13" t="s">
        <v>1200</v>
      </c>
      <c r="G459" s="20" t="str" cm="1">
        <f t="array" ref="G459">"n"&amp;SUBSTITUTE(CreateGuidString(),"-","_")</f>
        <v>n6BAB2E07_E409_4BFE_A123_EAAA4A044F8B</v>
      </c>
    </row>
    <row r="460" spans="1:7" x14ac:dyDescent="0.35">
      <c r="A460" s="13" t="s">
        <v>480</v>
      </c>
      <c r="B460" s="14" t="s">
        <v>1804</v>
      </c>
      <c r="D460" s="13" t="str">
        <f>IF(NodesData[[#This Row],[Class Disambiguation]]="",NodesData[[#This Row],[Common Name]],NodesData[[#This Row],[Common Name]]&amp;" ("&amp;NodesData[[#This Row],[Class Disambiguation]]&amp;")")</f>
        <v>Unauthorized Access</v>
      </c>
      <c r="F460" s="13" t="s">
        <v>1201</v>
      </c>
      <c r="G460" s="20" t="str" cm="1">
        <f t="array" ref="G460">"n"&amp;SUBSTITUTE(CreateGuidString(),"-","_")</f>
        <v>nE2500D70_46F0_4CDB_A32D_650C18C54E61</v>
      </c>
    </row>
    <row r="461" spans="1:7" x14ac:dyDescent="0.35">
      <c r="A461" s="13" t="s">
        <v>481</v>
      </c>
      <c r="B461" s="14" t="s">
        <v>1788</v>
      </c>
      <c r="D461" s="13" t="str">
        <f>IF(NodesData[[#This Row],[Class Disambiguation]]="",NodesData[[#This Row],[Common Name]],NodesData[[#This Row],[Common Name]]&amp;" ("&amp;NodesData[[#This Row],[Class Disambiguation]]&amp;")")</f>
        <v>Unique ID Number</v>
      </c>
      <c r="F461" s="13" t="s">
        <v>1202</v>
      </c>
      <c r="G461" s="20" t="str" cm="1">
        <f t="array" ref="G461">"n"&amp;SUBSTITUTE(CreateGuidString(),"-","_")</f>
        <v>n9B98F819_57F1_4DBF_8D9C_06AE4CD45590</v>
      </c>
    </row>
    <row r="462" spans="1:7" x14ac:dyDescent="0.35">
      <c r="A462" s="13" t="s">
        <v>483</v>
      </c>
      <c r="B462" s="14" t="s">
        <v>1789</v>
      </c>
      <c r="D462" s="13" t="str">
        <f>IF(NodesData[[#This Row],[Class Disambiguation]]="",NodesData[[#This Row],[Common Name]],NodesData[[#This Row],[Common Name]]&amp;" ("&amp;NodesData[[#This Row],[Class Disambiguation]]&amp;")")</f>
        <v>Unprivileged Insider</v>
      </c>
      <c r="F462" s="13" t="s">
        <v>1203</v>
      </c>
      <c r="G462" s="20" t="str" cm="1">
        <f t="array" ref="G462">"n"&amp;SUBSTITUTE(CreateGuidString(),"-","_")</f>
        <v>n4D7D23BC_6F0F_47C6_B01B_40B2A1C87566</v>
      </c>
    </row>
    <row r="463" spans="1:7" x14ac:dyDescent="0.35">
      <c r="A463" s="13" t="s">
        <v>484</v>
      </c>
      <c r="B463" s="14" t="s">
        <v>1790</v>
      </c>
      <c r="D463" s="13" t="str">
        <f>IF(NodesData[[#This Row],[Class Disambiguation]]="",NodesData[[#This Row],[Common Name]],NodesData[[#This Row],[Common Name]]&amp;" ("&amp;NodesData[[#This Row],[Class Disambiguation]]&amp;")")</f>
        <v>User</v>
      </c>
      <c r="F463" s="13" t="s">
        <v>1204</v>
      </c>
      <c r="G463" s="20" t="str" cm="1">
        <f t="array" ref="G463">"n"&amp;SUBSTITUTE(CreateGuidString(),"-","_")</f>
        <v>n976433E2_EC1C_4B75_8BB8_E1D935ECE670</v>
      </c>
    </row>
    <row r="464" spans="1:7" x14ac:dyDescent="0.35">
      <c r="A464" s="13" t="s">
        <v>485</v>
      </c>
      <c r="B464" s="14" t="s">
        <v>1791</v>
      </c>
      <c r="D464" s="13" t="str">
        <f>IF(NodesData[[#This Row],[Class Disambiguation]]="",NodesData[[#This Row],[Common Name]],NodesData[[#This Row],[Common Name]]&amp;" ("&amp;NodesData[[#This Row],[Class Disambiguation]]&amp;")")</f>
        <v>User Account</v>
      </c>
      <c r="F464" s="13" t="s">
        <v>1205</v>
      </c>
      <c r="G464" s="20" t="str" cm="1">
        <f t="array" ref="G464">"n"&amp;SUBSTITUTE(CreateGuidString(),"-","_")</f>
        <v>n143DD9A0_24AA_45C3_A2F4_B300A8C73E1E</v>
      </c>
    </row>
    <row r="465" spans="1:7" x14ac:dyDescent="0.35">
      <c r="A465" s="13" t="s">
        <v>487</v>
      </c>
      <c r="B465" s="14" t="s">
        <v>1793</v>
      </c>
      <c r="D465" s="13" t="str">
        <f>IF(NodesData[[#This Row],[Class Disambiguation]]="",NodesData[[#This Row],[Common Name]],NodesData[[#This Row],[Common Name]]&amp;" ("&amp;NodesData[[#This Row],[Class Disambiguation]]&amp;")")</f>
        <v>User De-Provisioning</v>
      </c>
      <c r="F465" s="13" t="s">
        <v>1206</v>
      </c>
      <c r="G465" s="20" t="str" cm="1">
        <f t="array" ref="G465">"n"&amp;SUBSTITUTE(CreateGuidString(),"-","_")</f>
        <v>n8D71A90D_B5CA_4417_B67A_B5D6B200C598</v>
      </c>
    </row>
    <row r="466" spans="1:7" x14ac:dyDescent="0.35">
      <c r="A466" s="13" t="s">
        <v>1207</v>
      </c>
      <c r="B466" s="14" t="s">
        <v>1794</v>
      </c>
      <c r="D466" s="13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F466" s="13" t="s">
        <v>1208</v>
      </c>
      <c r="G466" s="20" t="str" cm="1">
        <f t="array" ref="G466">"n"&amp;SUBSTITUTE(CreateGuidString(),"-","_")</f>
        <v>n516CEF2E_D0A5_47EB_B27F_2E3419A9DD86</v>
      </c>
    </row>
    <row r="467" spans="1:7" x14ac:dyDescent="0.35">
      <c r="A467" s="13" t="s">
        <v>489</v>
      </c>
      <c r="B467" s="14" t="s">
        <v>1795</v>
      </c>
      <c r="C467" s="13" t="s">
        <v>1270</v>
      </c>
      <c r="D467" s="13" t="str">
        <f>IF(NodesData[[#This Row],[Class Disambiguation]]="",NodesData[[#This Row],[Common Name]],NodesData[[#This Row],[Common Name]]&amp;" ("&amp;NodesData[[#This Row],[Class Disambiguation]]&amp;")")</f>
        <v>User ID (Acronym)</v>
      </c>
      <c r="F467" s="13" t="s">
        <v>1209</v>
      </c>
      <c r="G467" s="20" t="str" cm="1">
        <f t="array" ref="G467">"n"&amp;SUBSTITUTE(CreateGuidString(),"-","_")</f>
        <v>nBC0105A0_064B_4A21_B0C6_7BF1290E5B35</v>
      </c>
    </row>
    <row r="468" spans="1:7" x14ac:dyDescent="0.35">
      <c r="A468" s="13" t="s">
        <v>491</v>
      </c>
      <c r="B468" s="14" t="s">
        <v>1796</v>
      </c>
      <c r="D468" s="13" t="str">
        <f>IF(NodesData[[#This Row],[Class Disambiguation]]="",NodesData[[#This Row],[Common Name]],NodesData[[#This Row],[Common Name]]&amp;" ("&amp;NodesData[[#This Row],[Class Disambiguation]]&amp;")")</f>
        <v>User Provisioning</v>
      </c>
      <c r="F468" s="13" t="s">
        <v>1210</v>
      </c>
      <c r="G468" s="20" t="str" cm="1">
        <f t="array" ref="G468">"n"&amp;SUBSTITUTE(CreateGuidString(),"-","_")</f>
        <v>nCE0C4897_4C48_488B_B350_F69475CAC7DB</v>
      </c>
    </row>
    <row r="469" spans="1:7" x14ac:dyDescent="0.35">
      <c r="A469" s="13" t="s">
        <v>486</v>
      </c>
      <c r="B469" s="14" t="s">
        <v>1792</v>
      </c>
      <c r="D469" s="13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F469" s="13" t="s">
        <v>1211</v>
      </c>
      <c r="G469" s="20" t="str" cm="1">
        <f t="array" ref="G469">"n"&amp;SUBSTITUTE(CreateGuidString(),"-","_")</f>
        <v>nC54CB1FC_CE80_4ABD_853F_3D1D5BBC22ED</v>
      </c>
    </row>
    <row r="470" spans="1:7" x14ac:dyDescent="0.35">
      <c r="A470" s="13" t="s">
        <v>490</v>
      </c>
      <c r="B470" s="14" t="s">
        <v>1797</v>
      </c>
      <c r="D470" s="13" t="str">
        <f>IF(NodesData[[#This Row],[Class Disambiguation]]="",NodesData[[#This Row],[Common Name]],NodesData[[#This Row],[Common Name]]&amp;" ("&amp;NodesData[[#This Row],[Class Disambiguation]]&amp;")")</f>
        <v>Username</v>
      </c>
      <c r="F470" s="13" t="s">
        <v>1212</v>
      </c>
      <c r="G470" s="20" t="str" cm="1">
        <f t="array" ref="G470">"n"&amp;SUBSTITUTE(CreateGuidString(),"-","_")</f>
        <v>n8EE7BE21_5524_41CC_99CE_89F9CD64CCEB</v>
      </c>
    </row>
    <row r="471" spans="1:7" x14ac:dyDescent="0.35">
      <c r="A471" s="13" t="s">
        <v>492</v>
      </c>
      <c r="B471" s="14" t="s">
        <v>1798</v>
      </c>
      <c r="D471" s="13" t="str">
        <f>IF(NodesData[[#This Row],[Class Disambiguation]]="",NodesData[[#This Row],[Common Name]],NodesData[[#This Row],[Common Name]]&amp;" ("&amp;NodesData[[#This Row],[Class Disambiguation]]&amp;")")</f>
        <v>Verifiable Claim</v>
      </c>
      <c r="F471" s="13" t="s">
        <v>1213</v>
      </c>
      <c r="G471" s="20" t="str" cm="1">
        <f t="array" ref="G471">"n"&amp;SUBSTITUTE(CreateGuidString(),"-","_")</f>
        <v>n9E186A6F_FB6A_4483_B425_A924D6629681</v>
      </c>
    </row>
    <row r="472" spans="1:7" x14ac:dyDescent="0.35">
      <c r="A472" s="13" t="s">
        <v>493</v>
      </c>
      <c r="B472" s="14" t="s">
        <v>1799</v>
      </c>
      <c r="D472" s="13" t="str">
        <f>IF(NodesData[[#This Row],[Class Disambiguation]]="",NodesData[[#This Row],[Common Name]],NodesData[[#This Row],[Common Name]]&amp;" ("&amp;NodesData[[#This Row],[Class Disambiguation]]&amp;")")</f>
        <v>Verification</v>
      </c>
      <c r="F472" s="13" t="s">
        <v>1214</v>
      </c>
      <c r="G472" s="20" t="str" cm="1">
        <f t="array" ref="G472">"n"&amp;SUBSTITUTE(CreateGuidString(),"-","_")</f>
        <v>n29656C13_7E24_4A67_9BA3_6E65BA895DA8</v>
      </c>
    </row>
    <row r="473" spans="1:7" x14ac:dyDescent="0.35">
      <c r="A473" s="13" t="s">
        <v>1215</v>
      </c>
      <c r="B473" s="14" t="s">
        <v>1800</v>
      </c>
      <c r="D473" s="13" t="str">
        <f>IF(NodesData[[#This Row],[Class Disambiguation]]="",NodesData[[#This Row],[Common Name]],NodesData[[#This Row],[Common Name]]&amp;" ("&amp;NodesData[[#This Row],[Class Disambiguation]]&amp;")")</f>
        <v>Virtual Directory</v>
      </c>
      <c r="F473" s="13" t="s">
        <v>1216</v>
      </c>
      <c r="G473" s="20" t="str" cm="1">
        <f t="array" ref="G473">"n"&amp;SUBSTITUTE(CreateGuidString(),"-","_")</f>
        <v>n34A879AE_7C94_4B6F_A731_76647DBE1046</v>
      </c>
    </row>
    <row r="474" spans="1:7" x14ac:dyDescent="0.35">
      <c r="A474" s="13" t="s">
        <v>1217</v>
      </c>
      <c r="B474" s="14" t="s">
        <v>1801</v>
      </c>
      <c r="D474" s="13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F474" s="13" t="s">
        <v>1218</v>
      </c>
      <c r="G474" s="20" t="str" cm="1">
        <f t="array" ref="G474">"n"&amp;SUBSTITUTE(CreateGuidString(),"-","_")</f>
        <v>n7DE1C336_23E9_4BF0_B256_37F71821AA21</v>
      </c>
    </row>
    <row r="475" spans="1:7" x14ac:dyDescent="0.35">
      <c r="A475" s="13" t="s">
        <v>1219</v>
      </c>
      <c r="B475" s="14" t="s">
        <v>1802</v>
      </c>
      <c r="D475" s="13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F475" s="13" t="s">
        <v>1220</v>
      </c>
      <c r="G475" s="20" t="str" cm="1">
        <f t="array" ref="G475">"n"&amp;SUBSTITUTE(CreateGuidString(),"-","_")</f>
        <v>n806CD893_0E9A_42B9_9D2E_08BCE8AFD1C4</v>
      </c>
    </row>
    <row r="476" spans="1:7" x14ac:dyDescent="0.35">
      <c r="A476" s="13" t="s">
        <v>1323</v>
      </c>
      <c r="B476" s="14" t="s">
        <v>1803</v>
      </c>
      <c r="D476" s="13" t="str">
        <f>IF(NodesData[[#This Row],[Class Disambiguation]]="",NodesData[[#This Row],[Common Name]],NodesData[[#This Row],[Common Name]]&amp;" ("&amp;NodesData[[#This Row],[Class Disambiguation]]&amp;")")</f>
        <v>Voice OTP</v>
      </c>
      <c r="G476" s="20" t="str" cm="1">
        <f t="array" ref="G476">"n"&amp;SUBSTITUTE(CreateGuidString(),"-","_")</f>
        <v>n45F091F3_4D77_4000_BF7F_4386B4B7A9FE</v>
      </c>
    </row>
    <row r="477" spans="1:7" x14ac:dyDescent="0.35">
      <c r="A477" s="13" t="s">
        <v>1315</v>
      </c>
      <c r="B477" s="14" t="s">
        <v>1806</v>
      </c>
      <c r="D477" s="13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G477" s="20" t="str" cm="1">
        <f t="array" ref="G477">"n"&amp;SUBSTITUTE(CreateGuidString(),"-","_")</f>
        <v>nE68C17C1_BA98_488F_AC00_568C1335BB5A</v>
      </c>
    </row>
    <row r="478" spans="1:7" x14ac:dyDescent="0.35">
      <c r="A478" s="13" t="s">
        <v>1221</v>
      </c>
      <c r="B478" s="14" t="s">
        <v>1805</v>
      </c>
      <c r="C478" s="13" t="s">
        <v>1270</v>
      </c>
      <c r="D478" s="13" t="str">
        <f>IF(NodesData[[#This Row],[Class Disambiguation]]="",NodesData[[#This Row],[Common Name]],NodesData[[#This Row],[Common Name]]&amp;" ("&amp;NodesData[[#This Row],[Class Disambiguation]]&amp;")")</f>
        <v>VPN (Acronym)</v>
      </c>
      <c r="F478" s="13" t="s">
        <v>1222</v>
      </c>
      <c r="G478" s="20" t="str" cm="1">
        <f t="array" ref="G478">"n"&amp;SUBSTITUTE(CreateGuidString(),"-","_")</f>
        <v>n9E0D1BC8_B48F_4195_BD05_C5DA51E82B45</v>
      </c>
    </row>
    <row r="479" spans="1:7" x14ac:dyDescent="0.35">
      <c r="A479" s="13" t="s">
        <v>1223</v>
      </c>
      <c r="B479" s="14" t="s">
        <v>1828</v>
      </c>
      <c r="D479" s="13" t="str">
        <f>IF(NodesData[[#This Row],[Class Disambiguation]]="",NodesData[[#This Row],[Common Name]],NodesData[[#This Row],[Common Name]]&amp;" ("&amp;NodesData[[#This Row],[Class Disambiguation]]&amp;")")</f>
        <v>Weak Authentication</v>
      </c>
      <c r="F479" s="13" t="s">
        <v>1224</v>
      </c>
      <c r="G479" s="20" t="str" cm="1">
        <f t="array" ref="G479">"n"&amp;SUBSTITUTE(CreateGuidString(),"-","_")</f>
        <v>n92423567_1AC3_42CE_9857_03A8389FB34A</v>
      </c>
    </row>
    <row r="480" spans="1:7" x14ac:dyDescent="0.35">
      <c r="A480" s="13" t="s">
        <v>1225</v>
      </c>
      <c r="B480" s="14" t="s">
        <v>1807</v>
      </c>
      <c r="D480" s="13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F480" s="13" t="s">
        <v>1226</v>
      </c>
      <c r="G480" s="20" t="str" cm="1">
        <f t="array" ref="G480">"n"&amp;SUBSTITUTE(CreateGuidString(),"-","_")</f>
        <v>nA761F873_209A_4CD1_B725_4C11EFC29265</v>
      </c>
    </row>
    <row r="481" spans="1:7" x14ac:dyDescent="0.35">
      <c r="A481" s="13" t="s">
        <v>1227</v>
      </c>
      <c r="B481" s="14" t="s">
        <v>1808</v>
      </c>
      <c r="D481" s="13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F481" s="13" t="s">
        <v>1228</v>
      </c>
      <c r="G481" s="20" t="str" cm="1">
        <f t="array" ref="G481">"n"&amp;SUBSTITUTE(CreateGuidString(),"-","_")</f>
        <v>nD619874E_3194_4690_81FE_8D55E0AEC40E</v>
      </c>
    </row>
    <row r="482" spans="1:7" x14ac:dyDescent="0.35">
      <c r="A482" s="13" t="s">
        <v>1229</v>
      </c>
      <c r="B482" s="14" t="s">
        <v>1809</v>
      </c>
      <c r="D482" s="13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F482" s="13" t="s">
        <v>1230</v>
      </c>
      <c r="G482" s="20" t="str" cm="1">
        <f t="array" ref="G482">"n"&amp;SUBSTITUTE(CreateGuidString(),"-","_")</f>
        <v>nD3FDA821_D5AA_4837_B4B8_6EDFC204F92C</v>
      </c>
    </row>
    <row r="483" spans="1:7" x14ac:dyDescent="0.35">
      <c r="A483" s="13" t="s">
        <v>1231</v>
      </c>
      <c r="B483" s="14" t="s">
        <v>1810</v>
      </c>
      <c r="D483" s="13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F483" s="13" t="s">
        <v>1232</v>
      </c>
      <c r="G483" s="20" t="str" cm="1">
        <f t="array" ref="G483">"n"&amp;SUBSTITUTE(CreateGuidString(),"-","_")</f>
        <v>nEB1ADCE6_0274_422D_9C60_E96A5AC82681</v>
      </c>
    </row>
    <row r="484" spans="1:7" x14ac:dyDescent="0.35">
      <c r="A484" s="13" t="s">
        <v>1233</v>
      </c>
      <c r="B484" s="14" t="s">
        <v>1811</v>
      </c>
      <c r="D484" s="13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F484" s="13" t="s">
        <v>1234</v>
      </c>
      <c r="G484" s="20" t="str" cm="1">
        <f t="array" ref="G484">"n"&amp;SUBSTITUTE(CreateGuidString(),"-","_")</f>
        <v>n2CD8E8D7_56C3_40E3_AE21_2F9168F14CFF</v>
      </c>
    </row>
    <row r="485" spans="1:7" x14ac:dyDescent="0.35">
      <c r="A485" s="13" t="s">
        <v>1235</v>
      </c>
      <c r="B485" s="14" t="s">
        <v>1812</v>
      </c>
      <c r="D485" s="13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F485" s="13" t="s">
        <v>1236</v>
      </c>
      <c r="G485" s="20" t="str" cm="1">
        <f t="array" ref="G485">"n"&amp;SUBSTITUTE(CreateGuidString(),"-","_")</f>
        <v>nEDCB58A5_E967_4556_9A5D_E7689205F11C</v>
      </c>
    </row>
    <row r="486" spans="1:7" x14ac:dyDescent="0.35">
      <c r="A486" s="13" t="s">
        <v>1237</v>
      </c>
      <c r="B486" s="14" t="s">
        <v>1813</v>
      </c>
      <c r="D486" s="13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F486" s="13" t="s">
        <v>1238</v>
      </c>
      <c r="G486" s="20" t="str" cm="1">
        <f t="array" ref="G486">"n"&amp;SUBSTITUTE(CreateGuidString(),"-","_")</f>
        <v>n5EC29922_6321_4C00_929F_80470BA4E53D</v>
      </c>
    </row>
    <row r="487" spans="1:7" x14ac:dyDescent="0.35">
      <c r="A487" s="13" t="s">
        <v>1239</v>
      </c>
      <c r="B487" s="14" t="s">
        <v>1814</v>
      </c>
      <c r="D487" s="13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F487" s="13" t="s">
        <v>1240</v>
      </c>
      <c r="G487" s="20" t="str" cm="1">
        <f t="array" ref="G487">"n"&amp;SUBSTITUTE(CreateGuidString(),"-","_")</f>
        <v>n78F52BEB_5830_4060_A58D_668A9163BC11</v>
      </c>
    </row>
    <row r="488" spans="1:7" x14ac:dyDescent="0.35">
      <c r="A488" s="13" t="s">
        <v>1241</v>
      </c>
      <c r="B488" s="14" t="s">
        <v>1815</v>
      </c>
      <c r="D488" s="13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F488" s="13" t="s">
        <v>1242</v>
      </c>
      <c r="G488" s="20" t="str" cm="1">
        <f t="array" ref="G488">"n"&amp;SUBSTITUTE(CreateGuidString(),"-","_")</f>
        <v>n3EA1C879_5A19_4088_ACEF_5C3253E7138C</v>
      </c>
    </row>
    <row r="489" spans="1:7" x14ac:dyDescent="0.35">
      <c r="A489" s="13" t="s">
        <v>1243</v>
      </c>
      <c r="B489" s="14" t="s">
        <v>1816</v>
      </c>
      <c r="D489" s="13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F489" s="13" t="s">
        <v>1244</v>
      </c>
      <c r="G489" s="20" t="str" cm="1">
        <f t="array" ref="G489">"n"&amp;SUBSTITUTE(CreateGuidString(),"-","_")</f>
        <v>n7A1D821C_8893_4A69_B382_02B1B11532FF</v>
      </c>
    </row>
    <row r="490" spans="1:7" x14ac:dyDescent="0.35">
      <c r="A490" s="13" t="s">
        <v>1245</v>
      </c>
      <c r="B490" s="14" t="s">
        <v>1817</v>
      </c>
      <c r="D490" s="13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F490" s="13" t="s">
        <v>1246</v>
      </c>
      <c r="G490" s="20" t="str" cm="1">
        <f t="array" ref="G490">"n"&amp;SUBSTITUTE(CreateGuidString(),"-","_")</f>
        <v>n960AD6F7_E72F_407D_BC21_AEB08C7D3A12</v>
      </c>
    </row>
    <row r="491" spans="1:7" x14ac:dyDescent="0.35">
      <c r="A491" s="13" t="s">
        <v>1247</v>
      </c>
      <c r="B491" s="14" t="s">
        <v>1818</v>
      </c>
      <c r="D491" s="13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F491" s="13" t="s">
        <v>1248</v>
      </c>
      <c r="G491" s="20" t="str" cm="1">
        <f t="array" ref="G491">"n"&amp;SUBSTITUTE(CreateGuidString(),"-","_")</f>
        <v>nC54AC66C_FDB1_41B3_B932_2A2D65730AFC</v>
      </c>
    </row>
    <row r="492" spans="1:7" x14ac:dyDescent="0.35">
      <c r="A492" s="13" t="s">
        <v>1249</v>
      </c>
      <c r="B492" s="14" t="s">
        <v>1819</v>
      </c>
      <c r="D492" s="13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F492" s="13" t="s">
        <v>1250</v>
      </c>
      <c r="G492" s="20" t="str" cm="1">
        <f t="array" ref="G492">"n"&amp;SUBSTITUTE(CreateGuidString(),"-","_")</f>
        <v>n3A4526B4_DB9B_4891_9250_4B8C2B4ABE44</v>
      </c>
    </row>
    <row r="493" spans="1:7" x14ac:dyDescent="0.35">
      <c r="A493" s="13" t="s">
        <v>1251</v>
      </c>
      <c r="B493" s="14" t="s">
        <v>1820</v>
      </c>
      <c r="D493" s="13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F493" s="13" t="s">
        <v>1252</v>
      </c>
      <c r="G493" s="20" t="str" cm="1">
        <f t="array" ref="G493">"n"&amp;SUBSTITUTE(CreateGuidString(),"-","_")</f>
        <v>nF09FAA04_B7BB_4F9B_A2BB_96FD026B23CA</v>
      </c>
    </row>
    <row r="494" spans="1:7" x14ac:dyDescent="0.35">
      <c r="A494" s="13" t="s">
        <v>1253</v>
      </c>
      <c r="B494" s="14" t="s">
        <v>1821</v>
      </c>
      <c r="D494" s="13" t="str">
        <f>IF(NodesData[[#This Row],[Class Disambiguation]]="",NodesData[[#This Row],[Common Name]],NodesData[[#This Row],[Common Name]]&amp;" ("&amp;NodesData[[#This Row],[Class Disambiguation]]&amp;")")</f>
        <v>Worker</v>
      </c>
      <c r="F494" s="13" t="s">
        <v>1254</v>
      </c>
      <c r="G494" s="20" t="str" cm="1">
        <f t="array" ref="G494">"n"&amp;SUBSTITUTE(CreateGuidString(),"-","_")</f>
        <v>n6D32E3E5_2FD9_474D_A395_B22647C2FD8D</v>
      </c>
    </row>
    <row r="495" spans="1:7" x14ac:dyDescent="0.35">
      <c r="A495" s="13" t="s">
        <v>1255</v>
      </c>
      <c r="B495" s="14" t="s">
        <v>1822</v>
      </c>
      <c r="D495" s="13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F495" s="13" t="s">
        <v>1256</v>
      </c>
      <c r="G495" s="20" t="str" cm="1">
        <f t="array" ref="G495">"n"&amp;SUBSTITUTE(CreateGuidString(),"-","_")</f>
        <v>nFC9FBCD6_2F11_4929_82E6_048181ED4A93</v>
      </c>
    </row>
    <row r="496" spans="1:7" x14ac:dyDescent="0.35">
      <c r="A496" s="13" t="s">
        <v>1257</v>
      </c>
      <c r="B496" s="14" t="s">
        <v>1823</v>
      </c>
      <c r="D496" s="13" t="str">
        <f>IF(NodesData[[#This Row],[Class Disambiguation]]="",NodesData[[#This Row],[Common Name]],NodesData[[#This Row],[Common Name]]&amp;" ("&amp;NodesData[[#This Row],[Class Disambiguation]]&amp;")")</f>
        <v>Workforce</v>
      </c>
      <c r="F496" s="13" t="s">
        <v>1258</v>
      </c>
      <c r="G496" s="20" t="str" cm="1">
        <f t="array" ref="G496">"n"&amp;SUBSTITUTE(CreateGuidString(),"-","_")</f>
        <v>n27763D6E_8FE7_4E14_B655_ADF73B2160C8</v>
      </c>
    </row>
    <row r="497" spans="1:7" x14ac:dyDescent="0.35">
      <c r="A497" s="13" t="s">
        <v>1259</v>
      </c>
      <c r="B497" s="14" t="s">
        <v>1824</v>
      </c>
      <c r="C497" s="13" t="s">
        <v>1270</v>
      </c>
      <c r="D497" s="13" t="str">
        <f>IF(NodesData[[#This Row],[Class Disambiguation]]="",NodesData[[#This Row],[Common Name]],NodesData[[#This Row],[Common Name]]&amp;" ("&amp;NodesData[[#This Row],[Class Disambiguation]]&amp;")")</f>
        <v>XACML (Acronym)</v>
      </c>
      <c r="F497" s="13" t="s">
        <v>1260</v>
      </c>
      <c r="G497" s="20" t="str" cm="1">
        <f t="array" ref="G497">"n"&amp;SUBSTITUTE(CreateGuidString(),"-","_")</f>
        <v>nEF96FF45_EBAA_45D5_B859_74129A871842</v>
      </c>
    </row>
    <row r="498" spans="1:7" x14ac:dyDescent="0.35">
      <c r="A498" s="13" t="s">
        <v>517</v>
      </c>
      <c r="B498" s="14" t="s">
        <v>1825</v>
      </c>
      <c r="D498" s="13" t="str">
        <f>IF(NodesData[[#This Row],[Class Disambiguation]]="",NodesData[[#This Row],[Common Name]],NodesData[[#This Row],[Common Name]]&amp;" ("&amp;NodesData[[#This Row],[Class Disambiguation]]&amp;")")</f>
        <v>Zero-Trust Access</v>
      </c>
      <c r="F498" s="13" t="s">
        <v>1261</v>
      </c>
      <c r="G498" s="20" t="str" cm="1">
        <f t="array" ref="G498">"n"&amp;SUBSTITUTE(CreateGuidString(),"-","_")</f>
        <v>n3EA5A708_DBAB_49C1_AD6A_C8897E05F71D</v>
      </c>
    </row>
    <row r="499" spans="1:7" x14ac:dyDescent="0.35">
      <c r="A499" s="13" t="s">
        <v>518</v>
      </c>
      <c r="B499" s="14" t="s">
        <v>1826</v>
      </c>
      <c r="D499" s="13" t="str">
        <f>IF(NodesData[[#This Row],[Class Disambiguation]]="",NodesData[[#This Row],[Common Name]],NodesData[[#This Row],[Common Name]]&amp;" ("&amp;NodesData[[#This Row],[Class Disambiguation]]&amp;")")</f>
        <v>Zombie Account</v>
      </c>
      <c r="F499" s="13" t="s">
        <v>1262</v>
      </c>
      <c r="G499" s="20" t="str" cm="1">
        <f t="array" ref="G499">"n"&amp;SUBSTITUTE(CreateGuidString(),"-","_")</f>
        <v>n31834EA9_F1D6_4A3B_92B7_A1D45D17B9BF</v>
      </c>
    </row>
    <row r="500" spans="1:7" x14ac:dyDescent="0.35">
      <c r="A500" s="13" t="s">
        <v>519</v>
      </c>
      <c r="B500" s="14" t="s">
        <v>1827</v>
      </c>
      <c r="C500" s="13" t="s">
        <v>1270</v>
      </c>
      <c r="D500" s="13" t="str">
        <f>IF(NodesData[[#This Row],[Class Disambiguation]]="",NodesData[[#This Row],[Common Name]],NodesData[[#This Row],[Common Name]]&amp;" ("&amp;NodesData[[#This Row],[Class Disambiguation]]&amp;")")</f>
        <v>ZTA (Acronym)</v>
      </c>
      <c r="F500" s="13" t="s">
        <v>1263</v>
      </c>
      <c r="G500" s="20" t="str" cm="1">
        <f t="array" ref="G500">"n"&amp;SUBSTITUTE(CreateGuidString(),"-","_")</f>
        <v>n67B89E33_1205_42AB_83DD_CC5DF878A35B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2"/>
  <sheetViews>
    <sheetView topLeftCell="A41" zoomScale="120" zoomScaleNormal="120" workbookViewId="0">
      <selection activeCell="F53" sqref="F53"/>
    </sheetView>
  </sheetViews>
  <sheetFormatPr defaultRowHeight="12.75" x14ac:dyDescent="0.35"/>
  <cols>
    <col min="1" max="2" width="23" style="13" bestFit="1" customWidth="1"/>
    <col min="3" max="3" width="31.19921875" style="13" customWidth="1"/>
    <col min="4" max="4" width="12.6640625" style="13" customWidth="1"/>
    <col min="5" max="5" width="5.53125" style="13" bestFit="1" customWidth="1"/>
    <col min="6" max="6" width="34.73046875" style="13" customWidth="1"/>
    <col min="7" max="7" width="23" style="13" bestFit="1" customWidth="1"/>
    <col min="8" max="8" width="25.6640625" style="13" bestFit="1" customWidth="1"/>
    <col min="9" max="16384" width="9.06640625" style="13"/>
  </cols>
  <sheetData>
    <row r="1" spans="1:8" s="11" customFormat="1" ht="19.899999999999999" thickBot="1" x14ac:dyDescent="0.65">
      <c r="A1" s="11" t="s">
        <v>1833</v>
      </c>
    </row>
    <row r="2" spans="1:8" ht="13.15" thickTop="1" x14ac:dyDescent="0.35">
      <c r="A2" s="12" t="s">
        <v>1852</v>
      </c>
      <c r="B2" s="12" t="s">
        <v>1851</v>
      </c>
      <c r="C2" s="12" t="s">
        <v>1853</v>
      </c>
      <c r="D2" s="12" t="s">
        <v>1854</v>
      </c>
      <c r="E2" s="12" t="s">
        <v>1855</v>
      </c>
      <c r="F2" s="12" t="s">
        <v>1856</v>
      </c>
      <c r="G2" s="12" t="s">
        <v>1857</v>
      </c>
      <c r="H2" s="12" t="s">
        <v>1910</v>
      </c>
    </row>
    <row r="3" spans="1:8" x14ac:dyDescent="0.35">
      <c r="A3" s="14" t="s">
        <v>1865</v>
      </c>
      <c r="B3" s="14" t="str">
        <f>VLOOKUP(EdgesData[[#This Row],[Node A]],NodesData[],2,FALSE)</f>
        <v>nB3F90AFA_FC46_4122_9901_4FF284E9E7EC</v>
      </c>
      <c r="C3" s="12" t="s">
        <v>39</v>
      </c>
      <c r="D3" s="12" t="s">
        <v>1840</v>
      </c>
      <c r="E3" s="12"/>
      <c r="F3" s="16" t="s">
        <v>543</v>
      </c>
      <c r="G3" s="14" t="str">
        <f>VLOOKUP(EdgesData[[#This Row],[Node B]],NodesData[],2,FALSE)</f>
        <v>nE49F9EAF_3DC5_47FA_9722_CDE0190EAD09</v>
      </c>
      <c r="H3" s="15" t="str" cm="1">
        <f t="array" ref="H3">"n"&amp;SUBSTITUTE(CreateGuidString(),"-","_")</f>
        <v>nB8E45778_0170_494F_9593_062D730CBDEF</v>
      </c>
    </row>
    <row r="4" spans="1:8" x14ac:dyDescent="0.35">
      <c r="A4" s="14" t="s">
        <v>1874</v>
      </c>
      <c r="B4" s="14" t="str">
        <f>VLOOKUP(EdgesData[[#This Row],[Node A]],NodesData[],2,FALSE)</f>
        <v>nAC688165_B606_4D82_A016_0263D701EDF2</v>
      </c>
      <c r="C4" s="17" t="s">
        <v>618</v>
      </c>
      <c r="D4" s="12" t="s">
        <v>1343</v>
      </c>
      <c r="E4" s="12"/>
      <c r="F4" s="12" t="s">
        <v>1332</v>
      </c>
      <c r="G4" s="14" t="str">
        <f>VLOOKUP(EdgesData[[#This Row],[Node B]],NodesData[],2,FALSE)</f>
        <v>n53877DB9_77FA_44E9_974A_BE3344133398</v>
      </c>
      <c r="H4" s="15" t="str" cm="1">
        <f t="array" ref="H4">"n"&amp;SUBSTITUTE(CreateGuidString(),"-","_")</f>
        <v>nB79358D9_4553_46F0_AC4F_782A8E622A05</v>
      </c>
    </row>
    <row r="5" spans="1:8" x14ac:dyDescent="0.35">
      <c r="A5" s="14" t="s">
        <v>1859</v>
      </c>
      <c r="B5" s="14" t="str">
        <f>VLOOKUP(EdgesData[[#This Row],[Node A]],NodesData[],2,FALSE)</f>
        <v>n8B61F4C7_8FA2_43DC_B58C_AB2C5C0A8877</v>
      </c>
      <c r="C5" s="13" t="s">
        <v>79</v>
      </c>
      <c r="D5" s="13" t="s">
        <v>1343</v>
      </c>
      <c r="F5" s="13" t="s">
        <v>1337</v>
      </c>
      <c r="G5" s="14" t="str">
        <f>VLOOKUP(EdgesData[[#This Row],[Node B]],NodesData[],2,FALSE)</f>
        <v>nCEEB6DF9_D56B_4A1B_9B36_35674D25F038</v>
      </c>
      <c r="H5" s="15" t="str" cm="1">
        <f t="array" ref="H5">"n"&amp;SUBSTITUTE(CreateGuidString(),"-","_")</f>
        <v>nC8997ADF_44C7_4C43_80DF_ECD60E2CD464</v>
      </c>
    </row>
    <row r="6" spans="1:8" x14ac:dyDescent="0.35">
      <c r="A6" s="14" t="s">
        <v>1870</v>
      </c>
      <c r="B6" s="14" t="str">
        <f>VLOOKUP(EdgesData[[#This Row],[Node A]],NodesData[],2,FALSE)</f>
        <v>n8B61F4C7_8FA2_43DC_B58C_AB2C5C0A8877</v>
      </c>
      <c r="C6" s="13" t="s">
        <v>79</v>
      </c>
      <c r="D6" s="13" t="s">
        <v>1338</v>
      </c>
      <c r="F6" s="13" t="s">
        <v>454</v>
      </c>
      <c r="G6" s="14" t="str">
        <f>VLOOKUP(EdgesData[[#This Row],[Node B]],NodesData[],2,FALSE)</f>
        <v>nFC4AFBE3_7D71_456A_AFC1_16F1F34558F5</v>
      </c>
      <c r="H6" s="15" t="str" cm="1">
        <f t="array" ref="H6">"n"&amp;SUBSTITUTE(CreateGuidString(),"-","_")</f>
        <v>n842B5F1A_005F_4584_94A3_7AE277CB617F</v>
      </c>
    </row>
    <row r="7" spans="1:8" x14ac:dyDescent="0.35">
      <c r="A7" s="14" t="s">
        <v>1871</v>
      </c>
      <c r="B7" s="14" t="str">
        <f>VLOOKUP(EdgesData[[#This Row],[Node A]],NodesData[],2,FALSE)</f>
        <v>n8B61F4C7_8FA2_43DC_B58C_AB2C5C0A8877</v>
      </c>
      <c r="C7" s="13" t="s">
        <v>79</v>
      </c>
      <c r="D7" s="13" t="s">
        <v>1339</v>
      </c>
      <c r="F7" s="12" t="s">
        <v>1844</v>
      </c>
      <c r="G7" s="14" t="str">
        <f>VLOOKUP(EdgesData[[#This Row],[Node B]],NodesData[],2,FALSE)</f>
        <v>n1546AAB1_79BC_427B_AC2C_31B1E8FA4616</v>
      </c>
      <c r="H7" s="15" t="str" cm="1">
        <f t="array" ref="H7">"n"&amp;SUBSTITUTE(CreateGuidString(),"-","_")</f>
        <v>n931B4078_093D_4FA2_AD84_E59FF3732144</v>
      </c>
    </row>
    <row r="8" spans="1:8" x14ac:dyDescent="0.35">
      <c r="A8" s="14" t="s">
        <v>1875</v>
      </c>
      <c r="B8" s="14" t="str">
        <f>VLOOKUP(EdgesData[[#This Row],[Node A]],NodesData[],2,FALSE)</f>
        <v>n45A95ED6_6BE9_42DC_8F8E_4940542AA763</v>
      </c>
      <c r="C8" s="18" t="s">
        <v>1303</v>
      </c>
      <c r="D8" s="12" t="s">
        <v>1343</v>
      </c>
      <c r="F8" s="12" t="s">
        <v>1332</v>
      </c>
      <c r="G8" s="14" t="str">
        <f>VLOOKUP(EdgesData[[#This Row],[Node B]],NodesData[],2,FALSE)</f>
        <v>n53877DB9_77FA_44E9_974A_BE3344133398</v>
      </c>
      <c r="H8" s="15" t="str" cm="1">
        <f t="array" ref="H8">"n"&amp;SUBSTITUTE(CreateGuidString(),"-","_")</f>
        <v>n32376E73_5A28_46D0_B5D1_AE4CE5617A18</v>
      </c>
    </row>
    <row r="9" spans="1:8" x14ac:dyDescent="0.35">
      <c r="A9" s="14" t="s">
        <v>1876</v>
      </c>
      <c r="B9" s="14" t="str">
        <f>VLOOKUP(EdgesData[[#This Row],[Node A]],NodesData[],2,FALSE)</f>
        <v>n45A95ED6_6BE9_42DC_8F8E_4940542AA763</v>
      </c>
      <c r="C9" s="17" t="s">
        <v>1303</v>
      </c>
      <c r="D9" s="12" t="s">
        <v>1343</v>
      </c>
      <c r="F9" s="12" t="s">
        <v>618</v>
      </c>
      <c r="G9" s="14" t="str">
        <f>VLOOKUP(EdgesData[[#This Row],[Node B]],NodesData[],2,FALSE)</f>
        <v>nAC688165_B606_4D82_A016_0263D701EDF2</v>
      </c>
      <c r="H9" s="15" t="str" cm="1">
        <f t="array" ref="H9">"n"&amp;SUBSTITUTE(CreateGuidString(),"-","_")</f>
        <v>nC22946C6_4FE8_4595_AE7D_17A1B3508616</v>
      </c>
    </row>
    <row r="10" spans="1:8" x14ac:dyDescent="0.35">
      <c r="A10" s="14" t="s">
        <v>1860</v>
      </c>
      <c r="B10" s="14" t="str">
        <f>VLOOKUP(EdgesData[[#This Row],[Node A]],NodesData[],2,FALSE)</f>
        <v>n09E1C4DC_8D91_4A66_9C50_11DCDC2042FD</v>
      </c>
      <c r="C10" s="13" t="s">
        <v>1345</v>
      </c>
      <c r="D10" s="13" t="s">
        <v>1343</v>
      </c>
      <c r="F10" s="13" t="s">
        <v>1341</v>
      </c>
      <c r="G10" s="14" t="str">
        <f>VLOOKUP(EdgesData[[#This Row],[Node B]],NodesData[],2,FALSE)</f>
        <v>n80310A12_2F48_48B9_A9C3_E6FADD4B55C9</v>
      </c>
      <c r="H10" s="15" t="str" cm="1">
        <f t="array" ref="H10">"n"&amp;SUBSTITUTE(CreateGuidString(),"-","_")</f>
        <v>n119C0E70_A0CA_4573_ABBE_ADB0EB0F6468</v>
      </c>
    </row>
    <row r="11" spans="1:8" x14ac:dyDescent="0.35">
      <c r="A11" s="14" t="s">
        <v>1861</v>
      </c>
      <c r="B11" s="14" t="str">
        <f>VLOOKUP(EdgesData[[#This Row],[Node A]],NodesData[],2,FALSE)</f>
        <v>nEE342468_B7F3_4FB0_BA73_C88BBEA8F59E</v>
      </c>
      <c r="C11" s="13" t="s">
        <v>1346</v>
      </c>
      <c r="D11" s="13" t="s">
        <v>1343</v>
      </c>
      <c r="F11" s="13" t="s">
        <v>1341</v>
      </c>
      <c r="G11" s="14" t="str">
        <f>VLOOKUP(EdgesData[[#This Row],[Node B]],NodesData[],2,FALSE)</f>
        <v>n80310A12_2F48_48B9_A9C3_E6FADD4B55C9</v>
      </c>
      <c r="H11" s="15" t="str" cm="1">
        <f t="array" ref="H11">"n"&amp;SUBSTITUTE(CreateGuidString(),"-","_")</f>
        <v>n87298F87_429F_47E9_AF6F_4972C8BD8D90</v>
      </c>
    </row>
    <row r="12" spans="1:8" x14ac:dyDescent="0.35">
      <c r="A12" s="14" t="s">
        <v>1864</v>
      </c>
      <c r="B12" s="14" t="str">
        <f>VLOOKUP(EdgesData[[#This Row],[Node A]],NodesData[],2,FALSE)</f>
        <v>n1546AAB1_79BC_427B_AC2C_31B1E8FA4616</v>
      </c>
      <c r="C12" s="12" t="s">
        <v>1844</v>
      </c>
      <c r="D12" s="13" t="s">
        <v>1343</v>
      </c>
      <c r="F12" s="13" t="s">
        <v>1340</v>
      </c>
      <c r="G12" s="14" t="str">
        <f>VLOOKUP(EdgesData[[#This Row],[Node B]],NodesData[],2,FALSE)</f>
        <v>n385B2A02_580E_49B6_8C97_A00DC541C516</v>
      </c>
      <c r="H12" s="15" t="str" cm="1">
        <f t="array" ref="H12">"n"&amp;SUBSTITUTE(CreateGuidString(),"-","_")</f>
        <v>n04262143_ED8F_4BCF_99A7_F180AAB3F26E</v>
      </c>
    </row>
    <row r="13" spans="1:8" x14ac:dyDescent="0.35">
      <c r="A13" s="14" t="s">
        <v>1877</v>
      </c>
      <c r="B13" s="14" t="str">
        <f>VLOOKUP(EdgesData[[#This Row],[Node A]],NodesData[],2,FALSE)</f>
        <v>nA4759A9D_95C0_47CA_B519_8CEF217B2F74</v>
      </c>
      <c r="C13" s="18" t="s">
        <v>1304</v>
      </c>
      <c r="D13" s="12" t="s">
        <v>1343</v>
      </c>
      <c r="F13" s="12" t="s">
        <v>1332</v>
      </c>
      <c r="G13" s="14" t="str">
        <f>VLOOKUP(EdgesData[[#This Row],[Node B]],NodesData[],2,FALSE)</f>
        <v>n53877DB9_77FA_44E9_974A_BE3344133398</v>
      </c>
      <c r="H13" s="15" t="str" cm="1">
        <f t="array" ref="H13">"n"&amp;SUBSTITUTE(CreateGuidString(),"-","_")</f>
        <v>nC981D918_E835_47C0_9A46_E2D157665217</v>
      </c>
    </row>
    <row r="14" spans="1:8" x14ac:dyDescent="0.35">
      <c r="A14" s="14" t="s">
        <v>1878</v>
      </c>
      <c r="B14" s="14" t="str">
        <f>VLOOKUP(EdgesData[[#This Row],[Node A]],NodesData[],2,FALSE)</f>
        <v>nA4759A9D_95C0_47CA_B519_8CEF217B2F74</v>
      </c>
      <c r="C14" s="17" t="s">
        <v>1304</v>
      </c>
      <c r="D14" s="12" t="s">
        <v>1343</v>
      </c>
      <c r="F14" s="12" t="s">
        <v>618</v>
      </c>
      <c r="G14" s="14" t="str">
        <f>VLOOKUP(EdgesData[[#This Row],[Node B]],NodesData[],2,FALSE)</f>
        <v>nAC688165_B606_4D82_A016_0263D701EDF2</v>
      </c>
      <c r="H14" s="15" t="str" cm="1">
        <f t="array" ref="H14">"n"&amp;SUBSTITUTE(CreateGuidString(),"-","_")</f>
        <v>n30BE18E4_9855_4031_BB3F_D3FAF0E37F2A</v>
      </c>
    </row>
    <row r="15" spans="1:8" x14ac:dyDescent="0.35">
      <c r="A15" s="14" t="s">
        <v>1879</v>
      </c>
      <c r="B15" s="14" t="str">
        <f>VLOOKUP(EdgesData[[#This Row],[Node A]],NodesData[],2,FALSE)</f>
        <v>nAACCE65E_6554_4FBD_B4D7_A3BA8E3BDB92</v>
      </c>
      <c r="C15" s="18" t="s">
        <v>1837</v>
      </c>
      <c r="D15" s="12" t="s">
        <v>1343</v>
      </c>
      <c r="F15" s="12" t="s">
        <v>1332</v>
      </c>
      <c r="G15" s="14" t="str">
        <f>VLOOKUP(EdgesData[[#This Row],[Node B]],NodesData[],2,FALSE)</f>
        <v>n53877DB9_77FA_44E9_974A_BE3344133398</v>
      </c>
      <c r="H15" s="15" t="str" cm="1">
        <f t="array" ref="H15">"n"&amp;SUBSTITUTE(CreateGuidString(),"-","_")</f>
        <v>n3DB85141_1C55_44C1_BC5D_631FB9F6EB69</v>
      </c>
    </row>
    <row r="16" spans="1:8" x14ac:dyDescent="0.35">
      <c r="A16" s="14" t="s">
        <v>1880</v>
      </c>
      <c r="B16" s="14" t="str">
        <f>VLOOKUP(EdgesData[[#This Row],[Node A]],NodesData[],2,FALSE)</f>
        <v>nAACCE65E_6554_4FBD_B4D7_A3BA8E3BDB92</v>
      </c>
      <c r="C16" s="17" t="s">
        <v>1837</v>
      </c>
      <c r="D16" s="12" t="s">
        <v>1343</v>
      </c>
      <c r="F16" s="12" t="s">
        <v>618</v>
      </c>
      <c r="G16" s="14" t="str">
        <f>VLOOKUP(EdgesData[[#This Row],[Node B]],NodesData[],2,FALSE)</f>
        <v>nAC688165_B606_4D82_A016_0263D701EDF2</v>
      </c>
      <c r="H16" s="15" t="str" cm="1">
        <f t="array" ref="H16">"n"&amp;SUBSTITUTE(CreateGuidString(),"-","_")</f>
        <v>nC26E7A42_6BAA_4E72_A1C2_D0C46C5C0039</v>
      </c>
    </row>
    <row r="17" spans="1:8" x14ac:dyDescent="0.35">
      <c r="A17" s="14" t="s">
        <v>1881</v>
      </c>
      <c r="B17" s="14" t="str">
        <f>VLOOKUP(EdgesData[[#This Row],[Node A]],NodesData[],2,FALSE)</f>
        <v>nF5B3A52F_6645_4E18_BE53_3CA330AAEC4A</v>
      </c>
      <c r="C17" s="18" t="s">
        <v>1307</v>
      </c>
      <c r="D17" s="12" t="s">
        <v>1343</v>
      </c>
      <c r="F17" s="12" t="s">
        <v>1332</v>
      </c>
      <c r="G17" s="14" t="str">
        <f>VLOOKUP(EdgesData[[#This Row],[Node B]],NodesData[],2,FALSE)</f>
        <v>n53877DB9_77FA_44E9_974A_BE3344133398</v>
      </c>
      <c r="H17" s="15" t="str" cm="1">
        <f t="array" ref="H17">"n"&amp;SUBSTITUTE(CreateGuidString(),"-","_")</f>
        <v>n0F4C46D4_3CCF_4919_A559_D89CB9FB69D9</v>
      </c>
    </row>
    <row r="18" spans="1:8" x14ac:dyDescent="0.35">
      <c r="A18" s="14" t="s">
        <v>1882</v>
      </c>
      <c r="B18" s="14" t="str">
        <f>VLOOKUP(EdgesData[[#This Row],[Node A]],NodesData[],2,FALSE)</f>
        <v>nF5B3A52F_6645_4E18_BE53_3CA330AAEC4A</v>
      </c>
      <c r="C18" s="17" t="s">
        <v>1307</v>
      </c>
      <c r="D18" s="12" t="s">
        <v>1343</v>
      </c>
      <c r="F18" s="12" t="s">
        <v>618</v>
      </c>
      <c r="G18" s="14" t="str">
        <f>VLOOKUP(EdgesData[[#This Row],[Node B]],NodesData[],2,FALSE)</f>
        <v>nAC688165_B606_4D82_A016_0263D701EDF2</v>
      </c>
      <c r="H18" s="15" t="str" cm="1">
        <f t="array" ref="H18">"n"&amp;SUBSTITUTE(CreateGuidString(),"-","_")</f>
        <v>n12E4BD84_843B_4FFB_B86A_A63098F6072D</v>
      </c>
    </row>
    <row r="19" spans="1:8" x14ac:dyDescent="0.35">
      <c r="A19" s="14" t="s">
        <v>1883</v>
      </c>
      <c r="B19" s="14" t="str">
        <f>VLOOKUP(EdgesData[[#This Row],[Node A]],NodesData[],2,FALSE)</f>
        <v>nE75296C8_9CA1_417E_B05B_CC1BDF26F9C3</v>
      </c>
      <c r="C19" s="18" t="s">
        <v>1308</v>
      </c>
      <c r="D19" s="12" t="s">
        <v>1343</v>
      </c>
      <c r="F19" s="12" t="s">
        <v>1332</v>
      </c>
      <c r="G19" s="14" t="str">
        <f>VLOOKUP(EdgesData[[#This Row],[Node B]],NodesData[],2,FALSE)</f>
        <v>n53877DB9_77FA_44E9_974A_BE3344133398</v>
      </c>
      <c r="H19" s="15" t="str" cm="1">
        <f t="array" ref="H19">"n"&amp;SUBSTITUTE(CreateGuidString(),"-","_")</f>
        <v>n59FA2C62_2D36_4146_B29E_2C98980E5982</v>
      </c>
    </row>
    <row r="20" spans="1:8" x14ac:dyDescent="0.35">
      <c r="A20" s="14" t="s">
        <v>1884</v>
      </c>
      <c r="B20" s="14" t="str">
        <f>VLOOKUP(EdgesData[[#This Row],[Node A]],NodesData[],2,FALSE)</f>
        <v>nE75296C8_9CA1_417E_B05B_CC1BDF26F9C3</v>
      </c>
      <c r="C20" s="17" t="s">
        <v>1308</v>
      </c>
      <c r="D20" s="12" t="s">
        <v>1343</v>
      </c>
      <c r="E20" s="12"/>
      <c r="F20" s="12" t="s">
        <v>618</v>
      </c>
      <c r="G20" s="14" t="str">
        <f>VLOOKUP(EdgesData[[#This Row],[Node B]],NodesData[],2,FALSE)</f>
        <v>nAC688165_B606_4D82_A016_0263D701EDF2</v>
      </c>
      <c r="H20" s="15" t="str" cm="1">
        <f t="array" ref="H20">"n"&amp;SUBSTITUTE(CreateGuidString(),"-","_")</f>
        <v>nDBAD68B8_52D6_49BD_B666_C2D4AB9CBD8C</v>
      </c>
    </row>
    <row r="21" spans="1:8" x14ac:dyDescent="0.35">
      <c r="A21" s="14" t="s">
        <v>1885</v>
      </c>
      <c r="B21" s="14" t="str">
        <f>VLOOKUP(EdgesData[[#This Row],[Node A]],NodesData[],2,FALSE)</f>
        <v>n3E35442D_91A0_4B21_B0FC_31EF1D8BC55F</v>
      </c>
      <c r="C21" s="18" t="s">
        <v>1309</v>
      </c>
      <c r="D21" s="12" t="s">
        <v>1343</v>
      </c>
      <c r="F21" s="12" t="s">
        <v>1332</v>
      </c>
      <c r="G21" s="14" t="str">
        <f>VLOOKUP(EdgesData[[#This Row],[Node B]],NodesData[],2,FALSE)</f>
        <v>n53877DB9_77FA_44E9_974A_BE3344133398</v>
      </c>
      <c r="H21" s="15" t="str" cm="1">
        <f t="array" ref="H21">"n"&amp;SUBSTITUTE(CreateGuidString(),"-","_")</f>
        <v>nF4A2D7B2_18C9_462D_809A_D561F7A88A3F</v>
      </c>
    </row>
    <row r="22" spans="1:8" x14ac:dyDescent="0.35">
      <c r="A22" s="14" t="s">
        <v>1886</v>
      </c>
      <c r="B22" s="14" t="str">
        <f>VLOOKUP(EdgesData[[#This Row],[Node A]],NodesData[],2,FALSE)</f>
        <v>n3E35442D_91A0_4B21_B0FC_31EF1D8BC55F</v>
      </c>
      <c r="C22" s="17" t="s">
        <v>1309</v>
      </c>
      <c r="D22" s="12" t="s">
        <v>1343</v>
      </c>
      <c r="F22" s="12" t="s">
        <v>618</v>
      </c>
      <c r="G22" s="14" t="str">
        <f>VLOOKUP(EdgesData[[#This Row],[Node B]],NodesData[],2,FALSE)</f>
        <v>nAC688165_B606_4D82_A016_0263D701EDF2</v>
      </c>
      <c r="H22" s="15" t="str" cm="1">
        <f t="array" ref="H22">"n"&amp;SUBSTITUTE(CreateGuidString(),"-","_")</f>
        <v>n4EE3BF5A_C2BE_4A93_8085_AF78AE326BE7</v>
      </c>
    </row>
    <row r="23" spans="1:8" x14ac:dyDescent="0.35">
      <c r="A23" s="14" t="s">
        <v>1887</v>
      </c>
      <c r="B23" s="14" t="str">
        <f>VLOOKUP(EdgesData[[#This Row],[Node A]],NodesData[],2,FALSE)</f>
        <v>n99E2EC41_CA7B_41FD_8304_3926884533F9</v>
      </c>
      <c r="C23" s="18" t="s">
        <v>1294</v>
      </c>
      <c r="D23" s="12" t="s">
        <v>1343</v>
      </c>
      <c r="F23" s="12" t="s">
        <v>0</v>
      </c>
      <c r="G23" s="14" t="str">
        <f>VLOOKUP(EdgesData[[#This Row],[Node B]],NodesData[],2,FALSE)</f>
        <v>n67C132A3_290E_4750_90DE_11E7C1778537</v>
      </c>
      <c r="H23" s="15" t="str" cm="1">
        <f t="array" ref="H23">"n"&amp;SUBSTITUTE(CreateGuidString(),"-","_")</f>
        <v>nFABBCBA4_E443_4834_8620_82407910A852</v>
      </c>
    </row>
    <row r="24" spans="1:8" x14ac:dyDescent="0.35">
      <c r="A24" s="14" t="s">
        <v>1888</v>
      </c>
      <c r="B24" s="14" t="str">
        <f>VLOOKUP(EdgesData[[#This Row],[Node A]],NodesData[],2,FALSE)</f>
        <v>nFF2EA87E_84ED_44A7_83DE_4A3C4C0F01DF</v>
      </c>
      <c r="C24" s="17" t="s">
        <v>1310</v>
      </c>
      <c r="D24" s="12" t="s">
        <v>1343</v>
      </c>
      <c r="F24" s="12" t="s">
        <v>1332</v>
      </c>
      <c r="G24" s="14" t="str">
        <f>VLOOKUP(EdgesData[[#This Row],[Node B]],NodesData[],2,FALSE)</f>
        <v>n53877DB9_77FA_44E9_974A_BE3344133398</v>
      </c>
      <c r="H24" s="15" t="str" cm="1">
        <f t="array" ref="H24">"n"&amp;SUBSTITUTE(CreateGuidString(),"-","_")</f>
        <v>nC8FD689B_FC5A_4E54_8604_62DEAADC8350</v>
      </c>
    </row>
    <row r="25" spans="1:8" x14ac:dyDescent="0.35">
      <c r="A25" s="14" t="s">
        <v>1889</v>
      </c>
      <c r="B25" s="14" t="str">
        <f>VLOOKUP(EdgesData[[#This Row],[Node A]],NodesData[],2,FALSE)</f>
        <v>nFF2EA87E_84ED_44A7_83DE_4A3C4C0F01DF</v>
      </c>
      <c r="C25" s="18" t="s">
        <v>1310</v>
      </c>
      <c r="D25" s="12" t="s">
        <v>1343</v>
      </c>
      <c r="F25" s="12" t="s">
        <v>618</v>
      </c>
      <c r="G25" s="14" t="str">
        <f>VLOOKUP(EdgesData[[#This Row],[Node B]],NodesData[],2,FALSE)</f>
        <v>nAC688165_B606_4D82_A016_0263D701EDF2</v>
      </c>
      <c r="H25" s="15" t="str" cm="1">
        <f t="array" ref="H25">"n"&amp;SUBSTITUTE(CreateGuidString(),"-","_")</f>
        <v>nCC5147FE_46F7_405B_B796_F93B7888D6AB</v>
      </c>
    </row>
    <row r="26" spans="1:8" x14ac:dyDescent="0.35">
      <c r="A26" s="14" t="s">
        <v>1862</v>
      </c>
      <c r="B26" s="14" t="str">
        <f>VLOOKUP(EdgesData[[#This Row],[Node A]],NodesData[],2,FALSE)</f>
        <v>n940256DD_635E_4F4B_91EA_B3366D40E947</v>
      </c>
      <c r="C26" s="13" t="s">
        <v>1342</v>
      </c>
      <c r="D26" s="13" t="s">
        <v>1343</v>
      </c>
      <c r="F26" s="13" t="s">
        <v>1341</v>
      </c>
      <c r="G26" s="14" t="str">
        <f>VLOOKUP(EdgesData[[#This Row],[Node B]],NodesData[],2,FALSE)</f>
        <v>n80310A12_2F48_48B9_A9C3_E6FADD4B55C9</v>
      </c>
      <c r="H26" s="15" t="str" cm="1">
        <f t="array" ref="H26">"n"&amp;SUBSTITUTE(CreateGuidString(),"-","_")</f>
        <v>n397E2E20_9292_4F83_B51E_2D851F0654DA</v>
      </c>
    </row>
    <row r="27" spans="1:8" x14ac:dyDescent="0.35">
      <c r="A27" s="14" t="s">
        <v>1863</v>
      </c>
      <c r="B27" s="14" t="str">
        <f>VLOOKUP(EdgesData[[#This Row],[Node A]],NodesData[],2,FALSE)</f>
        <v>nBB725018_7327_49FB_A48A_74839D0C04F9</v>
      </c>
      <c r="C27" s="13" t="s">
        <v>1344</v>
      </c>
      <c r="D27" s="13" t="s">
        <v>1343</v>
      </c>
      <c r="F27" s="13" t="s">
        <v>1341</v>
      </c>
      <c r="G27" s="14" t="str">
        <f>VLOOKUP(EdgesData[[#This Row],[Node B]],NodesData[],2,FALSE)</f>
        <v>n80310A12_2F48_48B9_A9C3_E6FADD4B55C9</v>
      </c>
      <c r="H27" s="15" t="str" cm="1">
        <f t="array" ref="H27">"n"&amp;SUBSTITUTE(CreateGuidString(),"-","_")</f>
        <v>n1D807B35_EA96_4D8C_B1FA_7B4725219DA3</v>
      </c>
    </row>
    <row r="28" spans="1:8" x14ac:dyDescent="0.35">
      <c r="A28" s="14" t="s">
        <v>1858</v>
      </c>
      <c r="B28" s="14" t="str">
        <f>VLOOKUP(EdgesData[[#This Row],[Node A]],NodesData[],2,FALSE)</f>
        <v>nC607594D_D597_4C8E_9605_EED87566C2FD</v>
      </c>
      <c r="C28" s="13" t="s">
        <v>261</v>
      </c>
      <c r="D28" s="12" t="s">
        <v>1835</v>
      </c>
      <c r="F28" s="13" t="s">
        <v>1341</v>
      </c>
      <c r="G28" s="14" t="str">
        <f>VLOOKUP(EdgesData[[#This Row],[Node B]],NodesData[],2,FALSE)</f>
        <v>n80310A12_2F48_48B9_A9C3_E6FADD4B55C9</v>
      </c>
      <c r="H28" s="15" t="str" cm="1">
        <f t="array" ref="H28">"n"&amp;SUBSTITUTE(CreateGuidString(),"-","_")</f>
        <v>nEEF0BCBC_F5FE_4785_BD2D_C973D661D263</v>
      </c>
    </row>
    <row r="29" spans="1:8" x14ac:dyDescent="0.35">
      <c r="A29" s="14" t="s">
        <v>1866</v>
      </c>
      <c r="B29" s="14" t="str">
        <f>VLOOKUP(EdgesData[[#This Row],[Node A]],NodesData[],2,FALSE)</f>
        <v>nC607594D_D597_4C8E_9605_EED87566C2FD</v>
      </c>
      <c r="C29" s="13" t="s">
        <v>261</v>
      </c>
      <c r="D29" s="12" t="s">
        <v>1836</v>
      </c>
      <c r="F29" s="13" t="s">
        <v>1348</v>
      </c>
      <c r="G29" s="14" t="str">
        <f>VLOOKUP(EdgesData[[#This Row],[Node B]],NodesData[],2,FALSE)</f>
        <v>nFB32F479_4EF7_409C_900B_EE48AA0DE846</v>
      </c>
      <c r="H29" s="15" t="str" cm="1">
        <f t="array" ref="H29">"n"&amp;SUBSTITUTE(CreateGuidString(),"-","_")</f>
        <v>n09577B7F_C3D0_48D5_91B9_E17CD7792331</v>
      </c>
    </row>
    <row r="30" spans="1:8" x14ac:dyDescent="0.35">
      <c r="A30" s="14" t="s">
        <v>1867</v>
      </c>
      <c r="B30" s="14" t="str">
        <f>VLOOKUP(EdgesData[[#This Row],[Node A]],NodesData[],2,FALSE)</f>
        <v>nC607594D_D597_4C8E_9605_EED87566C2FD</v>
      </c>
      <c r="C30" s="13" t="s">
        <v>261</v>
      </c>
      <c r="D30" s="12" t="s">
        <v>1836</v>
      </c>
      <c r="F30" s="13" t="s">
        <v>1349</v>
      </c>
      <c r="G30" s="14" t="str">
        <f>VLOOKUP(EdgesData[[#This Row],[Node B]],NodesData[],2,FALSE)</f>
        <v>nFA6C8A63_7071_4E20_BB02_F78403869E0B</v>
      </c>
      <c r="H30" s="15" t="str" cm="1">
        <f t="array" ref="H30">"n"&amp;SUBSTITUTE(CreateGuidString(),"-","_")</f>
        <v>n7F3B18CC_CC9E_40B6_A798_3D513ADFA934</v>
      </c>
    </row>
    <row r="31" spans="1:8" x14ac:dyDescent="0.35">
      <c r="A31" s="14" t="s">
        <v>1868</v>
      </c>
      <c r="B31" s="14" t="str">
        <f>VLOOKUP(EdgesData[[#This Row],[Node A]],NodesData[],2,FALSE)</f>
        <v>nC607594D_D597_4C8E_9605_EED87566C2FD</v>
      </c>
      <c r="C31" s="13" t="s">
        <v>261</v>
      </c>
      <c r="D31" s="12" t="s">
        <v>1836</v>
      </c>
      <c r="F31" s="13" t="s">
        <v>1350</v>
      </c>
      <c r="G31" s="14" t="str">
        <f>VLOOKUP(EdgesData[[#This Row],[Node B]],NodesData[],2,FALSE)</f>
        <v>nAC062A15_C72B_42D8_BBDF_C7EB64B35F26</v>
      </c>
      <c r="H31" s="15" t="str" cm="1">
        <f t="array" ref="H31">"n"&amp;SUBSTITUTE(CreateGuidString(),"-","_")</f>
        <v>n3290F9A0_663B_42EB_9F3D_85200E00098A</v>
      </c>
    </row>
    <row r="32" spans="1:8" x14ac:dyDescent="0.35">
      <c r="A32" s="14" t="s">
        <v>1869</v>
      </c>
      <c r="B32" s="14" t="str">
        <f>VLOOKUP(EdgesData[[#This Row],[Node A]],NodesData[],2,FALSE)</f>
        <v>nC607594D_D597_4C8E_9605_EED87566C2FD</v>
      </c>
      <c r="C32" s="13" t="s">
        <v>261</v>
      </c>
      <c r="D32" s="12" t="s">
        <v>1836</v>
      </c>
      <c r="F32" s="13" t="s">
        <v>1347</v>
      </c>
      <c r="G32" s="14" t="str">
        <f>VLOOKUP(EdgesData[[#This Row],[Node B]],NodesData[],2,FALSE)</f>
        <v>nF3A221C8_C126_458E_818C_DAE6B57CD442</v>
      </c>
      <c r="H32" s="15" t="str" cm="1">
        <f t="array" ref="H32">"n"&amp;SUBSTITUTE(CreateGuidString(),"-","_")</f>
        <v>nF46C1BEA_E65F_4C76_BA5E_0FE93A673C07</v>
      </c>
    </row>
    <row r="33" spans="1:8" x14ac:dyDescent="0.35">
      <c r="A33" s="14" t="s">
        <v>1872</v>
      </c>
      <c r="B33" s="14" t="str">
        <f>VLOOKUP(EdgesData[[#This Row],[Node A]],NodesData[],2,FALSE)</f>
        <v>nC607594D_D597_4C8E_9605_EED87566C2FD</v>
      </c>
      <c r="C33" s="13" t="s">
        <v>261</v>
      </c>
      <c r="D33" s="13" t="s">
        <v>1351</v>
      </c>
      <c r="F33" s="13" t="s">
        <v>1352</v>
      </c>
      <c r="G33" s="14" t="str">
        <f>VLOOKUP(EdgesData[[#This Row],[Node B]],NodesData[],2,FALSE)</f>
        <v>n2E4A35A7_53BB_4F4B_8554_B6584F77D71D</v>
      </c>
      <c r="H33" s="15" t="str" cm="1">
        <f t="array" ref="H33">"n"&amp;SUBSTITUTE(CreateGuidString(),"-","_")</f>
        <v>n6FEB447E_49A9_4D08_B50B_A12898289CDF</v>
      </c>
    </row>
    <row r="34" spans="1:8" x14ac:dyDescent="0.35">
      <c r="A34" s="14" t="s">
        <v>1873</v>
      </c>
      <c r="B34" s="14" t="str">
        <f>VLOOKUP(EdgesData[[#This Row],[Node A]],NodesData[],2,FALSE)</f>
        <v>n35F5759D_AAFF_439C_A04E_623AA07EE4D9</v>
      </c>
      <c r="C34" s="12" t="s">
        <v>1311</v>
      </c>
      <c r="D34" s="12" t="s">
        <v>1839</v>
      </c>
      <c r="E34" s="12" t="s">
        <v>1838</v>
      </c>
      <c r="F34" s="12" t="s">
        <v>1312</v>
      </c>
      <c r="G34" s="14" t="str">
        <f>VLOOKUP(EdgesData[[#This Row],[Node B]],NodesData[],2,FALSE)</f>
        <v>n2F27DDAD_459D_4B06_9152_168BDF5063F5</v>
      </c>
      <c r="H34" s="15" t="str" cm="1">
        <f t="array" ref="H34">"n"&amp;SUBSTITUTE(CreateGuidString(),"-","_")</f>
        <v>n5C8A387E_C411_49D0_99CB_8BB8F945E8A7</v>
      </c>
    </row>
    <row r="35" spans="1:8" x14ac:dyDescent="0.35">
      <c r="A35" s="14" t="s">
        <v>1890</v>
      </c>
      <c r="B35" s="14" t="str">
        <f>VLOOKUP(EdgesData[[#This Row],[Node A]],NodesData[],2,FALSE)</f>
        <v>n35F5759D_AAFF_439C_A04E_623AA07EE4D9</v>
      </c>
      <c r="C35" s="17" t="s">
        <v>1311</v>
      </c>
      <c r="D35" s="12" t="s">
        <v>1343</v>
      </c>
      <c r="F35" s="12" t="s">
        <v>1332</v>
      </c>
      <c r="G35" s="14" t="str">
        <f>VLOOKUP(EdgesData[[#This Row],[Node B]],NodesData[],2,FALSE)</f>
        <v>n53877DB9_77FA_44E9_974A_BE3344133398</v>
      </c>
      <c r="H35" s="15" t="str" cm="1">
        <f t="array" ref="H35">"n"&amp;SUBSTITUTE(CreateGuidString(),"-","_")</f>
        <v>nA8B6A68B_E327_4B30_9109_4922B0A49835</v>
      </c>
    </row>
    <row r="36" spans="1:8" x14ac:dyDescent="0.35">
      <c r="A36" s="14" t="s">
        <v>1891</v>
      </c>
      <c r="B36" s="14" t="str">
        <f>VLOOKUP(EdgesData[[#This Row],[Node A]],NodesData[],2,FALSE)</f>
        <v>n35F5759D_AAFF_439C_A04E_623AA07EE4D9</v>
      </c>
      <c r="C36" s="18" t="s">
        <v>1311</v>
      </c>
      <c r="D36" s="12" t="s">
        <v>1343</v>
      </c>
      <c r="F36" s="12" t="s">
        <v>618</v>
      </c>
      <c r="G36" s="14" t="str">
        <f>VLOOKUP(EdgesData[[#This Row],[Node B]],NodesData[],2,FALSE)</f>
        <v>nAC688165_B606_4D82_A016_0263D701EDF2</v>
      </c>
      <c r="H36" s="15" t="str" cm="1">
        <f t="array" ref="H36">"n"&amp;SUBSTITUTE(CreateGuidString(),"-","_")</f>
        <v>n8594D55C_B6C4_4747_88AC_27C3B88DED42</v>
      </c>
    </row>
    <row r="37" spans="1:8" x14ac:dyDescent="0.35">
      <c r="A37" s="14" t="s">
        <v>1892</v>
      </c>
      <c r="B37" s="14" t="str">
        <f>VLOOKUP(EdgesData[[#This Row],[Node A]],NodesData[],2,FALSE)</f>
        <v>n63EDDBAD_A168_4974_B9D5_9B90FB3F688E</v>
      </c>
      <c r="C37" s="17" t="s">
        <v>2</v>
      </c>
      <c r="D37" s="12" t="s">
        <v>1343</v>
      </c>
      <c r="F37" s="12" t="s">
        <v>0</v>
      </c>
      <c r="G37" s="14" t="str">
        <f>VLOOKUP(EdgesData[[#This Row],[Node B]],NodesData[],2,FALSE)</f>
        <v>n67C132A3_290E_4750_90DE_11E7C1778537</v>
      </c>
      <c r="H37" s="15" t="str" cm="1">
        <f t="array" ref="H37">"n"&amp;SUBSTITUTE(CreateGuidString(),"-","_")</f>
        <v>nEB9B6414_BB18_4555_ACDB_4EA923DBB2AD</v>
      </c>
    </row>
    <row r="38" spans="1:8" x14ac:dyDescent="0.35">
      <c r="A38" s="14" t="s">
        <v>1893</v>
      </c>
      <c r="B38" s="14" t="str">
        <f>VLOOKUP(EdgesData[[#This Row],[Node A]],NodesData[],2,FALSE)</f>
        <v>nC63D5B91_5DF9_4B35_856B_670E59CF1CA0</v>
      </c>
      <c r="C38" s="18" t="s">
        <v>1313</v>
      </c>
      <c r="D38" s="12" t="s">
        <v>1343</v>
      </c>
      <c r="F38" s="12" t="s">
        <v>1332</v>
      </c>
      <c r="G38" s="14" t="str">
        <f>VLOOKUP(EdgesData[[#This Row],[Node B]],NodesData[],2,FALSE)</f>
        <v>n53877DB9_77FA_44E9_974A_BE3344133398</v>
      </c>
      <c r="H38" s="15" t="str" cm="1">
        <f t="array" ref="H38">"n"&amp;SUBSTITUTE(CreateGuidString(),"-","_")</f>
        <v>nC55004D2_B1F9_42A7_8977_B28188D34B77</v>
      </c>
    </row>
    <row r="39" spans="1:8" x14ac:dyDescent="0.35">
      <c r="A39" s="14" t="s">
        <v>1894</v>
      </c>
      <c r="B39" s="14" t="str">
        <f>VLOOKUP(EdgesData[[#This Row],[Node A]],NodesData[],2,FALSE)</f>
        <v>nC63D5B91_5DF9_4B35_856B_670E59CF1CA0</v>
      </c>
      <c r="C39" s="17" t="s">
        <v>1313</v>
      </c>
      <c r="D39" s="12" t="s">
        <v>1343</v>
      </c>
      <c r="F39" s="12" t="s">
        <v>618</v>
      </c>
      <c r="G39" s="14" t="str">
        <f>VLOOKUP(EdgesData[[#This Row],[Node B]],NodesData[],2,FALSE)</f>
        <v>nAC688165_B606_4D82_A016_0263D701EDF2</v>
      </c>
      <c r="H39" s="15" t="str" cm="1">
        <f t="array" ref="H39">"n"&amp;SUBSTITUTE(CreateGuidString(),"-","_")</f>
        <v>n886B6945_5E13_47D2_8D49_B9FE39FF6100</v>
      </c>
    </row>
    <row r="40" spans="1:8" x14ac:dyDescent="0.35">
      <c r="A40" s="14" t="s">
        <v>1895</v>
      </c>
      <c r="B40" s="14" t="str">
        <f>VLOOKUP(EdgesData[[#This Row],[Node A]],NodesData[],2,FALSE)</f>
        <v>nE61E61F3_D210_49D4_9FB5_8E7744490C9D</v>
      </c>
      <c r="C40" s="18" t="s">
        <v>1296</v>
      </c>
      <c r="D40" s="12" t="s">
        <v>1343</v>
      </c>
      <c r="F40" s="12" t="s">
        <v>0</v>
      </c>
      <c r="G40" s="14" t="str">
        <f>VLOOKUP(EdgesData[[#This Row],[Node B]],NodesData[],2,FALSE)</f>
        <v>n67C132A3_290E_4750_90DE_11E7C1778537</v>
      </c>
      <c r="H40" s="15" t="str" cm="1">
        <f t="array" ref="H40">"n"&amp;SUBSTITUTE(CreateGuidString(),"-","_")</f>
        <v>n2C192CD6_570A_463C_8FC0_14D528A65E90</v>
      </c>
    </row>
    <row r="41" spans="1:8" x14ac:dyDescent="0.35">
      <c r="A41" s="14" t="s">
        <v>1896</v>
      </c>
      <c r="B41" s="14" t="str">
        <f>VLOOKUP(EdgesData[[#This Row],[Node A]],NodesData[],2,FALSE)</f>
        <v>nF4329B4E_89AE_4B13_8BA2_B6BEFB931A12</v>
      </c>
      <c r="C41" s="12" t="s">
        <v>1841</v>
      </c>
      <c r="D41" s="12" t="s">
        <v>1343</v>
      </c>
      <c r="F41" s="12" t="s">
        <v>1332</v>
      </c>
      <c r="G41" s="14" t="str">
        <f>VLOOKUP(EdgesData[[#This Row],[Node B]],NodesData[],2,FALSE)</f>
        <v>n53877DB9_77FA_44E9_974A_BE3344133398</v>
      </c>
      <c r="H41" s="15" t="str" cm="1">
        <f t="array" ref="H41">"n"&amp;SUBSTITUTE(CreateGuidString(),"-","_")</f>
        <v>n9D56FFF6_2B82_471F_9117_6999BA3829B1</v>
      </c>
    </row>
    <row r="42" spans="1:8" x14ac:dyDescent="0.35">
      <c r="A42" s="14" t="s">
        <v>1897</v>
      </c>
      <c r="B42" s="14" t="str">
        <f>VLOOKUP(EdgesData[[#This Row],[Node A]],NodesData[],2,FALSE)</f>
        <v>nF4329B4E_89AE_4B13_8BA2_B6BEFB931A12</v>
      </c>
      <c r="C42" s="12" t="s">
        <v>1841</v>
      </c>
      <c r="D42" s="12" t="s">
        <v>1343</v>
      </c>
      <c r="F42" s="12" t="s">
        <v>618</v>
      </c>
      <c r="G42" s="14" t="str">
        <f>VLOOKUP(EdgesData[[#This Row],[Node B]],NodesData[],2,FALSE)</f>
        <v>nAC688165_B606_4D82_A016_0263D701EDF2</v>
      </c>
      <c r="H42" s="15" t="str" cm="1">
        <f t="array" ref="H42">"n"&amp;SUBSTITUTE(CreateGuidString(),"-","_")</f>
        <v>nEDD91A3D_FF65_4D23_B918_470EE5A4F407</v>
      </c>
    </row>
    <row r="43" spans="1:8" x14ac:dyDescent="0.35">
      <c r="A43" s="14" t="s">
        <v>1898</v>
      </c>
      <c r="B43" s="14" t="str">
        <f>VLOOKUP(EdgesData[[#This Row],[Node A]],NodesData[],2,FALSE)</f>
        <v>nD67337C3_82D6_4A00_9312_77ECF955E4EE</v>
      </c>
      <c r="C43" s="17" t="s">
        <v>1314</v>
      </c>
      <c r="D43" s="12" t="s">
        <v>1343</v>
      </c>
      <c r="F43" s="12" t="s">
        <v>1332</v>
      </c>
      <c r="G43" s="14" t="str">
        <f>VLOOKUP(EdgesData[[#This Row],[Node B]],NodesData[],2,FALSE)</f>
        <v>n53877DB9_77FA_44E9_974A_BE3344133398</v>
      </c>
      <c r="H43" s="15" t="str" cm="1">
        <f t="array" ref="H43">"n"&amp;SUBSTITUTE(CreateGuidString(),"-","_")</f>
        <v>n640D86DA_7ABC_4A43_BAF5_E4955564AD45</v>
      </c>
    </row>
    <row r="44" spans="1:8" x14ac:dyDescent="0.35">
      <c r="A44" s="14" t="s">
        <v>1899</v>
      </c>
      <c r="B44" s="14" t="str">
        <f>VLOOKUP(EdgesData[[#This Row],[Node A]],NodesData[],2,FALSE)</f>
        <v>nD67337C3_82D6_4A00_9312_77ECF955E4EE</v>
      </c>
      <c r="C44" s="18" t="s">
        <v>1314</v>
      </c>
      <c r="D44" s="12" t="s">
        <v>1343</v>
      </c>
      <c r="F44" s="12" t="s">
        <v>618</v>
      </c>
      <c r="G44" s="14" t="str">
        <f>VLOOKUP(EdgesData[[#This Row],[Node B]],NodesData[],2,FALSE)</f>
        <v>nAC688165_B606_4D82_A016_0263D701EDF2</v>
      </c>
      <c r="H44" s="15" t="str" cm="1">
        <f t="array" ref="H44">"n"&amp;SUBSTITUTE(CreateGuidString(),"-","_")</f>
        <v>n512EA8A8_75ED_4FFB_952E_ADF035AA262A</v>
      </c>
    </row>
    <row r="45" spans="1:8" x14ac:dyDescent="0.35">
      <c r="A45" s="14" t="s">
        <v>1900</v>
      </c>
      <c r="B45" s="14" t="str">
        <f>VLOOKUP(EdgesData[[#This Row],[Node A]],NodesData[],2,FALSE)</f>
        <v>n8B4BB7FC_2E2A_4C1A_8657_58EEC2DF8A9A</v>
      </c>
      <c r="C45" s="17" t="s">
        <v>1295</v>
      </c>
      <c r="D45" s="12" t="s">
        <v>1343</v>
      </c>
      <c r="F45" s="12" t="s">
        <v>0</v>
      </c>
      <c r="G45" s="14" t="str">
        <f>VLOOKUP(EdgesData[[#This Row],[Node B]],NodesData[],2,FALSE)</f>
        <v>n67C132A3_290E_4750_90DE_11E7C1778537</v>
      </c>
      <c r="H45" s="15" t="str" cm="1">
        <f t="array" ref="H45">"n"&amp;SUBSTITUTE(CreateGuidString(),"-","_")</f>
        <v>nA21D93F0_EF6D_4644_BF2C_95B6AFA58A53</v>
      </c>
    </row>
    <row r="46" spans="1:8" x14ac:dyDescent="0.35">
      <c r="A46" s="14" t="s">
        <v>1901</v>
      </c>
      <c r="B46" s="14" t="str">
        <f>VLOOKUP(EdgesData[[#This Row],[Node A]],NodesData[],2,FALSE)</f>
        <v>nF44C30A8_A797_4F0C_9C18_D87E7D5A8B88</v>
      </c>
      <c r="C46" s="18" t="s">
        <v>1297</v>
      </c>
      <c r="D46" s="12" t="s">
        <v>1343</v>
      </c>
      <c r="F46" s="12" t="s">
        <v>0</v>
      </c>
      <c r="G46" s="14" t="str">
        <f>VLOOKUP(EdgesData[[#This Row],[Node B]],NodesData[],2,FALSE)</f>
        <v>n67C132A3_290E_4750_90DE_11E7C1778537</v>
      </c>
      <c r="H46" s="15" t="str" cm="1">
        <f t="array" ref="H46">"n"&amp;SUBSTITUTE(CreateGuidString(),"-","_")</f>
        <v>n648FB6BC_C968_45D4_89A1_90D4F1C8EEC6</v>
      </c>
    </row>
    <row r="47" spans="1:8" x14ac:dyDescent="0.35">
      <c r="A47" s="14" t="s">
        <v>1902</v>
      </c>
      <c r="B47" s="14" t="str">
        <f>VLOOKUP(EdgesData[[#This Row],[Node A]],NodesData[],2,FALSE)</f>
        <v>n2F27DDAD_459D_4B06_9152_168BDF5063F5</v>
      </c>
      <c r="C47" s="17" t="s">
        <v>1312</v>
      </c>
      <c r="D47" s="12" t="s">
        <v>1343</v>
      </c>
      <c r="F47" s="12" t="s">
        <v>1332</v>
      </c>
      <c r="G47" s="14" t="str">
        <f>VLOOKUP(EdgesData[[#This Row],[Node B]],NodesData[],2,FALSE)</f>
        <v>n53877DB9_77FA_44E9_974A_BE3344133398</v>
      </c>
      <c r="H47" s="15" t="str" cm="1">
        <f t="array" ref="H47">"n"&amp;SUBSTITUTE(CreateGuidString(),"-","_")</f>
        <v>nC58582E3_5817_45D6_A5A0_F053D7D97208</v>
      </c>
    </row>
    <row r="48" spans="1:8" x14ac:dyDescent="0.35">
      <c r="A48" s="14" t="s">
        <v>1903</v>
      </c>
      <c r="B48" s="14" t="str">
        <f>VLOOKUP(EdgesData[[#This Row],[Node A]],NodesData[],2,FALSE)</f>
        <v>n2F27DDAD_459D_4B06_9152_168BDF5063F5</v>
      </c>
      <c r="C48" s="18" t="s">
        <v>1312</v>
      </c>
      <c r="D48" s="12" t="s">
        <v>1343</v>
      </c>
      <c r="F48" s="12" t="s">
        <v>618</v>
      </c>
      <c r="G48" s="14" t="str">
        <f>VLOOKUP(EdgesData[[#This Row],[Node B]],NodesData[],2,FALSE)</f>
        <v>nAC688165_B606_4D82_A016_0263D701EDF2</v>
      </c>
      <c r="H48" s="15" t="str" cm="1">
        <f t="array" ref="H48">"n"&amp;SUBSTITUTE(CreateGuidString(),"-","_")</f>
        <v>n73830110_4B7F_48F0_95F4_912B01A681A0</v>
      </c>
    </row>
    <row r="49" spans="1:8" x14ac:dyDescent="0.35">
      <c r="A49" s="14" t="s">
        <v>1904</v>
      </c>
      <c r="B49" s="14" t="str">
        <f>VLOOKUP(EdgesData[[#This Row],[Node A]],NodesData[],2,FALSE)</f>
        <v>nC196E133_4263_4398_B44A_B3053AC5D0E8</v>
      </c>
      <c r="C49" s="17" t="s">
        <v>1315</v>
      </c>
      <c r="D49" s="12" t="s">
        <v>1343</v>
      </c>
      <c r="F49" s="12" t="s">
        <v>1332</v>
      </c>
      <c r="G49" s="14" t="str">
        <f>VLOOKUP(EdgesData[[#This Row],[Node B]],NodesData[],2,FALSE)</f>
        <v>n53877DB9_77FA_44E9_974A_BE3344133398</v>
      </c>
      <c r="H49" s="15" t="str" cm="1">
        <f t="array" ref="H49">"n"&amp;SUBSTITUTE(CreateGuidString(),"-","_")</f>
        <v>n559C0248_034F_46A9_B8FE_4A3B909F09A3</v>
      </c>
    </row>
    <row r="50" spans="1:8" x14ac:dyDescent="0.35">
      <c r="A50" s="14" t="s">
        <v>1905</v>
      </c>
      <c r="B50" s="14" t="str">
        <f>VLOOKUP(EdgesData[[#This Row],[Node A]],NodesData[],2,FALSE)</f>
        <v>nC196E133_4263_4398_B44A_B3053AC5D0E8</v>
      </c>
      <c r="C50" s="18" t="s">
        <v>1315</v>
      </c>
      <c r="D50" s="12" t="s">
        <v>1343</v>
      </c>
      <c r="F50" s="12" t="s">
        <v>618</v>
      </c>
      <c r="G50" s="14" t="str">
        <f>VLOOKUP(EdgesData[[#This Row],[Node B]],NodesData[],2,FALSE)</f>
        <v>nAC688165_B606_4D82_A016_0263D701EDF2</v>
      </c>
      <c r="H50" s="15" t="str" cm="1">
        <f t="array" ref="H50">"n"&amp;SUBSTITUTE(CreateGuidString(),"-","_")</f>
        <v>n66988A9B_598A_4F22_88FC_B0D060A91558</v>
      </c>
    </row>
    <row r="51" spans="1:8" x14ac:dyDescent="0.35">
      <c r="A51" s="14" t="s">
        <v>1942</v>
      </c>
      <c r="B51" s="14" t="str">
        <f>VLOOKUP(EdgesData[[#This Row],[Node A]],NodesData[],2,FALSE)</f>
        <v>nE9C9661B_8C28_413E_A8E3_A720E03C04B7</v>
      </c>
      <c r="C51" s="13" t="s">
        <v>4</v>
      </c>
      <c r="D51" s="13" t="s">
        <v>1343</v>
      </c>
      <c r="F51" s="19" t="s">
        <v>1917</v>
      </c>
      <c r="G51" s="29" t="str">
        <f>VLOOKUP(EdgesData[[#This Row],[Node B]],NodesData[],2,FALSE)</f>
        <v>n23656C0A_A156_405F_9FF8_7AE62FD6FB07</v>
      </c>
      <c r="H51" s="30" t="str" cm="1">
        <f t="array" ref="H51">"n"&amp;SUBSTITUTE(CreateGuidString(),"-","_")</f>
        <v>n0A451CF0_22E0_44D3_AB03_3E608F7531FA</v>
      </c>
    </row>
    <row r="52" spans="1:8" x14ac:dyDescent="0.35">
      <c r="A52" s="14" t="s">
        <v>1943</v>
      </c>
      <c r="B52" s="14" t="str">
        <f>VLOOKUP(EdgesData[[#This Row],[Node A]],NodesData[],2,FALSE)</f>
        <v>n23656C0A_A156_405F_9FF8_7AE62FD6FB07</v>
      </c>
      <c r="C52" s="13" t="s">
        <v>1917</v>
      </c>
      <c r="D52" s="13" t="s">
        <v>1343</v>
      </c>
      <c r="F52" s="19" t="s">
        <v>1918</v>
      </c>
      <c r="G52" s="29" t="str">
        <f>VLOOKUP(EdgesData[[#This Row],[Node B]],NodesData[],2,FALSE)</f>
        <v>nBC613B66_5F94_4F48_91BD_5F6BBA766E79</v>
      </c>
      <c r="H52" s="30" t="str" cm="1">
        <f t="array" ref="H52">"n"&amp;SUBSTITUTE(CreateGuidString(),"-","_")</f>
        <v>nE8DE4BFE_8184_4CDB_AB2B_F5BBB01DDEC9</v>
      </c>
    </row>
    <row r="53" spans="1:8" x14ac:dyDescent="0.35">
      <c r="A53" s="14" t="s">
        <v>1944</v>
      </c>
      <c r="B53" s="14" t="str">
        <f>VLOOKUP(EdgesData[[#This Row],[Node A]],NodesData[],2,FALSE)</f>
        <v>nE9C9661B_8C28_413E_A8E3_A720E03C04B7</v>
      </c>
      <c r="C53" s="13" t="s">
        <v>4</v>
      </c>
      <c r="D53" s="13" t="s">
        <v>1919</v>
      </c>
      <c r="F53" s="19" t="s">
        <v>1959</v>
      </c>
      <c r="G53" s="29" t="str">
        <f>VLOOKUP(EdgesData[[#This Row],[Node B]],NodesData[],2,FALSE)</f>
        <v>n02B81E29_1266_4611_897E_FD90C5DD5788</v>
      </c>
      <c r="H53" s="30" t="str" cm="1">
        <f t="array" ref="H53">"n"&amp;SUBSTITUTE(CreateGuidString(),"-","_")</f>
        <v>n4DCA1FCE_1B55_469F_A7BE_191D25CCF3FD</v>
      </c>
    </row>
    <row r="54" spans="1:8" x14ac:dyDescent="0.35">
      <c r="A54" s="14" t="s">
        <v>1945</v>
      </c>
      <c r="B54" s="14" t="str">
        <f>VLOOKUP(EdgesData[[#This Row],[Node A]],NodesData[],2,FALSE)</f>
        <v>nE9C9661B_8C28_413E_A8E3_A720E03C04B7</v>
      </c>
      <c r="C54" s="13" t="s">
        <v>4</v>
      </c>
      <c r="D54" s="13" t="s">
        <v>1920</v>
      </c>
      <c r="F54" s="19" t="s">
        <v>1958</v>
      </c>
      <c r="G54" s="29" t="str">
        <f>VLOOKUP(EdgesData[[#This Row],[Node B]],NodesData[],2,FALSE)</f>
        <v>n89FBB4A6_DF18_465F_9DA3_BD367759F09E</v>
      </c>
      <c r="H54" s="30" t="str" cm="1">
        <f t="array" ref="H54">"n"&amp;SUBSTITUTE(CreateGuidString(),"-","_")</f>
        <v>n13EF72AA_08CA_410B_B24C_89AAA3D27701</v>
      </c>
    </row>
    <row r="55" spans="1:8" x14ac:dyDescent="0.35">
      <c r="A55" s="14" t="s">
        <v>1946</v>
      </c>
      <c r="B55" s="14" t="str">
        <f>VLOOKUP(EdgesData[[#This Row],[Node A]],NodesData[],2,FALSE)</f>
        <v>n02B81E29_1266_4611_897E_FD90C5DD5788</v>
      </c>
      <c r="C55" s="19" t="s">
        <v>1959</v>
      </c>
      <c r="D55" s="13" t="s">
        <v>1922</v>
      </c>
      <c r="F55" s="19" t="s">
        <v>1921</v>
      </c>
      <c r="G55" s="29" t="str">
        <f>VLOOKUP(EdgesData[[#This Row],[Node B]],NodesData[],2,FALSE)</f>
        <v>nF28EF766_A810_4024_A03F_F62A899E2EE6</v>
      </c>
      <c r="H55" s="30" t="str" cm="1">
        <f t="array" ref="H55">"n"&amp;SUBSTITUTE(CreateGuidString(),"-","_")</f>
        <v>nB26195B6_F9CB_4615_844F_03A801F54319</v>
      </c>
    </row>
    <row r="56" spans="1:8" x14ac:dyDescent="0.35">
      <c r="A56" s="14" t="s">
        <v>1947</v>
      </c>
      <c r="B56" s="14" t="str">
        <f>VLOOKUP(EdgesData[[#This Row],[Node A]],NodesData[],2,FALSE)</f>
        <v>n89FBB4A6_DF18_465F_9DA3_BD367759F09E</v>
      </c>
      <c r="C56" s="19" t="s">
        <v>1958</v>
      </c>
      <c r="D56" s="13" t="s">
        <v>1923</v>
      </c>
      <c r="F56" s="19" t="s">
        <v>1921</v>
      </c>
      <c r="G56" s="29" t="str">
        <f>VLOOKUP(EdgesData[[#This Row],[Node B]],NodesData[],2,FALSE)</f>
        <v>nF28EF766_A810_4024_A03F_F62A899E2EE6</v>
      </c>
      <c r="H56" s="30" t="str" cm="1">
        <f t="array" ref="H56">"n"&amp;SUBSTITUTE(CreateGuidString(),"-","_")</f>
        <v>n7E6F3531_1C90_4207_87E3_03DC75297CD1</v>
      </c>
    </row>
    <row r="57" spans="1:8" x14ac:dyDescent="0.35">
      <c r="A57" s="14" t="s">
        <v>1948</v>
      </c>
      <c r="B57" s="14" t="str">
        <f>VLOOKUP(EdgesData[[#This Row],[Node A]],NodesData[],2,FALSE)</f>
        <v>n02B81E29_1266_4611_897E_FD90C5DD5788</v>
      </c>
      <c r="C57" s="19" t="s">
        <v>1959</v>
      </c>
      <c r="D57" s="13" t="s">
        <v>1924</v>
      </c>
      <c r="E57" s="13" t="s">
        <v>1838</v>
      </c>
      <c r="F57" s="19" t="s">
        <v>1958</v>
      </c>
      <c r="G57" s="29" t="str">
        <f>VLOOKUP(EdgesData[[#This Row],[Node B]],NodesData[],2,FALSE)</f>
        <v>n89FBB4A6_DF18_465F_9DA3_BD367759F09E</v>
      </c>
      <c r="H57" s="30" t="str" cm="1">
        <f t="array" ref="H57">"n"&amp;SUBSTITUTE(CreateGuidString(),"-","_")</f>
        <v>n486B9FB2_ED32_4106_B93F_8269064F6641</v>
      </c>
    </row>
    <row r="58" spans="1:8" x14ac:dyDescent="0.35">
      <c r="A58" s="14" t="s">
        <v>1949</v>
      </c>
      <c r="B58" s="14" t="str">
        <f>VLOOKUP(EdgesData[[#This Row],[Node A]],NodesData[],2,FALSE)</f>
        <v>n02B81E29_1266_4611_897E_FD90C5DD5788</v>
      </c>
      <c r="C58" s="19" t="s">
        <v>1959</v>
      </c>
      <c r="D58" s="13" t="s">
        <v>1925</v>
      </c>
      <c r="F58" s="19" t="s">
        <v>1926</v>
      </c>
      <c r="G58" s="29" t="str">
        <f>VLOOKUP(EdgesData[[#This Row],[Node B]],NodesData[],2,FALSE)</f>
        <v>n52564682_5FAD_48CB_A320_6CFE17950D03</v>
      </c>
      <c r="H58" s="30" t="str" cm="1">
        <f t="array" ref="H58">"n"&amp;SUBSTITUTE(CreateGuidString(),"-","_")</f>
        <v>nB02D7F5B_26E1_4631_97FB_9B92CB3DD9A1</v>
      </c>
    </row>
    <row r="59" spans="1:8" x14ac:dyDescent="0.35">
      <c r="A59" s="14" t="s">
        <v>1950</v>
      </c>
      <c r="B59" s="14" t="str">
        <f>VLOOKUP(EdgesData[[#This Row],[Node A]],NodesData[],2,FALSE)</f>
        <v>n02B81E29_1266_4611_897E_FD90C5DD5788</v>
      </c>
      <c r="C59" s="19" t="s">
        <v>1959</v>
      </c>
      <c r="D59" s="13" t="s">
        <v>1925</v>
      </c>
      <c r="F59" s="19" t="s">
        <v>1927</v>
      </c>
      <c r="G59" s="29" t="str">
        <f>VLOOKUP(EdgesData[[#This Row],[Node B]],NodesData[],2,FALSE)</f>
        <v>nA59D49F8_3819_4341_A310_19C77AB08AAB</v>
      </c>
      <c r="H59" s="30" t="str" cm="1">
        <f t="array" ref="H59">"n"&amp;SUBSTITUTE(CreateGuidString(),"-","_")</f>
        <v>nD595CAD7_ED6F_44F0_86BB_0C88B965A46D</v>
      </c>
    </row>
    <row r="60" spans="1:8" x14ac:dyDescent="0.35">
      <c r="A60" s="14" t="s">
        <v>1951</v>
      </c>
      <c r="B60" s="14" t="str">
        <f>VLOOKUP(EdgesData[[#This Row],[Node A]],NodesData[],2,FALSE)</f>
        <v>n02B81E29_1266_4611_897E_FD90C5DD5788</v>
      </c>
      <c r="C60" s="19" t="s">
        <v>1959</v>
      </c>
      <c r="D60" s="13" t="s">
        <v>1925</v>
      </c>
      <c r="F60" s="19" t="s">
        <v>1928</v>
      </c>
      <c r="G60" s="29" t="str">
        <f>VLOOKUP(EdgesData[[#This Row],[Node B]],NodesData[],2,FALSE)</f>
        <v>nC0AF8721_A868_4A4D_9F85_3A6D9B88B489</v>
      </c>
      <c r="H60" s="30" t="str" cm="1">
        <f t="array" ref="H60">"n"&amp;SUBSTITUTE(CreateGuidString(),"-","_")</f>
        <v>n0D36835E_CF22_467A_933C_A4A55A23D57C</v>
      </c>
    </row>
    <row r="61" spans="1:8" x14ac:dyDescent="0.35">
      <c r="A61" s="14" t="s">
        <v>1952</v>
      </c>
      <c r="B61" s="14" t="str">
        <f>VLOOKUP(EdgesData[[#This Row],[Node A]],NodesData[],2,FALSE)</f>
        <v>n02B81E29_1266_4611_897E_FD90C5DD5788</v>
      </c>
      <c r="C61" s="19" t="s">
        <v>1959</v>
      </c>
      <c r="D61" s="13" t="s">
        <v>1929</v>
      </c>
      <c r="F61" s="19" t="s">
        <v>1930</v>
      </c>
      <c r="G61" s="29" t="str">
        <f>VLOOKUP(EdgesData[[#This Row],[Node B]],NodesData[],2,FALSE)</f>
        <v>n4E7B27FA_8562_4EC8_869A_378A5937334A</v>
      </c>
      <c r="H61" s="30" t="str" cm="1">
        <f t="array" ref="H61">"n"&amp;SUBSTITUTE(CreateGuidString(),"-","_")</f>
        <v>nCB175E38_E6C9_499C_9540_9A5CB69E8E36</v>
      </c>
    </row>
    <row r="62" spans="1:8" x14ac:dyDescent="0.35">
      <c r="A62" s="14" t="s">
        <v>1953</v>
      </c>
      <c r="B62" s="14" t="str">
        <f>VLOOKUP(EdgesData[[#This Row],[Node A]],NodesData[],2,FALSE)</f>
        <v>n89FBB4A6_DF18_465F_9DA3_BD367759F09E</v>
      </c>
      <c r="C62" s="19" t="s">
        <v>1958</v>
      </c>
      <c r="D62" s="13" t="s">
        <v>1929</v>
      </c>
      <c r="F62" s="19" t="s">
        <v>1930</v>
      </c>
      <c r="G62" s="29" t="str">
        <f>VLOOKUP(EdgesData[[#This Row],[Node B]],NodesData[],2,FALSE)</f>
        <v>n4E7B27FA_8562_4EC8_869A_378A5937334A</v>
      </c>
      <c r="H62" s="30" t="str" cm="1">
        <f t="array" ref="H62">"n"&amp;SUBSTITUTE(CreateGuidString(),"-","_")</f>
        <v>n17260B5F_F54A_4609_A340_8AF19FDCD912</v>
      </c>
    </row>
    <row r="63" spans="1:8" x14ac:dyDescent="0.35">
      <c r="A63" s="14" t="s">
        <v>1954</v>
      </c>
      <c r="B63" s="14" t="str">
        <f>VLOOKUP(EdgesData[[#This Row],[Node A]],NodesData[],2,FALSE)</f>
        <v>nE9C9661B_8C28_413E_A8E3_A720E03C04B7</v>
      </c>
      <c r="C63" s="13" t="s">
        <v>4</v>
      </c>
      <c r="D63" s="13" t="s">
        <v>1343</v>
      </c>
      <c r="F63" s="19" t="s">
        <v>1931</v>
      </c>
      <c r="G63" s="29" t="str">
        <f>VLOOKUP(EdgesData[[#This Row],[Node B]],NodesData[],2,FALSE)</f>
        <v>nE0352234_7814_467F_8B8B_EF900BACC357</v>
      </c>
      <c r="H63" s="30" t="str" cm="1">
        <f t="array" ref="H63">"n"&amp;SUBSTITUTE(CreateGuidString(),"-","_")</f>
        <v>n0C8BC5FF_37C2_4FD1_990A_A9B822774FB2</v>
      </c>
    </row>
    <row r="64" spans="1:8" x14ac:dyDescent="0.35">
      <c r="A64" s="14"/>
      <c r="B64" s="14" t="str">
        <f>VLOOKUP(EdgesData[[#This Row],[Node A]],NodesData[],2,FALSE)</f>
        <v>nE9C9661B_8C28_413E_A8E3_A720E03C04B7</v>
      </c>
      <c r="C64" s="13" t="s">
        <v>4</v>
      </c>
      <c r="F64" s="13" t="s">
        <v>148</v>
      </c>
      <c r="G64" s="29" t="str">
        <f>VLOOKUP(EdgesData[[#This Row],[Node B]],NodesData[],2,FALSE)</f>
        <v>n65057A73_5E5D_4997_843D_70FCDDBF4863</v>
      </c>
      <c r="H64" s="30" t="str" cm="1">
        <f t="array" ref="H64">"n"&amp;SUBSTITUTE(CreateGuidString(),"-","_")</f>
        <v>n228330D7_7E4B_46EA_A89C_F44DF98A27FA</v>
      </c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490"/>
  <sheetViews>
    <sheetView zoomScale="120" zoomScaleNormal="120" workbookViewId="0">
      <selection activeCell="A4" sqref="A4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45.9296875" style="3" customWidth="1"/>
    <col min="4" max="4" width="215.06640625" style="19" bestFit="1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4"/>
    </row>
    <row r="2" spans="1:5" s="13" customFormat="1" ht="15" thickTop="1" thickBot="1" x14ac:dyDescent="0.5">
      <c r="A2" s="19" t="s">
        <v>1335</v>
      </c>
      <c r="B2" s="19" t="s">
        <v>1960</v>
      </c>
      <c r="C2" s="16" t="s">
        <v>1334</v>
      </c>
      <c r="D2" s="16" t="s">
        <v>1336</v>
      </c>
      <c r="E2" s="25" t="s">
        <v>1333</v>
      </c>
    </row>
    <row r="3" spans="1:5" ht="13.9" thickTop="1" thickBot="1" x14ac:dyDescent="0.4">
      <c r="A3" s="3" t="str">
        <f>NodesData[[#This Row],[Common Name]]</f>
        <v>4-Eyes Check</v>
      </c>
      <c r="B3" s="3" t="str">
        <f>IF(NodesData[[#This Row],[Group]]="","",NodesData[[#This Row],[Group]])</f>
        <v/>
      </c>
      <c r="C3" s="22" t="str">
        <f>NodesData[[#This Row],[Node ID]]</f>
        <v>n09FF5045_1C8C_4006_B2D6_F9742CBF96E8</v>
      </c>
      <c r="D3" s="3" t="str">
        <f>IF(NodesData[[#This Row],[URL]]="","",NodesData[[#This Row],[URL]])</f>
        <v/>
      </c>
      <c r="E3" s="26" t="str" cm="1">
        <f t="array" ref="E3">IF(ROW(NodesJSON[[#This Row],[label]])&gt;ROW(NodesJSON[[#Headers],[JSON]])+1,",","") &amp;"{"&amp;twoRangesToJSON(NodesJSON[[#Headers],[label]:[url]],NodesJSON[[#This Row],[label]:[url]])&amp;"}"</f>
        <v>{"label":"4-Eyes Check","group":"","id":"n09FF5045_1C8C_4006_B2D6_F9742CBF96E8","url":""}</v>
      </c>
    </row>
    <row r="4" spans="1:5" ht="13.9" thickTop="1" thickBot="1" x14ac:dyDescent="0.4">
      <c r="A4" s="3" t="str">
        <f>NodesData[[#This Row],[Common Name]]</f>
        <v>4-Eyes Principle</v>
      </c>
      <c r="B4" s="3" t="str">
        <f>IF(NodesData[[#This Row],[Group]]="","",NodesData[[#This Row],[Group]])</f>
        <v/>
      </c>
      <c r="C4" s="23" t="str">
        <f>NodesData[[#This Row],[Node ID]]</f>
        <v>n949B469C_B258_4821_87B2_A3318627421D</v>
      </c>
      <c r="D4" s="3" t="str">
        <f>IF(NodesData[[#This Row],[URL]]="","",NodesData[[#This Row],[URL]])</f>
        <v>https://open-measure.atlassian.net/wiki/spaces/DIC/pages/805175450/4-Eyes+Principle</v>
      </c>
      <c r="E4" s="26" t="str" cm="1">
        <f t="array" ref="E4">IF(ROW(NodesJSON[[#This Row],[label]])&gt;ROW(NodesJSON[[#Headers],[JSON]])+1,",","") &amp;"{"&amp;twoRangesToJSON(NodesJSON[[#Headers],[label]:[url]],NodesJSON[[#This Row],[label]:[url]])&amp;"}"</f>
        <v>,{"label":"4-Eyes Principle","group":"","id":"n949B469C_B258_4821_87B2_A3318627421D","url":"https://open-measure.atlassian.net/wiki/spaces/DIC/pages/805175450/4-Eyes+Principle"}</v>
      </c>
    </row>
    <row r="5" spans="1:5" ht="13.9" thickTop="1" thickBot="1" x14ac:dyDescent="0.4">
      <c r="A5" s="3" t="str">
        <f>NodesData[[#This Row],[Common Name]]</f>
        <v>Access</v>
      </c>
      <c r="B5" s="3" t="str">
        <f>IF(NodesData[[#This Row],[Group]]="","",NodesData[[#This Row],[Group]])</f>
        <v/>
      </c>
      <c r="C5" s="23" t="str">
        <f>NodesData[[#This Row],[Node ID]]</f>
        <v>n345814A3_CDB9_48CD_9A28_0EA438DFE1AF</v>
      </c>
      <c r="D5" s="3" t="str">
        <f>IF(NodesData[[#This Row],[URL]]="","",NodesData[[#This Row],[URL]])</f>
        <v>https://open-measure.atlassian.net/wiki/spaces/DIC/pages/123962347/Access</v>
      </c>
      <c r="E5" s="26" t="str" cm="1">
        <f t="array" ref="E5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6" spans="1:5" ht="13.9" thickTop="1" thickBot="1" x14ac:dyDescent="0.4">
      <c r="A6" s="3" t="str">
        <f>NodesData[[#This Row],[Common Name]]</f>
        <v>Access Audit</v>
      </c>
      <c r="B6" s="3" t="str">
        <f>IF(NodesData[[#This Row],[Group]]="","",NodesData[[#This Row],[Group]])</f>
        <v/>
      </c>
      <c r="C6" s="23" t="str">
        <f>NodesData[[#This Row],[Node ID]]</f>
        <v>n50BECF28_43AF_4D2B_9A00_548252A11959</v>
      </c>
      <c r="D6" s="3" t="str">
        <f>IF(NodesData[[#This Row],[URL]]="","",NodesData[[#This Row],[URL]])</f>
        <v>https://open-measure.atlassian.net/wiki/spaces/DIC/pages/1121878227</v>
      </c>
      <c r="E6" s="26" t="str" cm="1">
        <f t="array" ref="E6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7" spans="1:5" ht="13.9" thickTop="1" thickBot="1" x14ac:dyDescent="0.4">
      <c r="A7" s="3" t="str">
        <f>NodesData[[#This Row],[Common Name]]</f>
        <v>Access Continuum</v>
      </c>
      <c r="B7" s="3" t="str">
        <f>IF(NodesData[[#This Row],[Group]]="","",NodesData[[#This Row],[Group]])</f>
        <v/>
      </c>
      <c r="C7" s="23" t="str">
        <f>NodesData[[#This Row],[Node ID]]</f>
        <v>n5AC3C686_E96D_4E16_A7A7_F5E33273E16B</v>
      </c>
      <c r="D7" s="3" t="str">
        <f>IF(NodesData[[#This Row],[URL]]="","",NodesData[[#This Row],[URL]])</f>
        <v>https://open-measure.atlassian.net/wiki/spaces/DIC/pages/1034223816/Access+Continuum</v>
      </c>
      <c r="E7" s="26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8" spans="1:5" ht="13.9" thickTop="1" thickBot="1" x14ac:dyDescent="0.4">
      <c r="A8" s="3" t="str">
        <f>NodesData[[#This Row],[Common Name]]</f>
        <v>Access Control</v>
      </c>
      <c r="B8" s="3" t="str">
        <f>IF(NodesData[[#This Row],[Group]]="","",NodesData[[#This Row],[Group]])</f>
        <v/>
      </c>
      <c r="C8" s="23" t="str">
        <f>NodesData[[#This Row],[Node ID]]</f>
        <v>nC8849963_097C_4D88_9F09_0BE7822C1A27</v>
      </c>
      <c r="D8" s="3" t="str">
        <f>IF(NodesData[[#This Row],[URL]]="","",NodesData[[#This Row],[URL]])</f>
        <v>https://open-measure.atlassian.net/wiki/spaces/DIC/pages/427163781</v>
      </c>
      <c r="E8" s="26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9" spans="1:5" ht="13.9" thickTop="1" thickBot="1" x14ac:dyDescent="0.4">
      <c r="A9" s="3" t="str">
        <f>NodesData[[#This Row],[Common Name]]</f>
        <v>Access Control List</v>
      </c>
      <c r="B9" s="3" t="str">
        <f>IF(NodesData[[#This Row],[Group]]="","",NodesData[[#This Row],[Group]])</f>
        <v/>
      </c>
      <c r="C9" s="23" t="str">
        <f>NodesData[[#This Row],[Node ID]]</f>
        <v>nB5D15B0C_90C3_4DC7_BCEE_7009BF5FA6B0</v>
      </c>
      <c r="D9" s="3" t="str">
        <f>IF(NodesData[[#This Row],[URL]]="","",NodesData[[#This Row],[URL]])</f>
        <v>https://open-measure.atlassian.net/wiki/spaces/DIC/pages/822345754</v>
      </c>
      <c r="E9" s="26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10" spans="1:5" ht="13.9" thickTop="1" thickBot="1" x14ac:dyDescent="0.4">
      <c r="A10" s="3" t="str">
        <f>NodesData[[#This Row],[Common Name]]</f>
        <v>Access Control Mechanism</v>
      </c>
      <c r="B10" s="3" t="str">
        <f>IF(NodesData[[#This Row],[Group]]="","",NodesData[[#This Row],[Group]])</f>
        <v/>
      </c>
      <c r="C10" s="23" t="str">
        <f>NodesData[[#This Row],[Node ID]]</f>
        <v>n43F62EE6_EF98_4F57_B80F_8D93BAD953C7</v>
      </c>
      <c r="D10" s="3" t="str">
        <f>IF(NodesData[[#This Row],[URL]]="","",NodesData[[#This Row],[URL]])</f>
        <v>https://open-measure.atlassian.net/wiki/spaces/DIC/pages/67633606</v>
      </c>
      <c r="E10" s="26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1" spans="1:5" ht="13.9" thickTop="1" thickBot="1" x14ac:dyDescent="0.4">
      <c r="A11" s="3" t="str">
        <f>NodesData[[#This Row],[Common Name]]</f>
        <v>Access Control Model</v>
      </c>
      <c r="B11" s="3" t="str">
        <f>IF(NodesData[[#This Row],[Group]]="","",NodesData[[#This Row],[Group]])</f>
        <v/>
      </c>
      <c r="C11" s="23" t="str">
        <f>NodesData[[#This Row],[Node ID]]</f>
        <v>nA82E8086_80AC_481F_9FE9_6158EBAA5FD4</v>
      </c>
      <c r="D11" s="3" t="str">
        <f>IF(NodesData[[#This Row],[URL]]="","",NodesData[[#This Row],[URL]])</f>
        <v>https://open-measure.atlassian.net/wiki/spaces/DIC/pages/67699193</v>
      </c>
      <c r="E11" s="26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2" spans="1:5" ht="13.9" thickTop="1" thickBot="1" x14ac:dyDescent="0.4">
      <c r="A12" s="3" t="str">
        <f>NodesData[[#This Row],[Common Name]]</f>
        <v>Access Control Policy</v>
      </c>
      <c r="B12" s="3" t="str">
        <f>IF(NodesData[[#This Row],[Group]]="","",NodesData[[#This Row],[Group]])</f>
        <v/>
      </c>
      <c r="C12" s="23" t="str">
        <f>NodesData[[#This Row],[Node ID]]</f>
        <v>n8FC24F45_A985_41A5_AD50_B3DB59F8F1CB</v>
      </c>
      <c r="D12" s="3" t="str">
        <f>IF(NodesData[[#This Row],[URL]]="","",NodesData[[#This Row],[URL]])</f>
        <v>https://open-measure.atlassian.net/wiki/spaces/DIC/pages/67633597</v>
      </c>
      <c r="E12" s="26" t="str" cm="1">
        <f t="array" ref="E12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3" spans="1:5" ht="13.9" thickTop="1" thickBot="1" x14ac:dyDescent="0.4">
      <c r="A13" s="3" t="str">
        <f>NodesData[[#This Row],[Common Name]]</f>
        <v>Access Granularity</v>
      </c>
      <c r="B13" s="3" t="str">
        <f>IF(NodesData[[#This Row],[Group]]="","",NodesData[[#This Row],[Group]])</f>
        <v/>
      </c>
      <c r="C13" s="23" t="str">
        <f>NodesData[[#This Row],[Node ID]]</f>
        <v>n497BAD86_FE0D_4D81_BE05_AA9EEB93B4EC</v>
      </c>
      <c r="D13" s="3" t="str">
        <f>IF(NodesData[[#This Row],[URL]]="","",NodesData[[#This Row],[URL]])</f>
        <v>https://open-measure.atlassian.net/wiki/spaces/DIC/pages/1006632974</v>
      </c>
      <c r="E13" s="26" t="str" cm="1">
        <f t="array" ref="E13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4" spans="1:5" ht="13.9" thickTop="1" thickBot="1" x14ac:dyDescent="0.4">
      <c r="A14" s="3" t="str">
        <f>NodesData[[#This Row],[Common Name]]</f>
        <v>Access Privilege</v>
      </c>
      <c r="B14" s="3" t="str">
        <f>IF(NodesData[[#This Row],[Group]]="","",NodesData[[#This Row],[Group]])</f>
        <v/>
      </c>
      <c r="C14" s="23" t="str">
        <f>NodesData[[#This Row],[Node ID]]</f>
        <v>n4A503F49_7D20_4B79_832C_C1F952C6FE7A</v>
      </c>
      <c r="D14" s="3" t="str">
        <f>IF(NodesData[[#This Row],[URL]]="","",NodesData[[#This Row],[URL]])</f>
        <v>https://open-measure.atlassian.net/wiki/spaces/DIC/pages/1122631723</v>
      </c>
      <c r="E14" s="26" t="str" cm="1">
        <f t="array" ref="E14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5" spans="1:5" ht="13.9" thickTop="1" thickBot="1" x14ac:dyDescent="0.4">
      <c r="A15" s="3" t="str">
        <f>NodesData[[#This Row],[Common Name]]</f>
        <v>Access Right</v>
      </c>
      <c r="B15" s="3" t="str">
        <f>IF(NodesData[[#This Row],[Group]]="","",NodesData[[#This Row],[Group]])</f>
        <v/>
      </c>
      <c r="C15" s="23" t="str">
        <f>NodesData[[#This Row],[Node ID]]</f>
        <v>n1A9106FF_36C5_478C_9A0E_FF5F93C55D1F</v>
      </c>
      <c r="D15" s="3" t="str">
        <f>IF(NodesData[[#This Row],[URL]]="","",NodesData[[#This Row],[URL]])</f>
        <v>https://open-measure.atlassian.net/wiki/spaces/DIC/pages/1122599013</v>
      </c>
      <c r="E15" s="26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6" spans="1:5" ht="13.9" thickTop="1" thickBot="1" x14ac:dyDescent="0.4">
      <c r="A16" s="3" t="str">
        <f>NodesData[[#This Row],[Common Name]]</f>
        <v>Access Rights Management</v>
      </c>
      <c r="B16" s="3" t="str">
        <f>IF(NodesData[[#This Row],[Group]]="","",NodesData[[#This Row],[Group]])</f>
        <v/>
      </c>
      <c r="C16" s="23" t="str">
        <f>NodesData[[#This Row],[Node ID]]</f>
        <v>nE49F9EAF_3DC5_47FA_9722_CDE0190EAD09</v>
      </c>
      <c r="D16" s="3" t="str">
        <f>IF(NodesData[[#This Row],[URL]]="","",NodesData[[#This Row],[URL]])</f>
        <v>https://open-measure.atlassian.net/wiki/spaces/DIC/pages/1704003</v>
      </c>
      <c r="E16" s="26" t="str" cm="1">
        <f t="array" ref="E16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7" spans="1:5" ht="13.9" thickTop="1" thickBot="1" x14ac:dyDescent="0.4">
      <c r="A17" s="3" t="str">
        <f>NodesData[[#This Row],[Common Name]]</f>
        <v>Access Token</v>
      </c>
      <c r="B17" s="3" t="str">
        <f>IF(NodesData[[#This Row],[Group]]="","",NodesData[[#This Row],[Group]])</f>
        <v/>
      </c>
      <c r="C17" s="23" t="str">
        <f>NodesData[[#This Row],[Node ID]]</f>
        <v>nAB8CC74A_69EA_4A1D_A0BB_7FA855D1CD4C</v>
      </c>
      <c r="D17" s="3" t="str">
        <f>IF(NodesData[[#This Row],[URL]]="","",NodesData[[#This Row],[URL]])</f>
        <v>https://open-measure.atlassian.net/wiki/spaces/DIC/pages/1600684040/Access+Token</v>
      </c>
      <c r="E17" s="26" t="str" cm="1">
        <f t="array" ref="E17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8" spans="1:5" ht="13.9" thickTop="1" thickBot="1" x14ac:dyDescent="0.4">
      <c r="A18" s="3" t="str">
        <f>NodesData[[#This Row],[Common Name]]</f>
        <v>Account</v>
      </c>
      <c r="B18" s="3" t="str">
        <f>IF(NodesData[[#This Row],[Group]]="","",NodesData[[#This Row],[Group]])</f>
        <v/>
      </c>
      <c r="C18" s="23" t="str">
        <f>NodesData[[#This Row],[Node ID]]</f>
        <v>n60E574D8_853F_46D9_A1FB_433B2771BF75</v>
      </c>
      <c r="D18" s="3" t="str">
        <f>IF(NodesData[[#This Row],[URL]]="","",NodesData[[#This Row],[URL]])</f>
        <v>https://open-measure.atlassian.net/wiki/spaces/DIC/pages/461308120/Account</v>
      </c>
      <c r="E18" s="26" t="str" cm="1">
        <f t="array" ref="E18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9" spans="1:5" ht="13.9" thickTop="1" thickBot="1" x14ac:dyDescent="0.4">
      <c r="A19" s="3" t="str">
        <f>NodesData[[#This Row],[Common Name]]</f>
        <v>Account Lockout Policy</v>
      </c>
      <c r="B19" s="3" t="str">
        <f>IF(NodesData[[#This Row],[Group]]="","",NodesData[[#This Row],[Group]])</f>
        <v/>
      </c>
      <c r="C19" s="23" t="str">
        <f>NodesData[[#This Row],[Node ID]]</f>
        <v>n6CB6D4CB_AB42_4B54_8FC3_DD4C4D6C2B3E</v>
      </c>
      <c r="D19" s="3" t="str">
        <f>IF(NodesData[[#This Row],[URL]]="","",NodesData[[#This Row],[URL]])</f>
        <v>https://open-measure.atlassian.net/wiki/spaces/DIC/pages/67699360</v>
      </c>
      <c r="E19" s="26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20" spans="1:5" ht="13.9" thickTop="1" thickBot="1" x14ac:dyDescent="0.4">
      <c r="A20" s="3" t="str">
        <f>NodesData[[#This Row],[Common Name]]</f>
        <v>Account Management</v>
      </c>
      <c r="B20" s="3" t="str">
        <f>IF(NodesData[[#This Row],[Group]]="","",NodesData[[#This Row],[Group]])</f>
        <v/>
      </c>
      <c r="C20" s="23" t="str">
        <f>NodesData[[#This Row],[Node ID]]</f>
        <v>nF83276D7_E44A_4A0B_A465_28B40B846C1C</v>
      </c>
      <c r="D20" s="3" t="str">
        <f>IF(NodesData[[#This Row],[URL]]="","",NodesData[[#This Row],[URL]])</f>
        <v>https://open-measure.atlassian.net/wiki/spaces/DIC/pages/1146847331</v>
      </c>
      <c r="E20" s="26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1" spans="1:5" ht="13.9" thickTop="1" thickBot="1" x14ac:dyDescent="0.4">
      <c r="A21" s="3" t="str">
        <f>NodesData[[#This Row],[Common Name]]</f>
        <v>Account Takeover</v>
      </c>
      <c r="B21" s="3" t="str">
        <f>IF(NodesData[[#This Row],[Group]]="","",NodesData[[#This Row],[Group]])</f>
        <v>Account Takeover</v>
      </c>
      <c r="C21" s="23" t="str">
        <f>NodesData[[#This Row],[Node ID]]</f>
        <v>nE9C9661B_8C28_413E_A8E3_A720E03C04B7</v>
      </c>
      <c r="D21" s="3" t="str">
        <f>IF(NodesData[[#This Row],[URL]]="","",NodesData[[#This Row],[URL]])</f>
        <v>https://open-measure.atlassian.net/wiki/spaces/DIC/pages/1079050286/Account+Takeover</v>
      </c>
      <c r="E21" s="26" t="str" cm="1">
        <f t="array" ref="E21">IF(ROW(NodesJSON[[#This Row],[label]])&gt;ROW(NodesJSON[[#Headers],[JSON]])+1,",","") &amp;"{"&amp;twoRangesToJSON(NodesJSON[[#Headers],[label]:[url]],NodesJSON[[#This Row],[label]:[url]])&amp;"}"</f>
        <v>,{"label":"Account Takeover","group":"Account Takeover","id":"nE9C9661B_8C28_413E_A8E3_A720E03C04B7","url":"https://open-measure.atlassian.net/wiki/spaces/DIC/pages/1079050286/Account+Takeover"}</v>
      </c>
    </row>
    <row r="22" spans="1:5" ht="13.9" thickTop="1" thickBot="1" x14ac:dyDescent="0.4">
      <c r="A22" s="3" t="str">
        <f>NodesData[[#This Row],[Common Name]]</f>
        <v>Perpetrator</v>
      </c>
      <c r="B22" s="3" t="str">
        <f>IF(NodesData[[#This Row],[Group]]="","",NodesData[[#This Row],[Group]])</f>
        <v>Account Takeover</v>
      </c>
      <c r="C22" s="23" t="str">
        <f>NodesData[[#This Row],[Node ID]]</f>
        <v>n02B81E29_1266_4611_897E_FD90C5DD5788</v>
      </c>
      <c r="D22" s="3" t="str">
        <f>IF(NodesData[[#This Row],[URL]]="","",NodesData[[#This Row],[URL]])</f>
        <v/>
      </c>
      <c r="E22" s="26" t="str" cm="1">
        <f t="array" ref="E22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3" spans="1:5" ht="13.9" thickTop="1" thickBot="1" x14ac:dyDescent="0.4">
      <c r="A23" s="3" t="str">
        <f>NodesData[[#This Row],[Common Name]]</f>
        <v>Motivations</v>
      </c>
      <c r="B23" s="3" t="str">
        <f>IF(NodesData[[#This Row],[Group]]="","",NodesData[[#This Row],[Group]])</f>
        <v>Account Takeover</v>
      </c>
      <c r="C23" s="23" t="str">
        <f>NodesData[[#This Row],[Node ID]]</f>
        <v>n92868AF7_93B9_4EAD_AD7C_0A5965022A7E</v>
      </c>
      <c r="D23" s="3" t="str">
        <f>IF(NodesData[[#This Row],[URL]]="","",NodesData[[#This Row],[URL]])</f>
        <v/>
      </c>
      <c r="E23" s="26" t="str" cm="1">
        <f t="array" ref="E23">IF(ROW(NodesJSON[[#This Row],[label]])&gt;ROW(NodesJSON[[#Headers],[JSON]])+1,",","") &amp;"{"&amp;twoRangesToJSON(NodesJSON[[#Headers],[label]:[url]],NodesJSON[[#This Row],[label]:[url]])&amp;"}"</f>
        <v>,{"label":"Motivations","group":"Account Takeover","id":"n92868AF7_93B9_4EAD_AD7C_0A5965022A7E","url":""}</v>
      </c>
    </row>
    <row r="24" spans="1:5" ht="13.9" thickTop="1" thickBot="1" x14ac:dyDescent="0.4">
      <c r="A24" s="3" t="str">
        <f>NodesData[[#This Row],[Common Name]]</f>
        <v>Victim</v>
      </c>
      <c r="B24" s="3" t="str">
        <f>IF(NodesData[[#This Row],[Group]]="","",NodesData[[#This Row],[Group]])</f>
        <v>Account Takeover</v>
      </c>
      <c r="C24" s="23" t="str">
        <f>NodesData[[#This Row],[Node ID]]</f>
        <v>n89FBB4A6_DF18_465F_9DA3_BD367759F09E</v>
      </c>
      <c r="D24" s="3" t="str">
        <f>IF(NodesData[[#This Row],[URL]]="","",NodesData[[#This Row],[URL]])</f>
        <v/>
      </c>
      <c r="E24" s="26" t="str" cm="1">
        <f t="array" ref="E24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5" spans="1:5" ht="13.9" thickTop="1" thickBot="1" x14ac:dyDescent="0.4">
      <c r="A25" s="3" t="str">
        <f>NodesData[[#This Row],[Common Name]]</f>
        <v>Accountability</v>
      </c>
      <c r="B25" s="3" t="str">
        <f>IF(NodesData[[#This Row],[Group]]="","",NodesData[[#This Row],[Group]])</f>
        <v/>
      </c>
      <c r="C25" s="23" t="str">
        <f>NodesData[[#This Row],[Node ID]]</f>
        <v>nE5052478_9D1A_4E9E_BA4E_FF57B8D216EC</v>
      </c>
      <c r="D25" s="3" t="str">
        <f>IF(NodesData[[#This Row],[URL]]="","",NodesData[[#This Row],[URL]])</f>
        <v>https://open-measure.atlassian.net/wiki/spaces/DIC/pages/425623718</v>
      </c>
      <c r="E25" s="26" t="str" cm="1">
        <f t="array" ref="E25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6" spans="1:5" ht="13.9" thickTop="1" thickBot="1" x14ac:dyDescent="0.4">
      <c r="A26" s="3" t="str">
        <f>NodesData[[#This Row],[Common Name]]</f>
        <v>Accreditation</v>
      </c>
      <c r="B26" s="3" t="str">
        <f>IF(NodesData[[#This Row],[Group]]="","",NodesData[[#This Row],[Group]])</f>
        <v/>
      </c>
      <c r="C26" s="23" t="str">
        <f>NodesData[[#This Row],[Node ID]]</f>
        <v>nFF744E9A_218E_4CDD_98E9_D977BAE7E561</v>
      </c>
      <c r="D26" s="3" t="str">
        <f>IF(NodesData[[#This Row],[URL]]="","",NodesData[[#This Row],[URL]])</f>
        <v>https://open-measure.atlassian.net/wiki/spaces/DIC/pages/446955580</v>
      </c>
      <c r="E26" s="26" t="str" cm="1">
        <f t="array" ref="E26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27" spans="1:5" ht="13.9" thickTop="1" thickBot="1" x14ac:dyDescent="0.4">
      <c r="A27" s="3" t="str">
        <f>NodesData[[#This Row],[Common Name]]</f>
        <v>Active Impersonation Attack</v>
      </c>
      <c r="B27" s="3" t="str">
        <f>IF(NodesData[[#This Row],[Group]]="","",NodesData[[#This Row],[Group]])</f>
        <v/>
      </c>
      <c r="C27" s="23" t="str">
        <f>NodesData[[#This Row],[Node ID]]</f>
        <v>nCCFA1605_394C_4A41_9411_016EBBD1F932</v>
      </c>
      <c r="D27" s="3" t="str">
        <f>IF(NodesData[[#This Row],[URL]]="","",NodesData[[#This Row],[URL]])</f>
        <v>https://open-measure.atlassian.net/wiki/spaces/DIC/pages/974454812</v>
      </c>
      <c r="E27" s="26" t="str" cm="1">
        <f t="array" ref="E27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28" spans="1:5" ht="13.9" thickTop="1" thickBot="1" x14ac:dyDescent="0.4">
      <c r="A28" s="3" t="str">
        <f>NodesData[[#This Row],[Common Name]]</f>
        <v>AP</v>
      </c>
      <c r="B28" s="3" t="str">
        <f>IF(NodesData[[#This Row],[Group]]="","",NodesData[[#This Row],[Group]])</f>
        <v/>
      </c>
      <c r="C28" s="23" t="str">
        <f>NodesData[[#This Row],[Node ID]]</f>
        <v>nE25E9786_BF32_4FF9_AD96_CA6093825D81</v>
      </c>
      <c r="D28" s="3" t="str">
        <f>IF(NodesData[[#This Row],[URL]]="","",NodesData[[#This Row],[URL]])</f>
        <v>https://open-measure.atlassian.net/wiki/spaces/DIC/pages/81101665/AP</v>
      </c>
      <c r="E28" s="26" t="str" cm="1">
        <f t="array" ref="E28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29" spans="1:5" ht="13.9" thickTop="1" thickBot="1" x14ac:dyDescent="0.4">
      <c r="A29" s="3" t="str">
        <f>NodesData[[#This Row],[Common Name]]</f>
        <v>Applicant</v>
      </c>
      <c r="B29" s="3" t="str">
        <f>IF(NodesData[[#This Row],[Group]]="","",NodesData[[#This Row],[Group]])</f>
        <v/>
      </c>
      <c r="C29" s="23" t="str">
        <f>NodesData[[#This Row],[Node ID]]</f>
        <v>n84B52A55_528C_4D8E_AC41_6975F8BB6772</v>
      </c>
      <c r="D29" s="3" t="str">
        <f>IF(NodesData[[#This Row],[URL]]="","",NodesData[[#This Row],[URL]])</f>
        <v>https://open-measure.atlassian.net/wiki/spaces/DIC/pages/848625750</v>
      </c>
      <c r="E29" s="26" t="str" cm="1">
        <f t="array" ref="E29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0" spans="1:5" ht="13.9" thickTop="1" thickBot="1" x14ac:dyDescent="0.4">
      <c r="A30" s="3" t="str">
        <f>NodesData[[#This Row],[Common Name]]</f>
        <v>Application</v>
      </c>
      <c r="B30" s="3" t="str">
        <f>IF(NodesData[[#This Row],[Group]]="","",NodesData[[#This Row],[Group]])</f>
        <v/>
      </c>
      <c r="C30" s="23" t="str">
        <f>NodesData[[#This Row],[Node ID]]</f>
        <v>n72B6719C_C19A_4205_B703_0239826216C6</v>
      </c>
      <c r="D30" s="3" t="str">
        <f>IF(NodesData[[#This Row],[URL]]="","",NodesData[[#This Row],[URL]])</f>
        <v>https://open-measure.atlassian.net/wiki/spaces/DIC/pages/5965602/Application</v>
      </c>
      <c r="E30" s="26" t="str" cm="1">
        <f t="array" ref="E30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1" spans="1:5" ht="13.9" thickTop="1" thickBot="1" x14ac:dyDescent="0.4">
      <c r="A31" s="3" t="str">
        <f>NodesData[[#This Row],[Common Name]]</f>
        <v>Application Administrator</v>
      </c>
      <c r="B31" s="3" t="str">
        <f>IF(NodesData[[#This Row],[Group]]="","",NodesData[[#This Row],[Group]])</f>
        <v/>
      </c>
      <c r="C31" s="23" t="str">
        <f>NodesData[[#This Row],[Node ID]]</f>
        <v>nC98FF4A8_B8CF_4F33_A0F7_9002E0B55993</v>
      </c>
      <c r="D31" s="3" t="str">
        <f>IF(NodesData[[#This Row],[URL]]="","",NodesData[[#This Row],[URL]])</f>
        <v>https://open-measure.atlassian.net/wiki/spaces/DIC/pages/274236090</v>
      </c>
      <c r="E31" s="26" t="str" cm="1">
        <f t="array" ref="E31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2" spans="1:5" ht="13.9" thickTop="1" thickBot="1" x14ac:dyDescent="0.4">
      <c r="A32" s="3" t="str">
        <f>NodesData[[#This Row],[Common Name]]</f>
        <v>Application Instance</v>
      </c>
      <c r="B32" s="3" t="str">
        <f>IF(NodesData[[#This Row],[Group]]="","",NodesData[[#This Row],[Group]])</f>
        <v/>
      </c>
      <c r="C32" s="23" t="str">
        <f>NodesData[[#This Row],[Node ID]]</f>
        <v>n330A99D3_39A5_4757_967F_1E72BB400D93</v>
      </c>
      <c r="D32" s="3" t="str">
        <f>IF(NodesData[[#This Row],[URL]]="","",NodesData[[#This Row],[URL]])</f>
        <v>https://open-measure.atlassian.net/wiki/spaces/DIC/pages/834044036</v>
      </c>
      <c r="E32" s="26" t="str" cm="1">
        <f t="array" ref="E32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3" spans="1:5" ht="13.9" thickTop="1" thickBot="1" x14ac:dyDescent="0.4">
      <c r="A33" s="3" t="str">
        <f>NodesData[[#This Row],[Common Name]]</f>
        <v>Application Multiplexing</v>
      </c>
      <c r="B33" s="3" t="str">
        <f>IF(NodesData[[#This Row],[Group]]="","",NodesData[[#This Row],[Group]])</f>
        <v/>
      </c>
      <c r="C33" s="23" t="str">
        <f>NodesData[[#This Row],[Node ID]]</f>
        <v>nD6A8B379_9D4E_4112_B9E5_B4588BCB49D9</v>
      </c>
      <c r="D33" s="3" t="str">
        <f>IF(NodesData[[#This Row],[URL]]="","",NodesData[[#This Row],[URL]])</f>
        <v>https://open-measure.atlassian.net/wiki/spaces/DIC/pages/1658355721/Application+Multiplexing</v>
      </c>
      <c r="E33" s="26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4" spans="1:5" ht="13.9" thickTop="1" thickBot="1" x14ac:dyDescent="0.4">
      <c r="A34" s="3" t="str">
        <f>NodesData[[#This Row],[Common Name]]</f>
        <v>Application Package</v>
      </c>
      <c r="B34" s="3" t="str">
        <f>IF(NodesData[[#This Row],[Group]]="","",NodesData[[#This Row],[Group]])</f>
        <v/>
      </c>
      <c r="C34" s="23" t="str">
        <f>NodesData[[#This Row],[Node ID]]</f>
        <v>nBF754068_D51A_4AC8_A362_C61F502C1D0B</v>
      </c>
      <c r="D34" s="3" t="str">
        <f>IF(NodesData[[#This Row],[URL]]="","",NodesData[[#This Row],[URL]])</f>
        <v>https://open-measure.atlassian.net/wiki/spaces/DIC/pages/5932704</v>
      </c>
      <c r="E34" s="26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5" spans="1:5" ht="13.9" thickTop="1" thickBot="1" x14ac:dyDescent="0.4">
      <c r="A35" s="3" t="str">
        <f>NodesData[[#This Row],[Common Name]]</f>
        <v>Application Program</v>
      </c>
      <c r="B35" s="3" t="str">
        <f>IF(NodesData[[#This Row],[Group]]="","",NodesData[[#This Row],[Group]])</f>
        <v/>
      </c>
      <c r="C35" s="23" t="str">
        <f>NodesData[[#This Row],[Node ID]]</f>
        <v>n53981EC2_9DED_4349_BC86_E5D6093333ED</v>
      </c>
      <c r="D35" s="3" t="str">
        <f>IF(NodesData[[#This Row],[URL]]="","",NodesData[[#This Row],[URL]])</f>
        <v>https://open-measure.atlassian.net/wiki/spaces/DIC/pages/6030793/Application+Program</v>
      </c>
      <c r="E35" s="26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6" spans="1:5" ht="13.9" thickTop="1" thickBot="1" x14ac:dyDescent="0.4">
      <c r="A36" s="3" t="str">
        <f>NodesData[[#This Row],[Common Name]]</f>
        <v>Application-Level Policy</v>
      </c>
      <c r="B36" s="3" t="str">
        <f>IF(NodesData[[#This Row],[Group]]="","",NodesData[[#This Row],[Group]])</f>
        <v/>
      </c>
      <c r="C36" s="23" t="str">
        <f>NodesData[[#This Row],[Node ID]]</f>
        <v>n8511EC23_ED3A_42D2_86FC_40B1D3E32F2D</v>
      </c>
      <c r="D36" s="3" t="str">
        <f>IF(NodesData[[#This Row],[URL]]="","",NodesData[[#This Row],[URL]])</f>
        <v>https://open-measure.atlassian.net/wiki/spaces/DIC/pages/1122631854</v>
      </c>
      <c r="E36" s="26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37" spans="1:5" ht="13.9" thickTop="1" thickBot="1" x14ac:dyDescent="0.4">
      <c r="A37" s="3" t="str">
        <f>NodesData[[#This Row],[Common Name]]</f>
        <v>Archive</v>
      </c>
      <c r="B37" s="3" t="str">
        <f>IF(NodesData[[#This Row],[Group]]="","",NodesData[[#This Row],[Group]])</f>
        <v/>
      </c>
      <c r="C37" s="23" t="str">
        <f>NodesData[[#This Row],[Node ID]]</f>
        <v>n1FB40DB9_D8D0_4978_BD01_879C77DE04A8</v>
      </c>
      <c r="D37" s="3" t="str">
        <f>IF(NodesData[[#This Row],[URL]]="","",NodesData[[#This Row],[URL]])</f>
        <v>https://open-measure.atlassian.net/wiki/spaces/DIC/pages/425197720</v>
      </c>
      <c r="E37" s="26" t="str" cm="1">
        <f t="array" ref="E37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38" spans="1:5" ht="13.9" thickTop="1" thickBot="1" x14ac:dyDescent="0.4">
      <c r="A38" s="3" t="str">
        <f>NodesData[[#This Row],[Common Name]]</f>
        <v>ARM</v>
      </c>
      <c r="B38" s="3" t="str">
        <f>IF(NodesData[[#This Row],[Group]]="","",NodesData[[#This Row],[Group]])</f>
        <v/>
      </c>
      <c r="C38" s="23" t="str">
        <f>NodesData[[#This Row],[Node ID]]</f>
        <v>nB3F90AFA_FC46_4122_9901_4FF284E9E7EC</v>
      </c>
      <c r="D38" s="3" t="str">
        <f>IF(NodesData[[#This Row],[URL]]="","",NodesData[[#This Row],[URL]])</f>
        <v>https://open-measure.atlassian.net/wiki/spaces/DIC/pages/1703994/ARM</v>
      </c>
      <c r="E38" s="26" t="str" cm="1">
        <f t="array" ref="E38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39" spans="1:5" ht="13.9" thickTop="1" thickBot="1" x14ac:dyDescent="0.4">
      <c r="A39" s="3" t="str">
        <f>NodesData[[#This Row],[Common Name]]</f>
        <v>Asset Custody</v>
      </c>
      <c r="B39" s="3" t="str">
        <f>IF(NodesData[[#This Row],[Group]]="","",NodesData[[#This Row],[Group]])</f>
        <v/>
      </c>
      <c r="C39" s="23" t="str">
        <f>NodesData[[#This Row],[Node ID]]</f>
        <v>n941163ED_640B_408A_8AEE_A41839EAB169</v>
      </c>
      <c r="D39" s="3" t="str">
        <f>IF(NodesData[[#This Row],[URL]]="","",NodesData[[#This Row],[URL]])</f>
        <v>https://open-measure.atlassian.net/wiki/spaces/DIC/pages/1094516867</v>
      </c>
      <c r="E39" s="26" t="str" cm="1">
        <f t="array" ref="E39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Custody","group":"","id":"n941163ED_640B_408A_8AEE_A41839EAB169","url":"https://open-measure.atlassian.net/wiki/spaces/DIC/pages/1094516867"}</v>
      </c>
    </row>
    <row r="40" spans="1:5" ht="13.9" thickTop="1" thickBot="1" x14ac:dyDescent="0.4">
      <c r="A40" s="3" t="str">
        <f>NodesData[[#This Row],[Common Name]]</f>
        <v>Attack Class</v>
      </c>
      <c r="B40" s="3" t="str">
        <f>IF(NodesData[[#This Row],[Group]]="","",NodesData[[#This Row],[Group]])</f>
        <v/>
      </c>
      <c r="C40" s="23" t="str">
        <f>NodesData[[#This Row],[Node ID]]</f>
        <v>nBC613B66_5F94_4F48_91BD_5F6BBA766E79</v>
      </c>
      <c r="D40" s="3" t="str">
        <f>IF(NodesData[[#This Row],[URL]]="","",NodesData[[#This Row],[URL]])</f>
        <v/>
      </c>
      <c r="E40" s="26" t="str" cm="1">
        <f t="array" ref="E40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Class","group":"","id":"nBC613B66_5F94_4F48_91BD_5F6BBA766E79","url":""}</v>
      </c>
    </row>
    <row r="41" spans="1:5" ht="13.9" thickTop="1" thickBot="1" x14ac:dyDescent="0.4">
      <c r="A41" s="3" t="str">
        <f>NodesData[[#This Row],[Common Name]]</f>
        <v>Attestation</v>
      </c>
      <c r="B41" s="3" t="str">
        <f>IF(NodesData[[#This Row],[Group]]="","",NodesData[[#This Row],[Group]])</f>
        <v/>
      </c>
      <c r="C41" s="23" t="str">
        <f>NodesData[[#This Row],[Node ID]]</f>
        <v>n0CDD8E1B_608D_404D_AC1A_27954DBC282F</v>
      </c>
      <c r="D41" s="3" t="str">
        <f>IF(NodesData[[#This Row],[URL]]="","",NodesData[[#This Row],[URL]])</f>
        <v>https://open-measure.atlassian.net/wiki/spaces/DIC/pages/1323368851/Attestation</v>
      </c>
      <c r="E41" s="26" t="str" cm="1">
        <f t="array" ref="E41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,{"label":"Attestation","group":"","id":"n0CDD8E1B_608D_404D_AC1A_27954DBC282F","url":"https://open-measure.atlassian.net/wiki/spaces/DIC/pages/1323368851/Attestation"}</v>
      </c>
    </row>
    <row r="42" spans="1:5" ht="13.9" thickTop="1" thickBot="1" x14ac:dyDescent="0.4">
      <c r="A42" s="3" t="str">
        <f>NodesData[[#This Row],[Common Name]]</f>
        <v>Attribute</v>
      </c>
      <c r="B42" s="3" t="str">
        <f>IF(NodesData[[#This Row],[Group]]="","",NodesData[[#This Row],[Group]])</f>
        <v/>
      </c>
      <c r="C42" s="23" t="str">
        <f>NodesData[[#This Row],[Node ID]]</f>
        <v>nD0FF0291_03AE_4248_8CFC_F92543A2535F</v>
      </c>
      <c r="D42" s="8"/>
      <c r="E42" s="26" t="str" cm="1">
        <f t="array" ref="E42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,{"label":"Attribute","group":"","id":"nD0FF0291_03AE_4248_8CFC_F92543A2535F","url":""}</v>
      </c>
    </row>
    <row r="43" spans="1:5" ht="13.9" thickTop="1" thickBot="1" x14ac:dyDescent="0.4">
      <c r="A43" s="3" t="str">
        <f>NodesData[[#This Row],[Common Name]]</f>
        <v>Attribute Provider</v>
      </c>
      <c r="B43" s="3" t="str">
        <f>IF(NodesData[[#This Row],[Group]]="","",NodesData[[#This Row],[Group]])</f>
        <v/>
      </c>
      <c r="C43" s="23" t="str">
        <f>NodesData[[#This Row],[Node ID]]</f>
        <v>n818AA88B_F47E_48A3_896A_B86B61970370</v>
      </c>
      <c r="D43" s="10" t="s">
        <v>586</v>
      </c>
      <c r="E43" s="26" t="str" cm="1">
        <f t="array" ref="E43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Authenticated Users</v>
      </c>
      <c r="B44" s="3" t="str">
        <f>IF(NodesData[[#This Row],[Group]]="","",NodesData[[#This Row],[Group]])</f>
        <v/>
      </c>
      <c r="C44" s="23" t="str">
        <f>NodesData[[#This Row],[Node ID]]</f>
        <v>nF97A2FB7_CEBC_41A2_93A3_8B494BBD7EDE</v>
      </c>
      <c r="D44" s="10" t="s">
        <v>588</v>
      </c>
      <c r="E44" s="26" t="str" cm="1">
        <f t="array" ref="E44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Authentication</v>
      </c>
      <c r="B45" s="3" t="str">
        <f>IF(NodesData[[#This Row],[Group]]="","",NodesData[[#This Row],[Group]])</f>
        <v/>
      </c>
      <c r="C45" s="23" t="str">
        <f>NodesData[[#This Row],[Node ID]]</f>
        <v>n5498F625_6E3B_46CB_976C_85F3529AECDF</v>
      </c>
      <c r="D45" s="10" t="s">
        <v>590</v>
      </c>
      <c r="E45" s="26" t="str" cm="1">
        <f t="array" ref="E45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Authentication Factor</v>
      </c>
      <c r="B46" s="3" t="str">
        <f>IF(NodesData[[#This Row],[Group]]="","",NodesData[[#This Row],[Group]])</f>
        <v/>
      </c>
      <c r="C46" s="23" t="str">
        <f>NodesData[[#This Row],[Node ID]]</f>
        <v>n67C132A3_290E_4750_90DE_11E7C1778537</v>
      </c>
      <c r="D46" s="10" t="s">
        <v>593</v>
      </c>
      <c r="E46" s="26" t="str" cm="1">
        <f t="array" ref="E46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Authentication Method</v>
      </c>
      <c r="B47" s="3" t="str">
        <f>IF(NodesData[[#This Row],[Group]]="","",NodesData[[#This Row],[Group]])</f>
        <v/>
      </c>
      <c r="C47" s="23" t="str">
        <f>NodesData[[#This Row],[Node ID]]</f>
        <v>n53877DB9_77FA_44E9_974A_BE3344133398</v>
      </c>
      <c r="D47" s="10" t="s">
        <v>595</v>
      </c>
      <c r="E47" s="26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Authenticator</v>
      </c>
      <c r="B48" s="3" t="str">
        <f>IF(NodesData[[#This Row],[Group]]="","",NodesData[[#This Row],[Group]])</f>
        <v/>
      </c>
      <c r="C48" s="23" t="str">
        <f>NodesData[[#This Row],[Node ID]]</f>
        <v>n7A4D7599_F86F_4594_8B18_58AA2548C0B4</v>
      </c>
      <c r="D48" s="10" t="s">
        <v>597</v>
      </c>
      <c r="E48" s="26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Authority</v>
      </c>
      <c r="B49" s="3" t="str">
        <f>IF(NodesData[[#This Row],[Group]]="","",NodesData[[#This Row],[Group]])</f>
        <v/>
      </c>
      <c r="C49" s="23" t="str">
        <f>NodesData[[#This Row],[Node ID]]</f>
        <v>nC7C1A468_0E1F_46E1_B73A_731992ABA6D5</v>
      </c>
      <c r="D49" s="10" t="s">
        <v>599</v>
      </c>
      <c r="E49" s="26" t="str" cm="1">
        <f t="array" ref="E49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Authorization</v>
      </c>
      <c r="B50" s="3" t="str">
        <f>IF(NodesData[[#This Row],[Group]]="","",NodesData[[#This Row],[Group]])</f>
        <v/>
      </c>
      <c r="C50" s="23" t="str">
        <f>NodesData[[#This Row],[Node ID]]</f>
        <v>n88704212_4558_4B65_9E18_ACA6FB85434F</v>
      </c>
      <c r="D50" s="10" t="s">
        <v>601</v>
      </c>
      <c r="E50" s="26" t="str" cm="1">
        <f t="array" ref="E50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Authorization Externalization</v>
      </c>
      <c r="B51" s="3" t="str">
        <f>IF(NodesData[[#This Row],[Group]]="","",NodesData[[#This Row],[Group]])</f>
        <v/>
      </c>
      <c r="C51" s="23" t="str">
        <f>NodesData[[#This Row],[Node ID]]</f>
        <v>nEFD1A6B4_F1EC_40F7_985E_A79FDAFA5290</v>
      </c>
      <c r="D51" s="10" t="s">
        <v>603</v>
      </c>
      <c r="E51" s="26" t="str" cm="1">
        <f t="array" ref="E51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Awareness</v>
      </c>
      <c r="B52" s="3" t="str">
        <f>IF(NodesData[[#This Row],[Group]]="","",NodesData[[#This Row],[Group]])</f>
        <v/>
      </c>
      <c r="C52" s="23" t="str">
        <f>NodesData[[#This Row],[Node ID]]</f>
        <v>nED52833B_3CB7_4602_8F07_AAFFA537007A</v>
      </c>
      <c r="D52" s="10" t="s">
        <v>605</v>
      </c>
      <c r="E52" s="26" t="str" cm="1">
        <f t="array" ref="E52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AWS Account Root User</v>
      </c>
      <c r="B53" s="3" t="str">
        <f>IF(NodesData[[#This Row],[Group]]="","",NodesData[[#This Row],[Group]])</f>
        <v/>
      </c>
      <c r="C53" s="23" t="str">
        <f>NodesData[[#This Row],[Node ID]]</f>
        <v>n4D85EB1C_A961_426D_AEF6_EEE56E460849</v>
      </c>
      <c r="D53" s="10" t="s">
        <v>607</v>
      </c>
      <c r="E53" s="26" t="str" cm="1">
        <f t="array" ref="E53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AWS ACL</v>
      </c>
      <c r="B54" s="3" t="str">
        <f>IF(NodesData[[#This Row],[Group]]="","",NodesData[[#This Row],[Group]])</f>
        <v/>
      </c>
      <c r="C54" s="23" t="str">
        <f>NodesData[[#This Row],[Node ID]]</f>
        <v>nD9B0296D_0D3A_447A_941D_9C10A546E6EA</v>
      </c>
      <c r="D54" s="10" t="s">
        <v>609</v>
      </c>
      <c r="E54" s="26" t="str" cm="1">
        <f t="array" ref="E54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AWS IAM</v>
      </c>
      <c r="B55" s="3" t="str">
        <f>IF(NodesData[[#This Row],[Group]]="","",NodesData[[#This Row],[Group]])</f>
        <v/>
      </c>
      <c r="C55" s="23" t="str">
        <f>NodesData[[#This Row],[Node ID]]</f>
        <v>n1482D4D7_7EEE_42C9_A18A_162895B6DAD6</v>
      </c>
      <c r="D55" s="10" t="s">
        <v>611</v>
      </c>
      <c r="E55" s="26" t="str" cm="1">
        <f t="array" ref="E55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IAM Group</v>
      </c>
      <c r="B56" s="3" t="str">
        <f>IF(NodesData[[#This Row],[Group]]="","",NodesData[[#This Row],[Group]])</f>
        <v/>
      </c>
      <c r="C56" s="23" t="str">
        <f>NodesData[[#This Row],[Node ID]]</f>
        <v>nCCBCF09B_7033_4E6D_9851_D29BB7B648A6</v>
      </c>
      <c r="D56" s="10" t="s">
        <v>591</v>
      </c>
      <c r="E56" s="26" t="str" cm="1">
        <f t="array" ref="E56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IAM Policy</v>
      </c>
      <c r="B57" s="3" t="str">
        <f>IF(NodesData[[#This Row],[Group]]="","",NodesData[[#This Row],[Group]])</f>
        <v/>
      </c>
      <c r="C57" s="23" t="str">
        <f>NodesData[[#This Row],[Node ID]]</f>
        <v>n1875AE23_28E6_45EE_840E_8F1F9D6DA18E</v>
      </c>
      <c r="D57" s="10" t="s">
        <v>613</v>
      </c>
      <c r="E57" s="26" t="str" cm="1">
        <f t="array" ref="E57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 Principal</v>
      </c>
      <c r="B58" s="3" t="str">
        <f>IF(NodesData[[#This Row],[Group]]="","",NodesData[[#This Row],[Group]])</f>
        <v/>
      </c>
      <c r="C58" s="23" t="str">
        <f>NodesData[[#This Row],[Node ID]]</f>
        <v>nF9259DCB_1490_4C14_A807_E2EB6BAEBCD6</v>
      </c>
      <c r="D58" s="10" t="s">
        <v>615</v>
      </c>
      <c r="E58" s="26" t="str" cm="1">
        <f t="array" ref="E58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Role</v>
      </c>
      <c r="B59" s="3" t="str">
        <f>IF(NodesData[[#This Row],[Group]]="","",NodesData[[#This Row],[Group]])</f>
        <v/>
      </c>
      <c r="C59" s="23" t="str">
        <f>NodesData[[#This Row],[Node ID]]</f>
        <v>n1523F730_02BA_4AF6_B7DC_8FA728AB8AEA</v>
      </c>
      <c r="D59" s="4"/>
      <c r="E59" s="26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Role","group":"","id":"n1523F730_02BA_4AF6_B7DC_8FA728AB8AEA","url":""}</v>
      </c>
    </row>
    <row r="60" spans="1:5" ht="13.9" thickTop="1" thickBot="1" x14ac:dyDescent="0.4">
      <c r="A60" s="3" t="str">
        <f>NodesData[[#This Row],[Common Name]]</f>
        <v>AWS IAM Temporary Security Credentials</v>
      </c>
      <c r="B60" s="3" t="str">
        <f>IF(NodesData[[#This Row],[Group]]="","",NodesData[[#This Row],[Group]])</f>
        <v/>
      </c>
      <c r="C60" s="23" t="str">
        <f>NodesData[[#This Row],[Node ID]]</f>
        <v>nB8600109_406A_41D5_A938_F40D2ABD263D</v>
      </c>
      <c r="D60" s="10" t="s">
        <v>617</v>
      </c>
      <c r="E60" s="26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User</v>
      </c>
      <c r="B61" s="3" t="str">
        <f>IF(NodesData[[#This Row],[Group]]="","",NodesData[[#This Row],[Group]])</f>
        <v/>
      </c>
      <c r="C61" s="23" t="str">
        <f>NodesData[[#This Row],[Node ID]]</f>
        <v>n4E8EECAB_7960_4F74_8E07_F9D79BBA6BFD</v>
      </c>
      <c r="D61" s="10" t="s">
        <v>616</v>
      </c>
      <c r="E61" s="26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Back-end Authentication</v>
      </c>
      <c r="B62" s="3" t="str">
        <f>IF(NodesData[[#This Row],[Group]]="","",NodesData[[#This Row],[Group]])</f>
        <v/>
      </c>
      <c r="C62" s="23" t="str">
        <f>NodesData[[#This Row],[Node ID]]</f>
        <v>nDED8E2C9_B484_47BD_8A0C_4FC25D9ABA2F</v>
      </c>
      <c r="D62" s="10" t="s">
        <v>619</v>
      </c>
      <c r="E62" s="26" t="str" cm="1">
        <f t="array" ref="E62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BankID</v>
      </c>
      <c r="B63" s="3" t="str">
        <f>IF(NodesData[[#This Row],[Group]]="","",NodesData[[#This Row],[Group]])</f>
        <v/>
      </c>
      <c r="C63" s="23" t="str">
        <f>NodesData[[#This Row],[Node ID]]</f>
        <v>nBB7D7752_E1E7_4228_B216_44BF27C469CE</v>
      </c>
      <c r="D63" s="10" t="s">
        <v>621</v>
      </c>
      <c r="E63" s="26" t="str" cm="1">
        <f t="array" ref="E63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Basic Z Rule</v>
      </c>
      <c r="B64" s="3" t="str">
        <f>IF(NodesData[[#This Row],[Group]]="","",NodesData[[#This Row],[Group]])</f>
        <v/>
      </c>
      <c r="C64" s="23" t="str">
        <f>NodesData[[#This Row],[Node ID]]</f>
        <v>nBC4E0E05_749F_4BAA_8247_C9B39135AB8E</v>
      </c>
      <c r="D64" s="10" t="s">
        <v>623</v>
      </c>
      <c r="E64" s="26" t="str" cm="1">
        <f t="array" ref="E64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Behavioral Authentication</v>
      </c>
      <c r="B65" s="3" t="str">
        <f>IF(NodesData[[#This Row],[Group]]="","",NodesData[[#This Row],[Group]])</f>
        <v/>
      </c>
      <c r="C65" s="23" t="str">
        <f>NodesData[[#This Row],[Node ID]]</f>
        <v>n3DDE93A9_BFEF_41F6_B831_7BC6CEAF25CD</v>
      </c>
      <c r="D65" s="10" t="s">
        <v>625</v>
      </c>
      <c r="E65" s="26" t="str" cm="1">
        <f t="array" ref="E65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Bell-LaPadula Model</v>
      </c>
      <c r="B66" s="3" t="str">
        <f>IF(NodesData[[#This Row],[Group]]="","",NodesData[[#This Row],[Group]])</f>
        <v/>
      </c>
      <c r="C66" s="23" t="str">
        <f>NodesData[[#This Row],[Node ID]]</f>
        <v>n72711DB2_F0B3_4F52_A4E4_A4A5446CD2A8</v>
      </c>
      <c r="D66" s="10" t="s">
        <v>626</v>
      </c>
      <c r="E66" s="26" t="str" cm="1">
        <f t="array" ref="E66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Biometric Authentication</v>
      </c>
      <c r="B67" s="3" t="str">
        <f>IF(NodesData[[#This Row],[Group]]="","",NodesData[[#This Row],[Group]])</f>
        <v/>
      </c>
      <c r="C67" s="23" t="str">
        <f>NodesData[[#This Row],[Node ID]]</f>
        <v>n4781A6BD_729E_4392_B73C_0DA1C77F45BA</v>
      </c>
      <c r="D67" s="4"/>
      <c r="E67" s="26" t="str" cm="1">
        <f t="array" ref="E67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Authentication","group":"","id":"n4781A6BD_729E_4392_B73C_0DA1C77F45BA","url":""}</v>
      </c>
    </row>
    <row r="68" spans="1:5" ht="13.9" thickTop="1" thickBot="1" x14ac:dyDescent="0.4">
      <c r="A68" s="3" t="str">
        <f>NodesData[[#This Row],[Common Name]]</f>
        <v>Biometric Identification</v>
      </c>
      <c r="B68" s="3" t="str">
        <f>IF(NodesData[[#This Row],[Group]]="","",NodesData[[#This Row],[Group]])</f>
        <v/>
      </c>
      <c r="C68" s="23" t="str">
        <f>NodesData[[#This Row],[Node ID]]</f>
        <v>nAC688165_B606_4D82_A016_0263D701EDF2</v>
      </c>
      <c r="D68" s="10" t="s">
        <v>628</v>
      </c>
      <c r="E68" s="26" t="str" cm="1">
        <f t="array" ref="E68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Biometrics</v>
      </c>
      <c r="B69" s="3" t="str">
        <f>IF(NodesData[[#This Row],[Group]]="","",NodesData[[#This Row],[Group]])</f>
        <v/>
      </c>
      <c r="C69" s="23" t="str">
        <f>NodesData[[#This Row],[Node ID]]</f>
        <v>n58FC3163_C98D_45E6_8BD3_405AF26CA056</v>
      </c>
      <c r="D69" s="10" t="s">
        <v>629</v>
      </c>
      <c r="E69" s="26" t="str" cm="1">
        <f t="array" ref="E69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Birth Certificate</v>
      </c>
      <c r="B70" s="3" t="str">
        <f>IF(NodesData[[#This Row],[Group]]="","",NodesData[[#This Row],[Group]])</f>
        <v/>
      </c>
      <c r="C70" s="23" t="str">
        <f>NodesData[[#This Row],[Node ID]]</f>
        <v>n5E88C9AF_9919_47E5_AC97_3C0F882D8992</v>
      </c>
      <c r="D70" s="10" t="s">
        <v>631</v>
      </c>
      <c r="E70" s="26" t="str" cm="1">
        <f t="array" ref="E70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Blast Radius</v>
      </c>
      <c r="B71" s="3" t="str">
        <f>IF(NodesData[[#This Row],[Group]]="","",NodesData[[#This Row],[Group]])</f>
        <v/>
      </c>
      <c r="C71" s="23" t="str">
        <f>NodesData[[#This Row],[Node ID]]</f>
        <v>n242739C9_E8F8_40EF_98D0_C57F8BD3A408</v>
      </c>
      <c r="D71" s="10" t="s">
        <v>632</v>
      </c>
      <c r="E71" s="26" t="str" cm="1">
        <f t="array" ref="E71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Boundary Control</v>
      </c>
      <c r="B72" s="3" t="str">
        <f>IF(NodesData[[#This Row],[Group]]="","",NodesData[[#This Row],[Group]])</f>
        <v/>
      </c>
      <c r="C72" s="23" t="str">
        <f>NodesData[[#This Row],[Node ID]]</f>
        <v>n8B61F4C7_8FA2_43DC_B58C_AB2C5C0A8877</v>
      </c>
      <c r="D72" s="10" t="s">
        <v>633</v>
      </c>
      <c r="E72" s="26" t="str" cm="1">
        <f t="array" ref="E72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Brainwaves Authentication</v>
      </c>
      <c r="B73" s="3" t="str">
        <f>IF(NodesData[[#This Row],[Group]]="","",NodesData[[#This Row],[Group]])</f>
        <v/>
      </c>
      <c r="C73" s="23" t="str">
        <f>NodesData[[#This Row],[Node ID]]</f>
        <v>n45A95ED6_6BE9_42DC_8F8E_4940542AA763</v>
      </c>
      <c r="D73" s="10" t="s">
        <v>634</v>
      </c>
      <c r="E73" s="26" t="str" cm="1">
        <f t="array" ref="E73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Broker</v>
      </c>
      <c r="B74" s="3" t="str">
        <f>IF(NodesData[[#This Row],[Group]]="","",NodesData[[#This Row],[Group]])</f>
        <v/>
      </c>
      <c r="C74" s="23" t="str">
        <f>NodesData[[#This Row],[Node ID]]</f>
        <v>nFEE07D8B_E1AA_4F0C_A615_463A81456806</v>
      </c>
      <c r="D74" s="10" t="s">
        <v>636</v>
      </c>
      <c r="E74" s="26" t="str" cm="1">
        <f t="array" ref="E74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Brute Force Attack</v>
      </c>
      <c r="B75" s="3" t="str">
        <f>IF(NodesData[[#This Row],[Group]]="","",NodesData[[#This Row],[Group]])</f>
        <v/>
      </c>
      <c r="C75" s="23" t="str">
        <f>NodesData[[#This Row],[Node ID]]</f>
        <v>n24D85D8A_2BBF_487D_999E_F0E1E9711A44</v>
      </c>
      <c r="D75" s="4"/>
      <c r="E75" s="26" t="str" cm="1">
        <f t="array" ref="E75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Attack","group":"","id":"n24D85D8A_2BBF_487D_999E_F0E1E9711A44","url":""}</v>
      </c>
    </row>
    <row r="76" spans="1:5" ht="13.9" thickTop="1" thickBot="1" x14ac:dyDescent="0.4">
      <c r="A76" s="3" t="str">
        <f>NodesData[[#This Row],[Common Name]]</f>
        <v>Built-in</v>
      </c>
      <c r="B76" s="3" t="str">
        <f>IF(NodesData[[#This Row],[Group]]="","",NodesData[[#This Row],[Group]])</f>
        <v/>
      </c>
      <c r="C76" s="23" t="str">
        <f>NodesData[[#This Row],[Node ID]]</f>
        <v>n99E2345A_FF0B_4044_A4E5_0D26498BF352</v>
      </c>
      <c r="D76" s="10" t="s">
        <v>638</v>
      </c>
      <c r="E76" s="26" t="str" cm="1">
        <f t="array" ref="E76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BZR</v>
      </c>
      <c r="B77" s="3" t="str">
        <f>IF(NodesData[[#This Row],[Group]]="","",NodesData[[#This Row],[Group]])</f>
        <v/>
      </c>
      <c r="C77" s="23" t="str">
        <f>NodesData[[#This Row],[Node ID]]</f>
        <v>nB340D7B3_A560_4CAB_8C9A_4A7ECB00C604</v>
      </c>
      <c r="D77" s="10" t="s">
        <v>639</v>
      </c>
      <c r="E77" s="26" t="str" cm="1">
        <f t="array" ref="E77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Cached Credential</v>
      </c>
      <c r="B78" s="3" t="str">
        <f>IF(NodesData[[#This Row],[Group]]="","",NodesData[[#This Row],[Group]])</f>
        <v/>
      </c>
      <c r="C78" s="23" t="str">
        <f>NodesData[[#This Row],[Node ID]]</f>
        <v>n2A6F0314_872D_4E0E_A944_F17EF346E29C</v>
      </c>
      <c r="D78" s="10" t="s">
        <v>640</v>
      </c>
      <c r="E78" s="26" t="str" cm="1">
        <f t="array" ref="E78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Capability to store information</v>
      </c>
      <c r="B79" s="3" t="str">
        <f>IF(NodesData[[#This Row],[Group]]="","",NodesData[[#This Row],[Group]])</f>
        <v/>
      </c>
      <c r="C79" s="23" t="str">
        <f>NodesData[[#This Row],[Node ID]]</f>
        <v>nFB32F479_4EF7_409C_900B_EE48AA0DE846</v>
      </c>
      <c r="D79" s="10" t="s">
        <v>641</v>
      </c>
      <c r="E79" s="26" t="str" cm="1">
        <f t="array" ref="E79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Capability to transform information</v>
      </c>
      <c r="B80" s="3" t="str">
        <f>IF(NodesData[[#This Row],[Group]]="","",NodesData[[#This Row],[Group]])</f>
        <v/>
      </c>
      <c r="C80" s="23" t="str">
        <f>NodesData[[#This Row],[Node ID]]</f>
        <v>nFA6C8A63_7071_4E20_BB02_F78403869E0B</v>
      </c>
      <c r="D80" s="10" t="s">
        <v>643</v>
      </c>
      <c r="E80" s="26" t="str" cm="1">
        <f t="array" ref="E80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Capability to transmit information</v>
      </c>
      <c r="B81" s="3" t="str">
        <f>IF(NodesData[[#This Row],[Group]]="","",NodesData[[#This Row],[Group]])</f>
        <v/>
      </c>
      <c r="C81" s="23" t="str">
        <f>NodesData[[#This Row],[Node ID]]</f>
        <v>nAC062A15_C72B_42D8_BBDF_C7EB64B35F26</v>
      </c>
      <c r="D81" s="10" t="s">
        <v>645</v>
      </c>
      <c r="E81" s="26" t="str" cm="1">
        <f t="array" ref="E81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Capabilty to collect information</v>
      </c>
      <c r="B82" s="3" t="str">
        <f>IF(NodesData[[#This Row],[Group]]="","",NodesData[[#This Row],[Group]])</f>
        <v/>
      </c>
      <c r="C82" s="23" t="str">
        <f>NodesData[[#This Row],[Node ID]]</f>
        <v>nF3A221C8_C126_458E_818C_DAE6B57CD442</v>
      </c>
      <c r="D82" s="4"/>
      <c r="E82" s="26" t="str" cm="1">
        <f t="array" ref="E82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information","group":"","id":"nF3A221C8_C126_458E_818C_DAE6B57CD442","url":""}</v>
      </c>
    </row>
    <row r="83" spans="1:5" ht="13.9" thickTop="1" thickBot="1" x14ac:dyDescent="0.4">
      <c r="A83" s="3" t="str">
        <f>NodesData[[#This Row],[Common Name]]</f>
        <v>Causing Reputation Harm</v>
      </c>
      <c r="B83" s="3" t="str">
        <f>IF(NodesData[[#This Row],[Group]]="","",NodesData[[#This Row],[Group]])</f>
        <v/>
      </c>
      <c r="C83" s="23" t="str">
        <f>NodesData[[#This Row],[Node ID]]</f>
        <v>nA59D49F8_3819_4341_A310_19C77AB08AAB</v>
      </c>
      <c r="D83" s="10" t="s">
        <v>648</v>
      </c>
      <c r="E83" s="26" t="str" cm="1">
        <f t="array" ref="E83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CDD</v>
      </c>
      <c r="B84" s="3" t="str">
        <f>IF(NodesData[[#This Row],[Group]]="","",NodesData[[#This Row],[Group]])</f>
        <v/>
      </c>
      <c r="C84" s="23" t="str">
        <f>NodesData[[#This Row],[Node ID]]</f>
        <v>n8A9F74A8_A65F_42A3_9DB0_D40AD68EC967</v>
      </c>
      <c r="D84" s="10" t="s">
        <v>650</v>
      </c>
      <c r="E84" s="26" t="str" cm="1">
        <f t="array" ref="E84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Centralized Identity Management System</v>
      </c>
      <c r="B85" s="3" t="str">
        <f>IF(NodesData[[#This Row],[Group]]="","",NodesData[[#This Row],[Group]])</f>
        <v/>
      </c>
      <c r="C85" s="23" t="str">
        <f>NodesData[[#This Row],[Node ID]]</f>
        <v>nD371E402_1DDA_467A_9EFD_7333BAD6987B</v>
      </c>
      <c r="D85" s="10" t="s">
        <v>652</v>
      </c>
      <c r="E85" s="26" t="str" cm="1">
        <f t="array" ref="E85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Certificate-based Authentication</v>
      </c>
      <c r="B86" s="3" t="str">
        <f>IF(NodesData[[#This Row],[Group]]="","",NodesData[[#This Row],[Group]])</f>
        <v/>
      </c>
      <c r="C86" s="23" t="str">
        <f>NodesData[[#This Row],[Node ID]]</f>
        <v>n736BFE87_02BE_46E7_8DB0_A2B034ECD6BC</v>
      </c>
      <c r="D86" s="10" t="s">
        <v>654</v>
      </c>
      <c r="E86" s="26" t="str" cm="1">
        <f t="array" ref="E86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Certification</v>
      </c>
      <c r="B87" s="3" t="str">
        <f>IF(NodesData[[#This Row],[Group]]="","",NodesData[[#This Row],[Group]])</f>
        <v/>
      </c>
      <c r="C87" s="23" t="str">
        <f>NodesData[[#This Row],[Node ID]]</f>
        <v>nBF62899B_4BED_47AF_AF3B_1E10D830EA41</v>
      </c>
      <c r="D87" s="10" t="s">
        <v>655</v>
      </c>
      <c r="E87" s="26" t="str" cm="1">
        <f t="array" ref="E87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CIBA</v>
      </c>
      <c r="B88" s="3" t="str">
        <f>IF(NodesData[[#This Row],[Group]]="","",NodesData[[#This Row],[Group]])</f>
        <v/>
      </c>
      <c r="C88" s="23" t="str">
        <f>NodesData[[#This Row],[Node ID]]</f>
        <v>n7393F50C_2074_415B_8362_C7F0AD5AD8C9</v>
      </c>
      <c r="D88" s="10" t="s">
        <v>657</v>
      </c>
      <c r="E88" s="26" t="str" cm="1">
        <f t="array" ref="E88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Claim</v>
      </c>
      <c r="B89" s="3" t="str">
        <f>IF(NodesData[[#This Row],[Group]]="","",NodesData[[#This Row],[Group]])</f>
        <v/>
      </c>
      <c r="C89" s="23" t="str">
        <f>NodesData[[#This Row],[Node ID]]</f>
        <v>nBCD1222E_E013_4743_9588_168A8E8A4CCC</v>
      </c>
      <c r="D89" s="10" t="s">
        <v>659</v>
      </c>
      <c r="E89" s="26" t="str" cm="1">
        <f t="array" ref="E89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Claim Registry Model</v>
      </c>
      <c r="B90" s="3" t="str">
        <f>IF(NodesData[[#This Row],[Group]]="","",NodesData[[#This Row],[Group]])</f>
        <v/>
      </c>
      <c r="C90" s="23" t="str">
        <f>NodesData[[#This Row],[Node ID]]</f>
        <v>n09BFADD4_A980_40F3_A98A_B65C0F02447F</v>
      </c>
      <c r="D90" s="10" t="s">
        <v>661</v>
      </c>
      <c r="E90" s="26" t="str" cm="1">
        <f t="array" ref="E90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Claimant</v>
      </c>
      <c r="B91" s="3" t="str">
        <f>IF(NodesData[[#This Row],[Group]]="","",NodesData[[#This Row],[Group]])</f>
        <v/>
      </c>
      <c r="C91" s="23" t="str">
        <f>NodesData[[#This Row],[Node ID]]</f>
        <v>n67C38909_17F6_4502_B532_983E8C4AB8F8</v>
      </c>
      <c r="D91" s="10" t="s">
        <v>646</v>
      </c>
      <c r="E91" s="26" t="str" cm="1">
        <f t="array" ref="E91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Classification</v>
      </c>
      <c r="B92" s="3" t="str">
        <f>IF(NodesData[[#This Row],[Group]]="","",NodesData[[#This Row],[Group]])</f>
        <v/>
      </c>
      <c r="C92" s="23" t="str">
        <f>NodesData[[#This Row],[Node ID]]</f>
        <v>n3AF44A35_CD82_4A03_B96B_2C8E7E9F40FE</v>
      </c>
      <c r="D92" s="10" t="s">
        <v>665</v>
      </c>
      <c r="E92" s="26" t="str" cm="1">
        <f t="array" ref="E92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Client Initiated Backchannel Authentication</v>
      </c>
      <c r="B93" s="3" t="str">
        <f>IF(NodesData[[#This Row],[Group]]="","",NodesData[[#This Row],[Group]])</f>
        <v/>
      </c>
      <c r="C93" s="23" t="str">
        <f>NodesData[[#This Row],[Node ID]]</f>
        <v>n6362F1FB_53FB_45C5_A797_A947C7ECB972</v>
      </c>
      <c r="D93" s="10" t="s">
        <v>667</v>
      </c>
      <c r="E93" s="26" t="str" cm="1">
        <f t="array" ref="E93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Cloud Identity Management System</v>
      </c>
      <c r="B94" s="3" t="str">
        <f>IF(NodesData[[#This Row],[Group]]="","",NodesData[[#This Row],[Group]])</f>
        <v/>
      </c>
      <c r="C94" s="23" t="str">
        <f>NodesData[[#This Row],[Node ID]]</f>
        <v>n80E713F8_140B_4FA1_AD0A_95353ACF23CE</v>
      </c>
      <c r="D94" s="10" t="s">
        <v>668</v>
      </c>
      <c r="E94" s="26" t="str" cm="1">
        <f t="array" ref="E94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Cloud IdMS</v>
      </c>
      <c r="B95" s="3" t="str">
        <f>IF(NodesData[[#This Row],[Group]]="","",NodesData[[#This Row],[Group]])</f>
        <v/>
      </c>
      <c r="C95" s="23" t="str">
        <f>NodesData[[#This Row],[Node ID]]</f>
        <v>nC7A5534A_F936_4092_AF5A_4868FEC6CF24</v>
      </c>
      <c r="D95" s="10" t="s">
        <v>669</v>
      </c>
      <c r="E95" s="26" t="str" cm="1">
        <f t="array" ref="E95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Cloud Service Consumers</v>
      </c>
      <c r="B96" s="3" t="str">
        <f>IF(NodesData[[#This Row],[Group]]="","",NodesData[[#This Row],[Group]])</f>
        <v/>
      </c>
      <c r="C96" s="23" t="str">
        <f>NodesData[[#This Row],[Node ID]]</f>
        <v>n4180E5F4_C1E3_4F95_9CBB_CD85E0BCC655</v>
      </c>
      <c r="D96" s="10" t="s">
        <v>671</v>
      </c>
      <c r="E96" s="26" t="str" cm="1">
        <f t="array" ref="E96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Cloud Service Provider</v>
      </c>
      <c r="B97" s="3" t="str">
        <f>IF(NodesData[[#This Row],[Group]]="","",NodesData[[#This Row],[Group]])</f>
        <v/>
      </c>
      <c r="C97" s="23" t="str">
        <f>NodesData[[#This Row],[Node ID]]</f>
        <v>nC844F971_544C_4338_94D2_6A965B7BCF89</v>
      </c>
      <c r="D97" s="10" t="s">
        <v>672</v>
      </c>
      <c r="E97" s="26" t="str" cm="1">
        <f t="array" ref="E97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Service User</v>
      </c>
      <c r="B98" s="3" t="str">
        <f>IF(NodesData[[#This Row],[Group]]="","",NodesData[[#This Row],[Group]])</f>
        <v/>
      </c>
      <c r="C98" s="23" t="str">
        <f>NodesData[[#This Row],[Node ID]]</f>
        <v>nE857DAE9_4FEB_442D_A1CF_D7B687ABF6B7</v>
      </c>
      <c r="D98" s="10" t="s">
        <v>674</v>
      </c>
      <c r="E98" s="26" t="str" cm="1">
        <f t="array" ref="E98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Coherent Whole</v>
      </c>
      <c r="B99" s="3" t="str">
        <f>IF(NodesData[[#This Row],[Group]]="","",NodesData[[#This Row],[Group]])</f>
        <v/>
      </c>
      <c r="C99" s="23" t="str">
        <f>NodesData[[#This Row],[Node ID]]</f>
        <v>n2E4A35A7_53BB_4F4B_8554_B6584F77D71D</v>
      </c>
      <c r="D99" s="10" t="s">
        <v>676</v>
      </c>
      <c r="E99" s="26" t="str" cm="1">
        <f t="array" ref="E99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Commission Error</v>
      </c>
      <c r="B100" s="3" t="str">
        <f>IF(NodesData[[#This Row],[Group]]="","",NodesData[[#This Row],[Group]])</f>
        <v/>
      </c>
      <c r="C100" s="23" t="str">
        <f>NodesData[[#This Row],[Node ID]]</f>
        <v>n4D29847A_7439_438F_9BF4_1A9AC6B66382</v>
      </c>
      <c r="D100" s="10" t="s">
        <v>677</v>
      </c>
      <c r="E100" s="26" t="str" cm="1">
        <f t="array" ref="E100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Compromised Identity</v>
      </c>
      <c r="B101" s="3" t="str">
        <f>IF(NodesData[[#This Row],[Group]]="","",NodesData[[#This Row],[Group]])</f>
        <v/>
      </c>
      <c r="C101" s="23" t="str">
        <f>NodesData[[#This Row],[Node ID]]</f>
        <v>n5AE73A5D_7DC4_4E67_BA86_77F767004525</v>
      </c>
      <c r="D101" s="10" t="s">
        <v>678</v>
      </c>
      <c r="E101" s="26" t="str" cm="1">
        <f t="array" ref="E101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Concurrent Impersonation Attack</v>
      </c>
      <c r="B102" s="3" t="str">
        <f>IF(NodesData[[#This Row],[Group]]="","",NodesData[[#This Row],[Group]])</f>
        <v/>
      </c>
      <c r="C102" s="23" t="str">
        <f>NodesData[[#This Row],[Node ID]]</f>
        <v>n7613977B_913F_4201_81B8_F2639D95D430</v>
      </c>
      <c r="D102" s="10" t="s">
        <v>679</v>
      </c>
      <c r="E102" s="26" t="str" cm="1">
        <f t="array" ref="E102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Continuous Authentication</v>
      </c>
      <c r="B103" s="3" t="str">
        <f>IF(NodesData[[#This Row],[Group]]="","",NodesData[[#This Row],[Group]])</f>
        <v/>
      </c>
      <c r="C103" s="23" t="str">
        <f>NodesData[[#This Row],[Node ID]]</f>
        <v>n80A2BE7C_191D_425D_A7B8_93B0ACBEE01B</v>
      </c>
      <c r="D103" s="10" t="s">
        <v>681</v>
      </c>
      <c r="E103" s="26" t="str" cm="1">
        <f t="array" ref="E103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Control Class</v>
      </c>
      <c r="B104" s="3" t="str">
        <f>IF(NodesData[[#This Row],[Group]]="","",NodesData[[#This Row],[Group]])</f>
        <v/>
      </c>
      <c r="C104" s="23" t="str">
        <f>NodesData[[#This Row],[Node ID]]</f>
        <v>nCEEB6DF9_D56B_4A1B_9B36_35674D25F038</v>
      </c>
      <c r="D104" s="10" t="s">
        <v>683</v>
      </c>
      <c r="E104" s="26" t="str" cm="1">
        <f t="array" ref="E104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Control Party</v>
      </c>
      <c r="B105" s="3" t="str">
        <f>IF(NodesData[[#This Row],[Group]]="","",NodesData[[#This Row],[Group]])</f>
        <v/>
      </c>
      <c r="C105" s="23" t="str">
        <f>NodesData[[#This Row],[Node ID]]</f>
        <v>n2036668D_41FC_42AC_A26E_DCB28C92BB42</v>
      </c>
      <c r="D105" s="10" t="s">
        <v>685</v>
      </c>
      <c r="E105" s="26" t="str" cm="1">
        <f t="array" ref="E105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Core Identity</v>
      </c>
      <c r="B106" s="3" t="str">
        <f>IF(NodesData[[#This Row],[Group]]="","",NodesData[[#This Row],[Group]])</f>
        <v/>
      </c>
      <c r="C106" s="23" t="str">
        <f>NodesData[[#This Row],[Node ID]]</f>
        <v>n3B5C4453_42D1_4B17_BE96_3CB27267BE34</v>
      </c>
      <c r="D106" s="10" t="s">
        <v>687</v>
      </c>
      <c r="E106" s="26" t="str" cm="1">
        <f t="array" ref="E106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Credential</v>
      </c>
      <c r="B107" s="3" t="str">
        <f>IF(NodesData[[#This Row],[Group]]="","",NodesData[[#This Row],[Group]])</f>
        <v/>
      </c>
      <c r="C107" s="23" t="str">
        <f>NodesData[[#This Row],[Node ID]]</f>
        <v>n71B0143B_00D4_447A_802A_D03702D2600F</v>
      </c>
      <c r="D107" s="10" t="s">
        <v>689</v>
      </c>
      <c r="E107" s="26" t="str" cm="1">
        <f t="array" ref="E107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Credential Harvesting</v>
      </c>
      <c r="B108" s="3" t="str">
        <f>IF(NodesData[[#This Row],[Group]]="","",NodesData[[#This Row],[Group]])</f>
        <v/>
      </c>
      <c r="C108" s="23" t="str">
        <f>NodesData[[#This Row],[Node ID]]</f>
        <v>n835E7716_4234_4D63_9E3D_53FD75BD48A0</v>
      </c>
      <c r="D108" s="10" t="s">
        <v>691</v>
      </c>
      <c r="E108" s="26" t="str" cm="1">
        <f t="array" ref="E108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Credential Service Provider</v>
      </c>
      <c r="B109" s="3" t="str">
        <f>IF(NodesData[[#This Row],[Group]]="","",NodesData[[#This Row],[Group]])</f>
        <v/>
      </c>
      <c r="C109" s="23" t="str">
        <f>NodesData[[#This Row],[Node ID]]</f>
        <v>nC28A38BD_F29A_4E07_BDC5_A430C7F08178</v>
      </c>
      <c r="D109" s="10" t="s">
        <v>692</v>
      </c>
      <c r="E109" s="26" t="str" cm="1">
        <f t="array" ref="E109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Credential Stuffing</v>
      </c>
      <c r="B110" s="3" t="str">
        <f>IF(NodesData[[#This Row],[Group]]="","",NodesData[[#This Row],[Group]])</f>
        <v/>
      </c>
      <c r="C110" s="23" t="str">
        <f>NodesData[[#This Row],[Node ID]]</f>
        <v>nE507E167_D5A0_4734_A76D_1E688002EDB6</v>
      </c>
      <c r="D110" s="10" t="s">
        <v>693</v>
      </c>
      <c r="E110" s="26" t="str" cm="1">
        <f t="array" ref="E110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 Theft</v>
      </c>
      <c r="B111" s="3" t="str">
        <f>IF(NodesData[[#This Row],[Group]]="","",NodesData[[#This Row],[Group]])</f>
        <v/>
      </c>
      <c r="C111" s="23" t="str">
        <f>NodesData[[#This Row],[Node ID]]</f>
        <v>nC30B0213_3434_4800_8A7F_F5D9753E7F4F</v>
      </c>
      <c r="D111" s="10" t="s">
        <v>694</v>
      </c>
      <c r="E111" s="26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Cryptographic Key</v>
      </c>
      <c r="B112" s="3" t="str">
        <f>IF(NodesData[[#This Row],[Group]]="","",NodesData[[#This Row],[Group]])</f>
        <v/>
      </c>
      <c r="C112" s="23" t="str">
        <f>NodesData[[#This Row],[Node ID]]</f>
        <v>nD6E2EFC3_D781_401F_AE1A_9DC8865CF67B</v>
      </c>
      <c r="D112" s="10" t="s">
        <v>696</v>
      </c>
      <c r="E112" s="26" t="str" cm="1">
        <f t="array" ref="E112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CSC</v>
      </c>
      <c r="B113" s="3" t="str">
        <f>IF(NodesData[[#This Row],[Group]]="","",NodesData[[#This Row],[Group]])</f>
        <v/>
      </c>
      <c r="C113" s="23" t="str">
        <f>NodesData[[#This Row],[Node ID]]</f>
        <v>n3CF9484A_E6FA_4D95_9D47_B5595CE2AD13</v>
      </c>
      <c r="D113" s="10" t="s">
        <v>704</v>
      </c>
      <c r="E113" s="26" t="str" cm="1">
        <f t="array" ref="E113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CSP</v>
      </c>
      <c r="B114" s="3" t="str">
        <f>IF(NodesData[[#This Row],[Group]]="","",NodesData[[#This Row],[Group]])</f>
        <v/>
      </c>
      <c r="C114" s="23" t="str">
        <f>NodesData[[#This Row],[Node ID]]</f>
        <v>n602C3EC3_8435_47BF_A604_7D75066CC857</v>
      </c>
      <c r="D114" s="10" t="s">
        <v>698</v>
      </c>
      <c r="E114" s="26" t="str" cm="1">
        <f t="array" ref="E114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CSU</v>
      </c>
      <c r="B115" s="3" t="str">
        <f>IF(NodesData[[#This Row],[Group]]="","",NodesData[[#This Row],[Group]])</f>
        <v/>
      </c>
      <c r="C115" s="23" t="str">
        <f>NodesData[[#This Row],[Node ID]]</f>
        <v>nFF6942C5_7966_4E4A_8491_8D4F0333B971</v>
      </c>
      <c r="D115" s="10" t="s">
        <v>700</v>
      </c>
      <c r="E115" s="26" t="str" cm="1">
        <f t="array" ref="E115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Customer Due Diligence</v>
      </c>
      <c r="B116" s="3" t="str">
        <f>IF(NodesData[[#This Row],[Group]]="","",NodesData[[#This Row],[Group]])</f>
        <v/>
      </c>
      <c r="C116" s="23" t="str">
        <f>NodesData[[#This Row],[Node ID]]</f>
        <v>nAF7F194C_57F9_469D_96EF_9261A46CC7FC</v>
      </c>
      <c r="D116" s="10" t="s">
        <v>702</v>
      </c>
      <c r="E116" s="26" t="str" cm="1">
        <f t="array" ref="E116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Customer Identification</v>
      </c>
      <c r="B117" s="3" t="str">
        <f>IF(NodesData[[#This Row],[Group]]="","",NodesData[[#This Row],[Group]])</f>
        <v/>
      </c>
      <c r="C117" s="23" t="str">
        <f>NodesData[[#This Row],[Node ID]]</f>
        <v>nC4DE4DA0_78E1_4926_AF0C_F091AF13103D</v>
      </c>
      <c r="D117" s="10" t="s">
        <v>710</v>
      </c>
      <c r="E117" s="26" t="str" cm="1">
        <f t="array" ref="E117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Customer Identity</v>
      </c>
      <c r="B118" s="3" t="str">
        <f>IF(NodesData[[#This Row],[Group]]="","",NodesData[[#This Row],[Group]])</f>
        <v/>
      </c>
      <c r="C118" s="23" t="str">
        <f>NodesData[[#This Row],[Node ID]]</f>
        <v>nE1CBAB67_758C_4F2C_BA6A_799375745B56</v>
      </c>
      <c r="D118" s="10" t="s">
        <v>706</v>
      </c>
      <c r="E118" s="26" t="str" cm="1">
        <f t="array" ref="E118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Customer Identity Verification</v>
      </c>
      <c r="B119" s="3" t="str">
        <f>IF(NodesData[[#This Row],[Group]]="","",NodesData[[#This Row],[Group]])</f>
        <v/>
      </c>
      <c r="C119" s="23" t="str">
        <f>NodesData[[#This Row],[Node ID]]</f>
        <v>nCD6230CD_7164_4B21_8324_961CA3471D9D</v>
      </c>
      <c r="D119" s="10" t="s">
        <v>708</v>
      </c>
      <c r="E119" s="26" t="str" cm="1">
        <f t="array" ref="E119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On-Boarding</v>
      </c>
      <c r="B120" s="3" t="str">
        <f>IF(NodesData[[#This Row],[Group]]="","",NodesData[[#This Row],[Group]])</f>
        <v/>
      </c>
      <c r="C120" s="23" t="str">
        <f>NodesData[[#This Row],[Node ID]]</f>
        <v>n5A0D36D7_5907_497B_BDD0_B9F7946871C7</v>
      </c>
      <c r="D120" s="10" t="s">
        <v>712</v>
      </c>
      <c r="E120" s="26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Privacy and Consent Management</v>
      </c>
      <c r="B121" s="3" t="str">
        <f>IF(NodesData[[#This Row],[Group]]="","",NodesData[[#This Row],[Group]])</f>
        <v/>
      </c>
      <c r="C121" s="23" t="str">
        <f>NodesData[[#This Row],[Node ID]]</f>
        <v>n4729C2B4_13E7_433F_8412_F95545EA75F7</v>
      </c>
      <c r="D121" s="10" t="s">
        <v>713</v>
      </c>
      <c r="E121" s="26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Cyber-sabotage</v>
      </c>
      <c r="B122" s="3" t="str">
        <f>IF(NodesData[[#This Row],[Group]]="","",NodesData[[#This Row],[Group]])</f>
        <v/>
      </c>
      <c r="C122" s="23" t="str">
        <f>NodesData[[#This Row],[Node ID]]</f>
        <v>n359C7AF8_8BAE_4BC7_B009_BE445CDBFC35</v>
      </c>
      <c r="D122" s="10" t="s">
        <v>715</v>
      </c>
      <c r="E122" s="26" t="str" cm="1">
        <f t="array" ref="E122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DAC</v>
      </c>
      <c r="B123" s="3" t="str">
        <f>IF(NodesData[[#This Row],[Group]]="","",NodesData[[#This Row],[Group]])</f>
        <v/>
      </c>
      <c r="C123" s="23" t="str">
        <f>NodesData[[#This Row],[Node ID]]</f>
        <v>n5E2EE771_5FE7_4EBD_B53E_DD8D31F6490E</v>
      </c>
      <c r="D123" s="10" t="s">
        <v>716</v>
      </c>
      <c r="E123" s="26" t="str" cm="1">
        <f t="array" ref="E123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Data</v>
      </c>
      <c r="B124" s="3" t="str">
        <f>IF(NodesData[[#This Row],[Group]]="","",NodesData[[#This Row],[Group]])</f>
        <v/>
      </c>
      <c r="C124" s="23" t="str">
        <f>NodesData[[#This Row],[Node ID]]</f>
        <v>n09E1C4DC_8D91_4A66_9C50_11DCDC2042FD</v>
      </c>
      <c r="D124" s="10" t="s">
        <v>717</v>
      </c>
      <c r="E124" s="26" t="str" cm="1">
        <f t="array" ref="E124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Data Anonymization</v>
      </c>
      <c r="B125" s="3" t="str">
        <f>IF(NodesData[[#This Row],[Group]]="","",NodesData[[#This Row],[Group]])</f>
        <v/>
      </c>
      <c r="C125" s="23" t="str">
        <f>NodesData[[#This Row],[Node ID]]</f>
        <v>nDD3247E1_B272_4575_8CB0_C2E44239A9A8</v>
      </c>
      <c r="D125" s="10" t="s">
        <v>663</v>
      </c>
      <c r="E125" s="26" t="str" cm="1">
        <f t="array" ref="E125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Data Custodian</v>
      </c>
      <c r="B126" s="3" t="str">
        <f>IF(NodesData[[#This Row],[Group]]="","",NodesData[[#This Row],[Group]])</f>
        <v/>
      </c>
      <c r="C126" s="23" t="str">
        <f>NodesData[[#This Row],[Node ID]]</f>
        <v>nD28793FC_291F_4F11_A09A_228AE8B3A9FC</v>
      </c>
      <c r="D126" s="10" t="s">
        <v>720</v>
      </c>
      <c r="E126" s="26" t="str" cm="1">
        <f t="array" ref="E126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Data Lineage</v>
      </c>
      <c r="B127" s="3" t="str">
        <f>IF(NodesData[[#This Row],[Group]]="","",NodesData[[#This Row],[Group]])</f>
        <v/>
      </c>
      <c r="C127" s="23" t="str">
        <f>NodesData[[#This Row],[Node ID]]</f>
        <v>nE47A44FF_22A6_469C_82AD_696C71FBDD88</v>
      </c>
      <c r="D127" s="10" t="s">
        <v>722</v>
      </c>
      <c r="E127" s="26" t="str" cm="1">
        <f t="array" ref="E127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 Obfuscation</v>
      </c>
      <c r="B128" s="3" t="str">
        <f>IF(NodesData[[#This Row],[Group]]="","",NodesData[[#This Row],[Group]])</f>
        <v/>
      </c>
      <c r="C128" s="23" t="str">
        <f>NodesData[[#This Row],[Node ID]]</f>
        <v>nF346FF0E_9E36_4061_B728_2051ECF4FE8F</v>
      </c>
      <c r="D128" s="10" t="s">
        <v>724</v>
      </c>
      <c r="E128" s="26" t="str" cm="1">
        <f t="array" ref="E128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Operation</v>
      </c>
      <c r="B129" s="3" t="str">
        <f>IF(NodesData[[#This Row],[Group]]="","",NodesData[[#This Row],[Group]])</f>
        <v/>
      </c>
      <c r="C129" s="23" t="str">
        <f>NodesData[[#This Row],[Node ID]]</f>
        <v>nEE342468_B7F3_4FB0_BA73_C88BBEA8F59E</v>
      </c>
      <c r="D129" s="10" t="s">
        <v>726</v>
      </c>
      <c r="E129" s="26" t="str" cm="1">
        <f t="array" ref="E129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Owner</v>
      </c>
      <c r="B130" s="3" t="str">
        <f>IF(NodesData[[#This Row],[Group]]="","",NodesData[[#This Row],[Group]])</f>
        <v/>
      </c>
      <c r="C130" s="23" t="str">
        <f>NodesData[[#This Row],[Node ID]]</f>
        <v>n6E2830C5_7B71_4569_B55F_4C2062560D57</v>
      </c>
      <c r="D130" s="10" t="s">
        <v>718</v>
      </c>
      <c r="E130" s="26" t="str" cm="1">
        <f t="array" ref="E130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Data-Level Policy</v>
      </c>
      <c r="B131" s="3" t="str">
        <f>IF(NodesData[[#This Row],[Group]]="","",NodesData[[#This Row],[Group]])</f>
        <v/>
      </c>
      <c r="C131" s="23" t="str">
        <f>NodesData[[#This Row],[Node ID]]</f>
        <v>nF3A98388_9120_4053_8EBD_936BE8BBDA6F</v>
      </c>
      <c r="D131" s="10" t="s">
        <v>732</v>
      </c>
      <c r="E131" s="26" t="str" cm="1">
        <f t="array" ref="E131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Death Certificate</v>
      </c>
      <c r="B132" s="3" t="str">
        <f>IF(NodesData[[#This Row],[Group]]="","",NodesData[[#This Row],[Group]])</f>
        <v/>
      </c>
      <c r="C132" s="23" t="str">
        <f>NodesData[[#This Row],[Node ID]]</f>
        <v>n18684693_B96F_41F5_87E5_A8C82C5854F2</v>
      </c>
      <c r="D132" s="10" t="s">
        <v>730</v>
      </c>
      <c r="E132" s="26" t="str" cm="1">
        <f t="array" ref="E132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Decentralized Identifier</v>
      </c>
      <c r="B133" s="3" t="str">
        <f>IF(NodesData[[#This Row],[Group]]="","",NodesData[[#This Row],[Group]])</f>
        <v/>
      </c>
      <c r="C133" s="23" t="str">
        <f>NodesData[[#This Row],[Node ID]]</f>
        <v>nF0624D2B_D1C4_476E_A9EA_53DD33D3EFFE</v>
      </c>
      <c r="D133" s="10" t="s">
        <v>734</v>
      </c>
      <c r="E133" s="26" t="str" cm="1">
        <f t="array" ref="E133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De-duplication</v>
      </c>
      <c r="B134" s="3" t="str">
        <f>IF(NodesData[[#This Row],[Group]]="","",NodesData[[#This Row],[Group]])</f>
        <v/>
      </c>
      <c r="C134" s="23" t="str">
        <f>NodesData[[#This Row],[Node ID]]</f>
        <v>nBFB13F76_57DB_46B7_8AE9_952A367FBA93</v>
      </c>
      <c r="D134" s="4"/>
      <c r="E134" s="26" t="str" cm="1">
        <f t="array" ref="E134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,{"label":"De-duplication","group":"","id":"nBFB13F76_57DB_46B7_8AE9_952A367FBA93","url":""}</v>
      </c>
    </row>
    <row r="135" spans="1:5" ht="13.9" thickTop="1" thickBot="1" x14ac:dyDescent="0.4">
      <c r="A135" s="3" t="str">
        <f>NodesData[[#This Row],[Common Name]]</f>
        <v>Deprovisioning</v>
      </c>
      <c r="B135" s="3" t="str">
        <f>IF(NodesData[[#This Row],[Group]]="","",NodesData[[#This Row],[Group]])</f>
        <v/>
      </c>
      <c r="C135" s="23" t="str">
        <f>NodesData[[#This Row],[Node ID]]</f>
        <v>nB332A030_899A_4CDC_ABF6_7AB4C2B3D1C2</v>
      </c>
      <c r="D135" s="10" t="s">
        <v>736</v>
      </c>
      <c r="E135" s="26" t="str" cm="1">
        <f t="array" ref="E135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DID</v>
      </c>
      <c r="B136" s="3" t="str">
        <f>IF(NodesData[[#This Row],[Group]]="","",NodesData[[#This Row],[Group]])</f>
        <v/>
      </c>
      <c r="C136" s="23" t="str">
        <f>NodesData[[#This Row],[Node ID]]</f>
        <v>n40BF751E_86C5_46B2_8F12_8406249504A5</v>
      </c>
      <c r="D136" s="10" t="s">
        <v>738</v>
      </c>
      <c r="E136" s="26" t="str" cm="1">
        <f t="array" ref="E136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Digital Continuity</v>
      </c>
      <c r="B137" s="3" t="str">
        <f>IF(NodesData[[#This Row],[Group]]="","",NodesData[[#This Row],[Group]])</f>
        <v/>
      </c>
      <c r="C137" s="23" t="str">
        <f>NodesData[[#This Row],[Node ID]]</f>
        <v>n9E54AC40_1534_4653_A579_A86A08A8489A</v>
      </c>
      <c r="D137" s="10" t="s">
        <v>740</v>
      </c>
      <c r="E137" s="26" t="str" cm="1">
        <f t="array" ref="E137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Digital Identification System</v>
      </c>
      <c r="B138" s="3" t="str">
        <f>IF(NodesData[[#This Row],[Group]]="","",NodesData[[#This Row],[Group]])</f>
        <v/>
      </c>
      <c r="C138" s="23" t="str">
        <f>NodesData[[#This Row],[Node ID]]</f>
        <v>n0FBA5367_FBC8_4C86_A3A0_47FFA8B35813</v>
      </c>
      <c r="D138" s="10" t="s">
        <v>742</v>
      </c>
      <c r="E138" s="26" t="str" cm="1">
        <f t="array" ref="E138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Digital Identity</v>
      </c>
      <c r="B139" s="3" t="str">
        <f>IF(NodesData[[#This Row],[Group]]="","",NodesData[[#This Row],[Group]])</f>
        <v/>
      </c>
      <c r="C139" s="23" t="str">
        <f>NodesData[[#This Row],[Node ID]]</f>
        <v>n65057A73_5E5D_4997_843D_70FCDDBF4863</v>
      </c>
      <c r="D139" s="10" t="s">
        <v>744</v>
      </c>
      <c r="E139" s="26" t="str" cm="1">
        <f t="array" ref="E139">IF(ROW(NodesJSON[[#This Row],[label]])&gt;ROW(NodesJSON[[#Headers],[JSON]])+1,",","") &amp;"{"&amp;twoRangesToJSON(NodesJSON[[#Headers],[label]:[url]],NodesJSON[[#This Row],[label]:[url]])&amp;"}"</f>
        <v>,{"label":"Digital Identity","group":"","id":"n65057A73_5E5D_4997_843D_70FCDDBF4863","url":"https://open-measure.atlassian.net/wiki/spaces/DIC/pages/1121878049"}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Digital Identity Authenticity</v>
      </c>
      <c r="B140" s="3" t="str">
        <f>IF(NodesData[[#This Row],[Group]]="","",NodesData[[#This Row],[Group]])</f>
        <v/>
      </c>
      <c r="C140" s="23" t="str">
        <f>NodesData[[#This Row],[Node ID]]</f>
        <v>n0EA691C3_41F3_4D4D_9025_8F36DE6AEDC2</v>
      </c>
      <c r="D140" s="10" t="s">
        <v>752</v>
      </c>
      <c r="E140" s="26" t="str" cm="1">
        <f t="array" ref="E140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Triangulation</v>
      </c>
      <c r="B141" s="3" t="str">
        <f>IF(NodesData[[#This Row],[Group]]="","",NodesData[[#This Row],[Group]])</f>
        <v/>
      </c>
      <c r="C141" s="23" t="str">
        <f>NodesData[[#This Row],[Node ID]]</f>
        <v>nE39BABFB_8F63_4F42_89E2_F06B01A51C5F</v>
      </c>
      <c r="D141" s="10" t="s">
        <v>746</v>
      </c>
      <c r="E141" s="26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Discretionary Access Control</v>
      </c>
      <c r="B142" s="3" t="str">
        <f>IF(NodesData[[#This Row],[Group]]="","",NodesData[[#This Row],[Group]])</f>
        <v/>
      </c>
      <c r="C142" s="23" t="str">
        <f>NodesData[[#This Row],[Node ID]]</f>
        <v>n561A2BF6_5A06_42D6_B158_5683F90E84BE</v>
      </c>
      <c r="D142" s="10" t="s">
        <v>748</v>
      </c>
      <c r="E142" s="26" t="str" cm="1">
        <f t="array" ref="E142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Distributed Identity</v>
      </c>
      <c r="B143" s="3" t="str">
        <f>IF(NodesData[[#This Row],[Group]]="","",NodesData[[#This Row],[Group]])</f>
        <v/>
      </c>
      <c r="C143" s="23" t="str">
        <f>NodesData[[#This Row],[Node ID]]</f>
        <v>nFE60A787_3D7D_423A_ACA8_7A815881DE4A</v>
      </c>
      <c r="D143" s="10" t="s">
        <v>750</v>
      </c>
      <c r="E143" s="26" t="str" cm="1">
        <f t="array" ref="E143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Distributed Ledger Technology</v>
      </c>
      <c r="B144" s="3" t="str">
        <f>IF(NodesData[[#This Row],[Group]]="","",NodesData[[#This Row],[Group]])</f>
        <v/>
      </c>
      <c r="C144" s="23" t="str">
        <f>NodesData[[#This Row],[Node ID]]</f>
        <v>nF24089B1_8B95_4756_903D_A8DFDC0769E3</v>
      </c>
      <c r="D144" s="10" t="s">
        <v>754</v>
      </c>
      <c r="E144" s="26" t="str" cm="1">
        <f t="array" ref="E144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Dual Authorization</v>
      </c>
      <c r="B145" s="3" t="str">
        <f>IF(NodesData[[#This Row],[Group]]="","",NodesData[[#This Row],[Group]])</f>
        <v/>
      </c>
      <c r="C145" s="23" t="str">
        <f>NodesData[[#This Row],[Node ID]]</f>
        <v>n178DB8CF_C79B_49A8_900D_2EB5BD057DC7</v>
      </c>
      <c r="D145" s="10" t="s">
        <v>756</v>
      </c>
      <c r="E145" s="26" t="str" cm="1">
        <f t="array" ref="E145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ECS</v>
      </c>
      <c r="B146" s="3" t="str">
        <f>IF(NodesData[[#This Row],[Group]]="","",NodesData[[#This Row],[Group]])</f>
        <v/>
      </c>
      <c r="C146" s="23" t="str">
        <f>NodesData[[#This Row],[Node ID]]</f>
        <v>n746496EE_FC8C_4C19_AF3E_D8D3140567A6</v>
      </c>
      <c r="D146" s="10" t="s">
        <v>758</v>
      </c>
      <c r="E146" s="26" t="str" cm="1">
        <f t="array" ref="E146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e-Identity</v>
      </c>
      <c r="B147" s="3" t="str">
        <f>IF(NodesData[[#This Row],[Group]]="","",NodesData[[#This Row],[Group]])</f>
        <v/>
      </c>
      <c r="C147" s="23" t="str">
        <f>NodesData[[#This Row],[Node ID]]</f>
        <v>n29F8F3C1_3B5C_404B_985E_677B3F2469CE</v>
      </c>
      <c r="D147" s="10" t="s">
        <v>760</v>
      </c>
      <c r="E147" s="26" t="str" cm="1">
        <f t="array" ref="E147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EIdM</v>
      </c>
      <c r="B148" s="3" t="str">
        <f>IF(NodesData[[#This Row],[Group]]="","",NodesData[[#This Row],[Group]])</f>
        <v/>
      </c>
      <c r="C148" s="23" t="str">
        <f>NodesData[[#This Row],[Node ID]]</f>
        <v>n6DA75F23_C59A_4F3D_8369_62DF2833985B</v>
      </c>
      <c r="D148" s="10" t="s">
        <v>762</v>
      </c>
      <c r="E148" s="26" t="str" cm="1">
        <f t="array" ref="E148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Email OTP</v>
      </c>
      <c r="B149" s="3" t="str">
        <f>IF(NodesData[[#This Row],[Group]]="","",NodesData[[#This Row],[Group]])</f>
        <v/>
      </c>
      <c r="C149" s="23" t="str">
        <f>NodesData[[#This Row],[Node ID]]</f>
        <v>n2EA08174_481E_44C6_A012_159A6C58ECD7</v>
      </c>
      <c r="D149" s="10" t="s">
        <v>764</v>
      </c>
      <c r="E149" s="26" t="str" cm="1">
        <f t="array" ref="E149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Employee</v>
      </c>
      <c r="B150" s="3" t="str">
        <f>IF(NodesData[[#This Row],[Group]]="","",NodesData[[#This Row],[Group]])</f>
        <v/>
      </c>
      <c r="C150" s="23" t="str">
        <f>NodesData[[#This Row],[Node ID]]</f>
        <v>n422D81D3_0EAB_4F1E_9F34_BA01B0B35CC0</v>
      </c>
      <c r="D150" s="10" t="s">
        <v>766</v>
      </c>
      <c r="E150" s="26" t="str" cm="1">
        <f t="array" ref="E150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Enterprise Cloud Subscriber</v>
      </c>
      <c r="B151" s="3" t="str">
        <f>IF(NodesData[[#This Row],[Group]]="","",NodesData[[#This Row],[Group]])</f>
        <v/>
      </c>
      <c r="C151" s="23" t="str">
        <f>NodesData[[#This Row],[Node ID]]</f>
        <v>nDC7DA1B5_7FB1_493B_B76C_2A89395AAC8B</v>
      </c>
      <c r="D151" s="10" t="s">
        <v>728</v>
      </c>
      <c r="E151" s="26" t="str" cm="1">
        <f t="array" ref="E151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Enterprise Identity Management</v>
      </c>
      <c r="B152" s="3" t="str">
        <f>IF(NodesData[[#This Row],[Group]]="","",NodesData[[#This Row],[Group]])</f>
        <v/>
      </c>
      <c r="C152" s="23" t="str">
        <f>NodesData[[#This Row],[Node ID]]</f>
        <v>nB5BB1D89_74C2_455D_B36D_E690E04C732E</v>
      </c>
      <c r="D152" s="10" t="s">
        <v>767</v>
      </c>
      <c r="E152" s="26" t="str" cm="1">
        <f t="array" ref="E152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Enterprise Single Sign-On</v>
      </c>
      <c r="B153" s="3" t="str">
        <f>IF(NodesData[[#This Row],[Group]]="","",NodesData[[#This Row],[Group]])</f>
        <v/>
      </c>
      <c r="C153" s="23" t="str">
        <f>NodesData[[#This Row],[Node ID]]</f>
        <v>n4F60AFDF_063A_4037_B18B_E4FDC3B1F048</v>
      </c>
      <c r="D153" s="10" t="s">
        <v>768</v>
      </c>
      <c r="E153" s="26" t="str" cm="1">
        <f t="array" ref="E153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Entitlement</v>
      </c>
      <c r="B154" s="3" t="str">
        <f>IF(NodesData[[#This Row],[Group]]="","",NodesData[[#This Row],[Group]])</f>
        <v/>
      </c>
      <c r="C154" s="23" t="str">
        <f>NodesData[[#This Row],[Node ID]]</f>
        <v>n6B1C5DA7_6A6A_4239_8359_406101FDA296</v>
      </c>
      <c r="D154" s="10" t="s">
        <v>770</v>
      </c>
      <c r="E154" s="26" t="str" cm="1">
        <f t="array" ref="E154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Entitlement Management</v>
      </c>
      <c r="B155" s="3" t="str">
        <f>IF(NodesData[[#This Row],[Group]]="","",NodesData[[#This Row],[Group]])</f>
        <v/>
      </c>
      <c r="C155" s="23" t="str">
        <f>NodesData[[#This Row],[Node ID]]</f>
        <v>n8CCC3658_FD2A_4108_B8F8_F090D2FDA25F</v>
      </c>
      <c r="D155" s="10" t="s">
        <v>772</v>
      </c>
      <c r="E155" s="26" t="str" cm="1">
        <f t="array" ref="E155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Entitlement Management Process</v>
      </c>
      <c r="B156" s="3" t="str">
        <f>IF(NodesData[[#This Row],[Group]]="","",NodesData[[#This Row],[Group]])</f>
        <v/>
      </c>
      <c r="C156" s="23" t="str">
        <f>NodesData[[#This Row],[Node ID]]</f>
        <v>n6F5621C1_CD35_410A_A944_409F79163AD4</v>
      </c>
      <c r="D156" s="10" t="s">
        <v>774</v>
      </c>
      <c r="E156" s="26" t="str" cm="1">
        <f t="array" ref="E156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Entitlement Management Solution</v>
      </c>
      <c r="B157" s="3" t="str">
        <f>IF(NodesData[[#This Row],[Group]]="","",NodesData[[#This Row],[Group]])</f>
        <v/>
      </c>
      <c r="C157" s="23" t="str">
        <f>NodesData[[#This Row],[Node ID]]</f>
        <v>n1C189EA0_AB0A_4D8B_AC8A_A6B086B9D1C8</v>
      </c>
      <c r="D157" s="10" t="s">
        <v>776</v>
      </c>
      <c r="E157" s="26" t="str" cm="1">
        <f t="array" ref="E157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Entitlement-Based Access Control</v>
      </c>
      <c r="B158" s="3" t="str">
        <f>IF(NodesData[[#This Row],[Group]]="","",NodesData[[#This Row],[Group]])</f>
        <v/>
      </c>
      <c r="C158" s="23" t="str">
        <f>NodesData[[#This Row],[Node ID]]</f>
        <v>n9A7FB9C7_BA60_455F_AF09_E8FB3AD8331D</v>
      </c>
      <c r="D158" s="10" t="s">
        <v>778</v>
      </c>
      <c r="E158" s="26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Entity</v>
      </c>
      <c r="B159" s="3" t="str">
        <f>IF(NodesData[[#This Row],[Group]]="","",NodesData[[#This Row],[Group]])</f>
        <v/>
      </c>
      <c r="C159" s="23" t="str">
        <f>NodesData[[#This Row],[Node ID]]</f>
        <v>nD14A84EB_07B3_4B5F_BFAB_30031258CD6F</v>
      </c>
      <c r="D159" s="10" t="s">
        <v>779</v>
      </c>
      <c r="E159" s="26" t="str" cm="1">
        <f t="array" ref="E159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ESSO</v>
      </c>
      <c r="B160" s="3" t="str">
        <f>IF(NodesData[[#This Row],[Group]]="","",NodesData[[#This Row],[Group]])</f>
        <v/>
      </c>
      <c r="C160" s="23" t="str">
        <f>NodesData[[#This Row],[Node ID]]</f>
        <v>nB81C8B35_F18D_45DB_BF0B_52A7F64CFDB9</v>
      </c>
      <c r="D160" s="4"/>
      <c r="E160" s="26" t="str" cm="1">
        <f t="array" ref="E160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,{"label":"ESSO","group":"","id":"nB81C8B35_F18D_45DB_BF0B_52A7F64CFDB9","url":""}</v>
      </c>
    </row>
    <row r="161" spans="1:5" ht="13.9" thickTop="1" thickBot="1" x14ac:dyDescent="0.4">
      <c r="A161" s="3" t="str">
        <f>NodesData[[#This Row],[Common Name]]</f>
        <v>Excessive Privilege Abuse</v>
      </c>
      <c r="B161" s="3" t="str">
        <f>IF(NodesData[[#This Row],[Group]]="","",NodesData[[#This Row],[Group]])</f>
        <v/>
      </c>
      <c r="C161" s="23" t="str">
        <f>NodesData[[#This Row],[Node ID]]</f>
        <v>n606F27DD_7057_4C49_BC05_BD18E6E8BCAE</v>
      </c>
      <c r="D161" s="10" t="s">
        <v>780</v>
      </c>
      <c r="E161" s="26" t="str" cm="1">
        <f t="array" ref="E161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Expanded Password System</v>
      </c>
      <c r="B162" s="3" t="str">
        <f>IF(NodesData[[#This Row],[Group]]="","",NodesData[[#This Row],[Group]])</f>
        <v/>
      </c>
      <c r="C162" s="23" t="str">
        <f>NodesData[[#This Row],[Node ID]]</f>
        <v>nF9F63BDF_0C15_417E_9C40_9CFAF09A44FE</v>
      </c>
      <c r="D162" s="10" t="s">
        <v>782</v>
      </c>
      <c r="E162" s="26" t="str" cm="1">
        <f t="array" ref="E162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Exploited Identity</v>
      </c>
      <c r="B163" s="3" t="str">
        <f>IF(NodesData[[#This Row],[Group]]="","",NodesData[[#This Row],[Group]])</f>
        <v/>
      </c>
      <c r="C163" s="23" t="str">
        <f>NodesData[[#This Row],[Node ID]]</f>
        <v>n84A25376_673B_437D_A0B8_E206A3A557A1</v>
      </c>
      <c r="D163" s="10" t="s">
        <v>784</v>
      </c>
      <c r="E163" s="26" t="str" cm="1">
        <f t="array" ref="E163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Extended Enterprise</v>
      </c>
      <c r="B164" s="3" t="str">
        <f>IF(NodesData[[#This Row],[Group]]="","",NodesData[[#This Row],[Group]])</f>
        <v/>
      </c>
      <c r="C164" s="23" t="str">
        <f>NodesData[[#This Row],[Node ID]]</f>
        <v>n59206519_5BB4_4BDF_BF6E_C333745B95BB</v>
      </c>
      <c r="D164" s="10" t="s">
        <v>786</v>
      </c>
      <c r="E164" s="26" t="str" cm="1">
        <f t="array" ref="E164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Extensible Access Control Markup Language</v>
      </c>
      <c r="B165" s="3" t="str">
        <f>IF(NodesData[[#This Row],[Group]]="","",NodesData[[#This Row],[Group]])</f>
        <v/>
      </c>
      <c r="C165" s="23" t="str">
        <f>NodesData[[#This Row],[Node ID]]</f>
        <v>n9D4266BF_D624_4D96_974A_C169D11071F2</v>
      </c>
      <c r="D165" s="10" t="s">
        <v>788</v>
      </c>
      <c r="E165" s="26" t="str" cm="1">
        <f t="array" ref="E165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External Threat Agent</v>
      </c>
      <c r="B166" s="3" t="str">
        <f>IF(NodesData[[#This Row],[Group]]="","",NodesData[[#This Row],[Group]])</f>
        <v/>
      </c>
      <c r="C166" s="23" t="str">
        <f>NodesData[[#This Row],[Node ID]]</f>
        <v>n1546AAB1_79BC_427B_AC2C_31B1E8FA4616</v>
      </c>
      <c r="D166" s="10" t="s">
        <v>789</v>
      </c>
      <c r="E166" s="26" t="str" cm="1">
        <f t="array" ref="E166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Facial Recognition Authentication</v>
      </c>
      <c r="B167" s="3" t="str">
        <f>IF(NodesData[[#This Row],[Group]]="","",NodesData[[#This Row],[Group]])</f>
        <v/>
      </c>
      <c r="C167" s="23" t="str">
        <f>NodesData[[#This Row],[Node ID]]</f>
        <v>nA4759A9D_95C0_47CA_B519_8CEF217B2F74</v>
      </c>
      <c r="D167" s="4"/>
      <c r="E167" s="26" t="str" cm="1">
        <f t="array" ref="E167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Authentication","group":"","id":"nA4759A9D_95C0_47CA_B519_8CEF217B2F74","url":""}</v>
      </c>
    </row>
    <row r="168" spans="1:5" ht="13.9" thickTop="1" thickBot="1" x14ac:dyDescent="0.4">
      <c r="A168" s="3" t="str">
        <f>NodesData[[#This Row],[Common Name]]</f>
        <v>Fake Digital Identity</v>
      </c>
      <c r="B168" s="3" t="str">
        <f>IF(NodesData[[#This Row],[Group]]="","",NodesData[[#This Row],[Group]])</f>
        <v/>
      </c>
      <c r="C168" s="23" t="str">
        <f>NodesData[[#This Row],[Node ID]]</f>
        <v>n553E3D82_733E_45F2_B9EC_3768F51696D9</v>
      </c>
      <c r="D168" s="10" t="s">
        <v>791</v>
      </c>
      <c r="E168" s="26" t="str" cm="1">
        <f t="array" ref="E168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FAPI</v>
      </c>
      <c r="B169" s="3" t="str">
        <f>IF(NodesData[[#This Row],[Group]]="","",NodesData[[#This Row],[Group]])</f>
        <v/>
      </c>
      <c r="C169" s="23" t="str">
        <f>NodesData[[#This Row],[Node ID]]</f>
        <v>nFB67A715_39E8_48D0_B1F1_AE50FDB72B9F</v>
      </c>
      <c r="D169" s="10" t="s">
        <v>793</v>
      </c>
      <c r="E169" s="26" t="str" cm="1">
        <f t="array" ref="E169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Federated Identity Management</v>
      </c>
      <c r="B170" s="3" t="str">
        <f>IF(NodesData[[#This Row],[Group]]="","",NodesData[[#This Row],[Group]])</f>
        <v/>
      </c>
      <c r="C170" s="23" t="str">
        <f>NodesData[[#This Row],[Node ID]]</f>
        <v>n8300F70D_DC84_420B_90D6_F00C4D874F30</v>
      </c>
      <c r="D170" s="4"/>
      <c r="E170" s="26" t="str" cm="1">
        <f t="array" ref="E170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1" spans="1:5" ht="13.9" thickTop="1" thickBot="1" x14ac:dyDescent="0.4">
      <c r="A171" s="3" t="str">
        <f>NodesData[[#This Row],[Common Name]]</f>
        <v>Federated Identity Management System</v>
      </c>
      <c r="B171" s="3" t="str">
        <f>IF(NodesData[[#This Row],[Group]]="","",NodesData[[#This Row],[Group]])</f>
        <v/>
      </c>
      <c r="C171" s="23" t="str">
        <f>NodesData[[#This Row],[Node ID]]</f>
        <v>nB2F055B2_845D_45D7_A034_0DE4107D299F</v>
      </c>
      <c r="D171" s="4"/>
      <c r="E171" s="26" t="str" cm="1">
        <f t="array" ref="E171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System","group":"","id":"nB2F055B2_845D_45D7_A034_0DE4107D299F","url":""}</v>
      </c>
    </row>
    <row r="172" spans="1:5" ht="13.9" thickTop="1" thickBot="1" x14ac:dyDescent="0.4">
      <c r="A172" s="3" t="str">
        <f>NodesData[[#This Row],[Common Name]]</f>
        <v>Federated SSO</v>
      </c>
      <c r="B172" s="3" t="str">
        <f>IF(NodesData[[#This Row],[Group]]="","",NodesData[[#This Row],[Group]])</f>
        <v/>
      </c>
      <c r="C172" s="23" t="str">
        <f>NodesData[[#This Row],[Node ID]]</f>
        <v>n74954D1A_7A80_4122_B782_01D5A8EB539E</v>
      </c>
      <c r="D172" s="4"/>
      <c r="E172" s="26" t="str" cm="1">
        <f t="array" ref="E172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SSO","group":"","id":"n74954D1A_7A80_4122_B782_01D5A8EB539E","url":""}</v>
      </c>
    </row>
    <row r="173" spans="1:5" ht="13.9" thickTop="1" thickBot="1" x14ac:dyDescent="0.4">
      <c r="A173" s="3" t="str">
        <f>NodesData[[#This Row],[Common Name]]</f>
        <v>Federation Bridge</v>
      </c>
      <c r="B173" s="3" t="str">
        <f>IF(NodesData[[#This Row],[Group]]="","",NodesData[[#This Row],[Group]])</f>
        <v/>
      </c>
      <c r="C173" s="23" t="str">
        <f>NodesData[[#This Row],[Node ID]]</f>
        <v>nDD4D0EA3_423E_4998_B182_34DD6C3BE9A8</v>
      </c>
      <c r="D173" s="10" t="s">
        <v>795</v>
      </c>
      <c r="E173" s="26" t="str" cm="1">
        <f t="array" ref="E173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FIM</v>
      </c>
      <c r="B174" s="3" t="str">
        <f>IF(NodesData[[#This Row],[Group]]="","",NodesData[[#This Row],[Group]])</f>
        <v/>
      </c>
      <c r="C174" s="23" t="str">
        <f>NodesData[[#This Row],[Node ID]]</f>
        <v>nC7FE17A9_7896_460F_B18F_651313DE938B</v>
      </c>
      <c r="D174" s="8"/>
      <c r="E174" s="26" t="str" cm="1">
        <f t="array" ref="E174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,{"label":"FIM","group":"","id":"nC7FE17A9_7896_460F_B18F_651313DE938B","url":""}</v>
      </c>
    </row>
    <row r="175" spans="1:5" ht="13.9" thickTop="1" thickBot="1" x14ac:dyDescent="0.4">
      <c r="A175" s="3" t="str">
        <f>NodesData[[#This Row],[Common Name]]</f>
        <v>Financial Gain</v>
      </c>
      <c r="B175" s="3" t="str">
        <f>IF(NodesData[[#This Row],[Group]]="","",NodesData[[#This Row],[Group]])</f>
        <v/>
      </c>
      <c r="C175" s="23" t="str">
        <f>NodesData[[#This Row],[Node ID]]</f>
        <v>n52564682_5FAD_48CB_A320_6CFE17950D03</v>
      </c>
      <c r="D175" s="4"/>
      <c r="E175" s="26" t="str" cm="1">
        <f t="array" ref="E175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Gain","group":"","id":"n52564682_5FAD_48CB_A320_6CFE17950D03","url":""}</v>
      </c>
    </row>
    <row r="176" spans="1:5" ht="13.9" thickTop="1" thickBot="1" x14ac:dyDescent="0.4">
      <c r="A176" s="3" t="str">
        <f>NodesData[[#This Row],[Common Name]]</f>
        <v>Financial-grade API</v>
      </c>
      <c r="B176" s="3" t="str">
        <f>IF(NodesData[[#This Row],[Group]]="","",NodesData[[#This Row],[Group]])</f>
        <v/>
      </c>
      <c r="C176" s="23" t="str">
        <f>NodesData[[#This Row],[Node ID]]</f>
        <v>n7ED0A0F0_C8C5_4D50_B320_7841B6D641DC</v>
      </c>
      <c r="D176" s="10" t="s">
        <v>797</v>
      </c>
      <c r="E176" s="26" t="str" cm="1">
        <f t="array" ref="E176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Fingerprint Recognition Authentication</v>
      </c>
      <c r="B177" s="3" t="str">
        <f>IF(NodesData[[#This Row],[Group]]="","",NodesData[[#This Row],[Group]])</f>
        <v/>
      </c>
      <c r="C177" s="23" t="str">
        <f>NodesData[[#This Row],[Node ID]]</f>
        <v>nAACCE65E_6554_4FBD_B4D7_A3BA8E3BDB92</v>
      </c>
      <c r="D177" s="10" t="s">
        <v>799</v>
      </c>
      <c r="E177" s="26" t="str" cm="1">
        <f t="array" ref="E177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FinTech</v>
      </c>
      <c r="B178" s="3" t="str">
        <f>IF(NodesData[[#This Row],[Group]]="","",NodesData[[#This Row],[Group]])</f>
        <v/>
      </c>
      <c r="C178" s="23" t="str">
        <f>NodesData[[#This Row],[Node ID]]</f>
        <v>n24C70F4C_4BF0_490D_B57B_FE1D78BCC3DF</v>
      </c>
      <c r="D178" s="10" t="s">
        <v>801</v>
      </c>
      <c r="E178" s="26" t="str" cm="1">
        <f t="array" ref="E178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Flexibility</v>
      </c>
      <c r="B179" s="3" t="str">
        <f>IF(NodesData[[#This Row],[Group]]="","",NodesData[[#This Row],[Group]])</f>
        <v/>
      </c>
      <c r="C179" s="23" t="str">
        <f>NodesData[[#This Row],[Node ID]]</f>
        <v>nC4DC482E_7938_4C4B_B8F7_24B6E883D324</v>
      </c>
      <c r="D179" s="10" t="s">
        <v>802</v>
      </c>
      <c r="E179" s="26" t="str" cm="1">
        <f t="array" ref="E179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Flow Analysis</v>
      </c>
      <c r="B180" s="3" t="str">
        <f>IF(NodesData[[#This Row],[Group]]="","",NodesData[[#This Row],[Group]])</f>
        <v/>
      </c>
      <c r="C180" s="23" t="str">
        <f>NodesData[[#This Row],[Node ID]]</f>
        <v>n37CDF385_8395_4EBE_AD68_6B887D23D64B</v>
      </c>
      <c r="D180" s="10" t="s">
        <v>803</v>
      </c>
      <c r="E180" s="26" t="str" cm="1">
        <f t="array" ref="E180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Forged Identity</v>
      </c>
      <c r="B181" s="3" t="str">
        <f>IF(NodesData[[#This Row],[Group]]="","",NodesData[[#This Row],[Group]])</f>
        <v/>
      </c>
      <c r="C181" s="23" t="str">
        <f>NodesData[[#This Row],[Node ID]]</f>
        <v>n958F4918_D853_4DF1_A3CD_255CE2FA5AD2</v>
      </c>
      <c r="D181" s="10" t="s">
        <v>805</v>
      </c>
      <c r="E181" s="26" t="str" cm="1">
        <f t="array" ref="E181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Formal Verification</v>
      </c>
      <c r="B182" s="3" t="str">
        <f>IF(NodesData[[#This Row],[Group]]="","",NodesData[[#This Row],[Group]])</f>
        <v/>
      </c>
      <c r="C182" s="23" t="str">
        <f>NodesData[[#This Row],[Node ID]]</f>
        <v>nFEC9BD6E_999E_4253_A00A_CDCD708BCD59</v>
      </c>
      <c r="D182" s="10" t="s">
        <v>807</v>
      </c>
      <c r="E182" s="26" t="str" cm="1">
        <f t="array" ref="E182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Foundational Identification System</v>
      </c>
      <c r="B183" s="3" t="str">
        <f>IF(NodesData[[#This Row],[Group]]="","",NodesData[[#This Row],[Group]])</f>
        <v/>
      </c>
      <c r="C183" s="23" t="str">
        <f>NodesData[[#This Row],[Node ID]]</f>
        <v>n57922764_7F8B_43B4_9441_59AC52F06D1B</v>
      </c>
      <c r="D183" s="10" t="s">
        <v>809</v>
      </c>
      <c r="E183" s="26" t="str" cm="1">
        <f t="array" ref="E183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Front-end Authentication</v>
      </c>
      <c r="B184" s="3" t="str">
        <f>IF(NodesData[[#This Row],[Group]]="","",NodesData[[#This Row],[Group]])</f>
        <v/>
      </c>
      <c r="C184" s="23" t="str">
        <f>NodesData[[#This Row],[Node ID]]</f>
        <v>nA316CFA4_7E99_428D_92EE_4261D71E8D69</v>
      </c>
      <c r="D184" s="10" t="s">
        <v>811</v>
      </c>
      <c r="E184" s="26" t="str" cm="1">
        <f t="array" ref="E184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Functional Identification System</v>
      </c>
      <c r="B185" s="3" t="str">
        <f>IF(NodesData[[#This Row],[Group]]="","",NodesData[[#This Row],[Group]])</f>
        <v/>
      </c>
      <c r="C185" s="23" t="str">
        <f>NodesData[[#This Row],[Node ID]]</f>
        <v>n38A1520C_9EE3_4410_BDCE_EF269F09EC11</v>
      </c>
      <c r="D185" s="10" t="s">
        <v>813</v>
      </c>
      <c r="E185" s="26" t="str" cm="1">
        <f t="array" ref="E185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Functional System</v>
      </c>
      <c r="B186" s="3" t="str">
        <f>IF(NodesData[[#This Row],[Group]]="","",NodesData[[#This Row],[Group]])</f>
        <v/>
      </c>
      <c r="C186" s="23" t="str">
        <f>NodesData[[#This Row],[Node ID]]</f>
        <v>n053A92F1_5083_4E3C_8C99_65FB345EE29F</v>
      </c>
      <c r="D186" s="10" t="s">
        <v>815</v>
      </c>
      <c r="E186" s="26" t="str" cm="1">
        <f t="array" ref="E186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Gait Recognition Authentication</v>
      </c>
      <c r="B187" s="3" t="str">
        <f>IF(NodesData[[#This Row],[Group]]="","",NodesData[[#This Row],[Group]])</f>
        <v/>
      </c>
      <c r="C187" s="23" t="str">
        <f>NodesData[[#This Row],[Node ID]]</f>
        <v>nF5B3A52F_6645_4E18_BE53_3CA330AAEC4A</v>
      </c>
      <c r="D187" s="10" t="s">
        <v>817</v>
      </c>
      <c r="E187" s="26" t="str" cm="1">
        <f t="array" ref="E187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Geo-localization Authentication</v>
      </c>
      <c r="B188" s="3" t="str">
        <f>IF(NodesData[[#This Row],[Group]]="","",NodesData[[#This Row],[Group]])</f>
        <v/>
      </c>
      <c r="C188" s="23" t="str">
        <f>NodesData[[#This Row],[Node ID]]</f>
        <v>nFA8764B3_A099_4BC5_A496_69DDA8F0CAC5</v>
      </c>
      <c r="D188" s="10" t="s">
        <v>819</v>
      </c>
      <c r="E188" s="26" t="str" cm="1">
        <f t="array" ref="E188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Graphical Password-Based Authentication</v>
      </c>
      <c r="B189" s="3" t="str">
        <f>IF(NodesData[[#This Row],[Group]]="","",NodesData[[#This Row],[Group]])</f>
        <v/>
      </c>
      <c r="C189" s="23" t="str">
        <f>NodesData[[#This Row],[Node ID]]</f>
        <v>nBEC4F328_7640_4005_B2B5_DE2C74B06CE0</v>
      </c>
      <c r="D189" s="10" t="s">
        <v>820</v>
      </c>
      <c r="E189" s="26" t="str" cm="1">
        <f t="array" ref="E189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Guest Account</v>
      </c>
      <c r="B190" s="3" t="str">
        <f>IF(NodesData[[#This Row],[Group]]="","",NodesData[[#This Row],[Group]])</f>
        <v/>
      </c>
      <c r="C190" s="23" t="str">
        <f>NodesData[[#This Row],[Node ID]]</f>
        <v>nE943B166_DDA1_4E51_8018_B658EF2F6050</v>
      </c>
      <c r="D190" s="10" t="s">
        <v>822</v>
      </c>
      <c r="E190" s="26" t="str" cm="1">
        <f t="array" ref="E190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Hand Gestures Recognition Authentication</v>
      </c>
      <c r="B191" s="3" t="str">
        <f>IF(NodesData[[#This Row],[Group]]="","",NodesData[[#This Row],[Group]])</f>
        <v/>
      </c>
      <c r="C191" s="23" t="str">
        <f>NodesData[[#This Row],[Node ID]]</f>
        <v>nE75296C8_9CA1_417E_B05B_CC1BDF26F9C3</v>
      </c>
      <c r="D191" s="10" t="s">
        <v>823</v>
      </c>
      <c r="E191" s="26" t="str" cm="1">
        <f t="array" ref="E191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Heartbeats Recognition Authentication</v>
      </c>
      <c r="B192" s="3" t="str">
        <f>IF(NodesData[[#This Row],[Group]]="","",NodesData[[#This Row],[Group]])</f>
        <v/>
      </c>
      <c r="C192" s="23" t="str">
        <f>NodesData[[#This Row],[Node ID]]</f>
        <v>n3E35442D_91A0_4B21_B0FC_31EF1D8BC55F</v>
      </c>
      <c r="D192" s="10" t="s">
        <v>824</v>
      </c>
      <c r="E192" s="26" t="str" cm="1">
        <f t="array" ref="E192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High Water Mark Principle</v>
      </c>
      <c r="B193" s="3" t="str">
        <f>IF(NodesData[[#This Row],[Group]]="","",NodesData[[#This Row],[Group]])</f>
        <v/>
      </c>
      <c r="C193" s="23" t="str">
        <f>NodesData[[#This Row],[Node ID]]</f>
        <v>n7457AC3C_F0BA_459B_9A5D_91BA732BAF2F</v>
      </c>
      <c r="D193" s="10" t="s">
        <v>825</v>
      </c>
      <c r="E193" s="26" t="str" cm="1">
        <f t="array" ref="E193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Human Error</v>
      </c>
      <c r="B194" s="3" t="str">
        <f>IF(NodesData[[#This Row],[Group]]="","",NodesData[[#This Row],[Group]])</f>
        <v/>
      </c>
      <c r="C194" s="23" t="str">
        <f>NodesData[[#This Row],[Node ID]]</f>
        <v>nDB531138_5CD4_4604_965F_9676F4CF6D57</v>
      </c>
      <c r="D194" s="10" t="s">
        <v>848</v>
      </c>
      <c r="E194" s="26" t="str" cm="1">
        <f t="array" ref="E194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Human Reliability</v>
      </c>
      <c r="B195" s="3" t="str">
        <f>IF(NodesData[[#This Row],[Group]]="","",NodesData[[#This Row],[Group]])</f>
        <v/>
      </c>
      <c r="C195" s="23" t="str">
        <f>NodesData[[#This Row],[Node ID]]</f>
        <v>n2C274975_7B46_4E24_8A70_7B0858D9811F</v>
      </c>
      <c r="D195" s="10" t="s">
        <v>826</v>
      </c>
      <c r="E195" s="26" t="str" cm="1">
        <f t="array" ref="E195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IAG</v>
      </c>
      <c r="B196" s="3" t="str">
        <f>IF(NodesData[[#This Row],[Group]]="","",NodesData[[#This Row],[Group]])</f>
        <v/>
      </c>
      <c r="C196" s="23" t="str">
        <f>NodesData[[#This Row],[Node ID]]</f>
        <v>nE137080A_673D_49B5_B79E_E40DCA00457A</v>
      </c>
      <c r="D196" s="10" t="s">
        <v>828</v>
      </c>
      <c r="E196" s="26" t="str" cm="1">
        <f t="array" ref="E196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IAM</v>
      </c>
      <c r="B197" s="3" t="str">
        <f>IF(NodesData[[#This Row],[Group]]="","",NodesData[[#This Row],[Group]])</f>
        <v/>
      </c>
      <c r="C197" s="23" t="str">
        <f>NodesData[[#This Row],[Node ID]]</f>
        <v>n9E70E20F_8AC9_4A48_83FE_BA2E942E7C88</v>
      </c>
      <c r="D197" s="10" t="s">
        <v>850</v>
      </c>
      <c r="E197" s="26" t="str" cm="1">
        <f t="array" ref="E197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IAM ARN</v>
      </c>
      <c r="B198" s="3" t="str">
        <f>IF(NodesData[[#This Row],[Group]]="","",NodesData[[#This Row],[Group]])</f>
        <v/>
      </c>
      <c r="C198" s="23" t="str">
        <f>NodesData[[#This Row],[Node ID]]</f>
        <v>nD20859BA_5BFA_4068_B1B8_4E74C6744811</v>
      </c>
      <c r="D198" s="10" t="s">
        <v>829</v>
      </c>
      <c r="E198" s="26" t="str" cm="1">
        <f t="array" ref="E198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IAM Management</v>
      </c>
      <c r="B199" s="3" t="str">
        <f>IF(NodesData[[#This Row],[Group]]="","",NodesData[[#This Row],[Group]])</f>
        <v/>
      </c>
      <c r="C199" s="23" t="str">
        <f>NodesData[[#This Row],[Node ID]]</f>
        <v>n4D07384C_221F_41CD_941F_F0FD865EE0EB</v>
      </c>
      <c r="D199" s="10" t="s">
        <v>830</v>
      </c>
      <c r="E199" s="26" t="str" cm="1">
        <f t="array" ref="E199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IAP</v>
      </c>
      <c r="B200" s="3" t="str">
        <f>IF(NodesData[[#This Row],[Group]]="","",NodesData[[#This Row],[Group]])</f>
        <v/>
      </c>
      <c r="C200" s="23" t="str">
        <f>NodesData[[#This Row],[Node ID]]</f>
        <v>nA093745B_C215_44C5_9618_075099F0D7DA</v>
      </c>
      <c r="D200" s="10" t="s">
        <v>831</v>
      </c>
      <c r="E200" s="26" t="str" cm="1">
        <f t="array" ref="E200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IDaaS</v>
      </c>
      <c r="B201" s="3" t="str">
        <f>IF(NodesData[[#This Row],[Group]]="","",NodesData[[#This Row],[Group]])</f>
        <v/>
      </c>
      <c r="C201" s="23" t="str">
        <f>NodesData[[#This Row],[Node ID]]</f>
        <v>nDCAD400F_962A_4D5B_A523_07C3D5D11C2F</v>
      </c>
      <c r="D201" s="10" t="s">
        <v>833</v>
      </c>
      <c r="E201" s="26" t="str" cm="1">
        <f t="array" ref="E201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Ideal Type</v>
      </c>
      <c r="B202" s="3" t="str">
        <f>IF(NodesData[[#This Row],[Group]]="","",NodesData[[#This Row],[Group]])</f>
        <v/>
      </c>
      <c r="C202" s="23" t="str">
        <f>NodesData[[#This Row],[Node ID]]</f>
        <v>n36ADA97B_45B1_4B3E_9BB8_5ED9EE8FFF07</v>
      </c>
      <c r="D202" s="10" t="s">
        <v>835</v>
      </c>
      <c r="E202" s="26" t="str" cm="1">
        <f t="array" ref="E202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Identification</v>
      </c>
      <c r="B203" s="3" t="str">
        <f>IF(NodesData[[#This Row],[Group]]="","",NodesData[[#This Row],[Group]])</f>
        <v/>
      </c>
      <c r="C203" s="23" t="str">
        <f>NodesData[[#This Row],[Node ID]]</f>
        <v>nDE675697_10CB_42A7_971F_C62CCDC742AB</v>
      </c>
      <c r="D203" s="10" t="s">
        <v>837</v>
      </c>
      <c r="E203" s="26" t="str" cm="1">
        <f t="array" ref="E203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Identification System</v>
      </c>
      <c r="B204" s="3" t="str">
        <f>IF(NodesData[[#This Row],[Group]]="","",NodesData[[#This Row],[Group]])</f>
        <v/>
      </c>
      <c r="C204" s="23" t="str">
        <f>NodesData[[#This Row],[Node ID]]</f>
        <v>n07633555_1CF5_4F31_8EB2_BF5AE15BFE5B</v>
      </c>
      <c r="D204" s="10" t="s">
        <v>838</v>
      </c>
      <c r="E204" s="26" t="str" cm="1">
        <f t="array" ref="E204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Identifier</v>
      </c>
      <c r="B205" s="3" t="str">
        <f>IF(NodesData[[#This Row],[Group]]="","",NodesData[[#This Row],[Group]])</f>
        <v/>
      </c>
      <c r="C205" s="23" t="str">
        <f>NodesData[[#This Row],[Node ID]]</f>
        <v>n12D825BF_1AD6_45DA_A3EE_F24F0C494771</v>
      </c>
      <c r="D205" s="10" t="s">
        <v>840</v>
      </c>
      <c r="E205" s="26" t="str" cm="1">
        <f t="array" ref="E205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Identifier Registry Model</v>
      </c>
      <c r="B206" s="3" t="str">
        <f>IF(NodesData[[#This Row],[Group]]="","",NodesData[[#This Row],[Group]])</f>
        <v/>
      </c>
      <c r="C206" s="23" t="str">
        <f>NodesData[[#This Row],[Node ID]]</f>
        <v>n1A14A6FB_7322_4971_AD06_EE6FE1DBEF85</v>
      </c>
      <c r="D206" s="10" t="s">
        <v>842</v>
      </c>
      <c r="E206" s="26" t="str" cm="1">
        <f t="array" ref="E206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Identity</v>
      </c>
      <c r="B207" s="3" t="str">
        <f>IF(NodesData[[#This Row],[Group]]="","",NodesData[[#This Row],[Group]])</f>
        <v/>
      </c>
      <c r="C207" s="23" t="str">
        <f>NodesData[[#This Row],[Node ID]]</f>
        <v>n5D6597B4_7390_4065_87F6_BFCDCE5625EB</v>
      </c>
      <c r="D207" s="10" t="s">
        <v>844</v>
      </c>
      <c r="E207" s="26" t="str" cm="1">
        <f t="array" ref="E207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Identity Aggregation</v>
      </c>
      <c r="B208" s="3" t="str">
        <f>IF(NodesData[[#This Row],[Group]]="","",NodesData[[#This Row],[Group]])</f>
        <v/>
      </c>
      <c r="C208" s="23" t="str">
        <f>NodesData[[#This Row],[Node ID]]</f>
        <v>n5FE194E6_55B4_4F11_8A29_041408582E45</v>
      </c>
      <c r="D208" s="10" t="s">
        <v>846</v>
      </c>
      <c r="E208" s="26" t="str" cm="1">
        <f t="array" ref="E208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Identity and Access Governance</v>
      </c>
      <c r="B209" s="3" t="str">
        <f>IF(NodesData[[#This Row],[Group]]="","",NodesData[[#This Row],[Group]])</f>
        <v/>
      </c>
      <c r="C209" s="23" t="str">
        <f>NodesData[[#This Row],[Node ID]]</f>
        <v>nAC531F4A_1CDD_4F70_94C5_8473E1965EEA</v>
      </c>
      <c r="D209" s="10" t="s">
        <v>852</v>
      </c>
      <c r="E209" s="26" t="str" cm="1">
        <f t="array" ref="E209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Identity and Access Management</v>
      </c>
      <c r="B210" s="3" t="str">
        <f>IF(NodesData[[#This Row],[Group]]="","",NodesData[[#This Row],[Group]])</f>
        <v/>
      </c>
      <c r="C210" s="23" t="str">
        <f>NodesData[[#This Row],[Node ID]]</f>
        <v>n95B65CD1_4E0F_4180_9C1E_3B497411E687</v>
      </c>
      <c r="D210" s="10" t="s">
        <v>854</v>
      </c>
      <c r="E210" s="26" t="str" cm="1">
        <f t="array" ref="E210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 Assurance</v>
      </c>
      <c r="B211" s="3" t="str">
        <f>IF(NodesData[[#This Row],[Group]]="","",NodesData[[#This Row],[Group]])</f>
        <v/>
      </c>
      <c r="C211" s="23" t="str">
        <f>NodesData[[#This Row],[Node ID]]</f>
        <v>n63259FD4_267B_439E_81C4_0877FBB2B1F4</v>
      </c>
      <c r="D211" s="10" t="s">
        <v>856</v>
      </c>
      <c r="E211" s="26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Attribute</v>
      </c>
      <c r="B212" s="3" t="str">
        <f>IF(NodesData[[#This Row],[Group]]="","",NodesData[[#This Row],[Group]])</f>
        <v/>
      </c>
      <c r="C212" s="23" t="str">
        <f>NodesData[[#This Row],[Node ID]]</f>
        <v>n2D781A60_CB81_46E7_B4BE_BFEC7B061FE5</v>
      </c>
      <c r="D212" s="10" t="s">
        <v>858</v>
      </c>
      <c r="E212" s="26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Deception</v>
      </c>
      <c r="B213" s="3" t="str">
        <f>IF(NodesData[[#This Row],[Group]]="","",NodesData[[#This Row],[Group]])</f>
        <v/>
      </c>
      <c r="C213" s="23" t="str">
        <f>NodesData[[#This Row],[Node ID]]</f>
        <v>nC0AF8721_A868_4A4D_9F85_3A6D9B88B489</v>
      </c>
      <c r="D213" s="4"/>
      <c r="E213" s="26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Deception","group":"","id":"nC0AF8721_A868_4A4D_9F85_3A6D9B88B489","url":""}</v>
      </c>
    </row>
    <row r="214" spans="1:5" ht="13.9" thickTop="1" thickBot="1" x14ac:dyDescent="0.4">
      <c r="A214" s="3" t="str">
        <f>NodesData[[#This Row],[Common Name]]</f>
        <v>Identity Establishment</v>
      </c>
      <c r="B214" s="3" t="str">
        <f>IF(NodesData[[#This Row],[Group]]="","",NodesData[[#This Row],[Group]])</f>
        <v/>
      </c>
      <c r="C214" s="23" t="str">
        <f>NodesData[[#This Row],[Node ID]]</f>
        <v>nDE7DDB58_F055_42EF_B2D7_1F23FA251512</v>
      </c>
      <c r="D214" s="10" t="s">
        <v>860</v>
      </c>
      <c r="E214" s="26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Federation</v>
      </c>
      <c r="B215" s="3" t="str">
        <f>IF(NodesData[[#This Row],[Group]]="","",NodesData[[#This Row],[Group]])</f>
        <v/>
      </c>
      <c r="C215" s="23" t="str">
        <f>NodesData[[#This Row],[Node ID]]</f>
        <v>nA28C3DFF_EE9A_433F_8E87_6F1C3611654C</v>
      </c>
      <c r="D215" s="10" t="s">
        <v>862</v>
      </c>
      <c r="E215" s="26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Guardian</v>
      </c>
      <c r="B216" s="3" t="str">
        <f>IF(NodesData[[#This Row],[Group]]="","",NodesData[[#This Row],[Group]])</f>
        <v/>
      </c>
      <c r="C216" s="23" t="str">
        <f>NodesData[[#This Row],[Node ID]]</f>
        <v>n57BE0CB5_BAC2_4A6C_BB09_BA0710799A01</v>
      </c>
      <c r="D216" s="10" t="s">
        <v>864</v>
      </c>
      <c r="E216" s="26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Lifecycle</v>
      </c>
      <c r="B217" s="3" t="str">
        <f>IF(NodesData[[#This Row],[Group]]="","",NodesData[[#This Row],[Group]])</f>
        <v/>
      </c>
      <c r="C217" s="23" t="str">
        <f>NodesData[[#This Row],[Node ID]]</f>
        <v>n18B21D41_7371_42BA_AD55_EBF42E646C44</v>
      </c>
      <c r="D217" s="10" t="s">
        <v>866</v>
      </c>
      <c r="E217" s="26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Management</v>
      </c>
      <c r="B218" s="3" t="str">
        <f>IF(NodesData[[#This Row],[Group]]="","",NodesData[[#This Row],[Group]])</f>
        <v/>
      </c>
      <c r="C218" s="23" t="str">
        <f>NodesData[[#This Row],[Node ID]]</f>
        <v>nE76134B5_D4DF_454A_B8A9_6698D084CDB1</v>
      </c>
      <c r="D218" s="10" t="s">
        <v>868</v>
      </c>
      <c r="E218" s="26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Management System</v>
      </c>
      <c r="B219" s="3" t="str">
        <f>IF(NodesData[[#This Row],[Group]]="","",NodesData[[#This Row],[Group]])</f>
        <v/>
      </c>
      <c r="C219" s="23" t="str">
        <f>NodesData[[#This Row],[Node ID]]</f>
        <v>n3F575B2E_542A_4EE1_86A9_93DA3991C61D</v>
      </c>
      <c r="D219" s="10" t="s">
        <v>869</v>
      </c>
      <c r="E219" s="26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Portability</v>
      </c>
      <c r="B220" s="3" t="str">
        <f>IF(NodesData[[#This Row],[Group]]="","",NodesData[[#This Row],[Group]])</f>
        <v/>
      </c>
      <c r="C220" s="23" t="str">
        <f>NodesData[[#This Row],[Node ID]]</f>
        <v>nB826581E_8230_4CC8_9A14_B1F944C22935</v>
      </c>
      <c r="D220" s="10" t="s">
        <v>870</v>
      </c>
      <c r="E220" s="26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Proofing</v>
      </c>
      <c r="B221" s="3" t="str">
        <f>IF(NodesData[[#This Row],[Group]]="","",NodesData[[#This Row],[Group]])</f>
        <v/>
      </c>
      <c r="C221" s="23" t="str">
        <f>NodesData[[#This Row],[Node ID]]</f>
        <v>nA168EF24_837F_4964_BE44_E7CADDEC08AE</v>
      </c>
      <c r="D221" s="3"/>
      <c r="E221" s="26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Proofing","group":"","id":"nA168EF24_837F_4964_BE44_E7CADDEC08AE","url":""}</v>
      </c>
    </row>
    <row r="222" spans="1:5" ht="13.9" thickTop="1" thickBot="1" x14ac:dyDescent="0.4">
      <c r="A222" s="3" t="str">
        <f>NodesData[[#This Row],[Common Name]]</f>
        <v>Identity Propagation</v>
      </c>
      <c r="B222" s="3" t="str">
        <f>IF(NodesData[[#This Row],[Group]]="","",NodesData[[#This Row],[Group]])</f>
        <v/>
      </c>
      <c r="C222" s="23" t="str">
        <f>NodesData[[#This Row],[Node ID]]</f>
        <v>n34461AB4_2CB5_4D9C_ACD7_11E6DB87C391</v>
      </c>
      <c r="D222" s="10" t="s">
        <v>871</v>
      </c>
      <c r="E222" s="26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Provider</v>
      </c>
      <c r="B223" s="3" t="str">
        <f>IF(NodesData[[#This Row],[Group]]="","",NodesData[[#This Row],[Group]])</f>
        <v/>
      </c>
      <c r="C223" s="23" t="str">
        <f>NodesData[[#This Row],[Node ID]]</f>
        <v>n5F66D728_84BD_4BB4_98BF_785C5DAD60D5</v>
      </c>
      <c r="D223" s="10" t="s">
        <v>872</v>
      </c>
      <c r="E223" s="26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Repository</v>
      </c>
      <c r="B224" s="3" t="str">
        <f>IF(NodesData[[#This Row],[Group]]="","",NodesData[[#This Row],[Group]])</f>
        <v/>
      </c>
      <c r="C224" s="23" t="str">
        <f>NodesData[[#This Row],[Node ID]]</f>
        <v>n168F06B1_8C97_4DA7_90D4_CC52279D2500</v>
      </c>
      <c r="D224" s="10" t="s">
        <v>873</v>
      </c>
      <c r="E224" s="26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Theft</v>
      </c>
      <c r="B225" s="3" t="str">
        <f>IF(NodesData[[#This Row],[Group]]="","",NodesData[[#This Row],[Group]])</f>
        <v/>
      </c>
      <c r="C225" s="23" t="str">
        <f>NodesData[[#This Row],[Node ID]]</f>
        <v>n23656C0A_A156_405F_9FF8_7AE62FD6FB07</v>
      </c>
      <c r="D225" s="10" t="s">
        <v>874</v>
      </c>
      <c r="E225" s="26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Usage Authorization</v>
      </c>
      <c r="B226" s="3" t="str">
        <f>IF(NodesData[[#This Row],[Group]]="","",NodesData[[#This Row],[Group]])</f>
        <v/>
      </c>
      <c r="C226" s="23" t="str">
        <f>NodesData[[#This Row],[Node ID]]</f>
        <v>n4E7B27FA_8562_4EC8_869A_378A5937334A</v>
      </c>
      <c r="D226" s="10" t="s">
        <v>876</v>
      </c>
      <c r="E226" s="26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Usage Authorization","group":"","id":"n4E7B27FA_8562_4EC8_869A_378A5937334A","url":"https://open-measure.atlassian.net/wiki/spaces/DIC/pages/822476843"}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Identity-as-a-Service</v>
      </c>
      <c r="B227" s="3" t="str">
        <f>IF(NodesData[[#This Row],[Group]]="","",NodesData[[#This Row],[Group]])</f>
        <v/>
      </c>
      <c r="C227" s="23" t="str">
        <f>NodesData[[#This Row],[Node ID]]</f>
        <v>nE705445E_1259_48CD_9B7E_9243AD8DAA5B</v>
      </c>
      <c r="D227" s="10" t="s">
        <v>878</v>
      </c>
      <c r="E227" s="26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Identity-Aware Proxy</v>
      </c>
      <c r="B228" s="3" t="str">
        <f>IF(NodesData[[#This Row],[Group]]="","",NodesData[[#This Row],[Group]])</f>
        <v/>
      </c>
      <c r="C228" s="23" t="str">
        <f>NodesData[[#This Row],[Node ID]]</f>
        <v>n9AB3CC59_5E4C_4E34_BC2C_1596F01FC5F3</v>
      </c>
      <c r="D228" s="10" t="s">
        <v>880</v>
      </c>
      <c r="E228" s="26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IdMS</v>
      </c>
      <c r="B229" s="3" t="str">
        <f>IF(NodesData[[#This Row],[Group]]="","",NodesData[[#This Row],[Group]])</f>
        <v/>
      </c>
      <c r="C229" s="23" t="str">
        <f>NodesData[[#This Row],[Node ID]]</f>
        <v>n0625B885_15FF_4EC6_89B2_0542A53D54F0</v>
      </c>
      <c r="D229" s="10" t="s">
        <v>882</v>
      </c>
      <c r="E229" s="26" t="str" cm="1">
        <f t="array" ref="E229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IdP</v>
      </c>
      <c r="B230" s="3" t="str">
        <f>IF(NodesData[[#This Row],[Group]]="","",NodesData[[#This Row],[Group]])</f>
        <v/>
      </c>
      <c r="C230" s="23" t="str">
        <f>NodesData[[#This Row],[Node ID]]</f>
        <v>n6C8D27BA_3A49_456D_9605_33E2EBC545E0</v>
      </c>
      <c r="D230" s="10" t="s">
        <v>884</v>
      </c>
      <c r="E230" s="26" t="str" cm="1">
        <f t="array" ref="E230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Illegal Action</v>
      </c>
      <c r="B231" s="3" t="str">
        <f>IF(NodesData[[#This Row],[Group]]="","",NodesData[[#This Row],[Group]])</f>
        <v/>
      </c>
      <c r="C231" s="23" t="str">
        <f>NodesData[[#This Row],[Node ID]]</f>
        <v>nE0352234_7814_467F_8B8B_EF900BACC357</v>
      </c>
      <c r="D231" s="3"/>
      <c r="E231" s="26" t="str" cm="1">
        <f t="array" ref="E231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Action","group":"","id":"nE0352234_7814_467F_8B8B_EF900BACC357","url":""}</v>
      </c>
    </row>
    <row r="232" spans="1:5" ht="13.9" thickTop="1" thickBot="1" x14ac:dyDescent="0.4">
      <c r="A232" s="3" t="str">
        <f>NodesData[[#This Row],[Common Name]]</f>
        <v>IMG</v>
      </c>
      <c r="B232" s="3" t="str">
        <f>IF(NodesData[[#This Row],[Group]]="","",NodesData[[#This Row],[Group]])</f>
        <v/>
      </c>
      <c r="C232" s="23" t="str">
        <f>NodesData[[#This Row],[Node ID]]</f>
        <v>nC513AF63_36CC_4FB7_911F_7E98C3C107B2</v>
      </c>
      <c r="D232" s="10" t="s">
        <v>886</v>
      </c>
      <c r="E232" s="26" t="str" cm="1">
        <f t="array" ref="E232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Impersonation</v>
      </c>
      <c r="B233" s="3" t="str">
        <f>IF(NodesData[[#This Row],[Group]]="","",NodesData[[#This Row],[Group]])</f>
        <v/>
      </c>
      <c r="C233" s="23" t="str">
        <f>NodesData[[#This Row],[Node ID]]</f>
        <v>nBE119251_3169_4F9E_A3A9_744A248EAAA6</v>
      </c>
      <c r="D233" s="10" t="s">
        <v>888</v>
      </c>
      <c r="E233" s="26" t="str" cm="1">
        <f t="array" ref="E233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In-band Authentication</v>
      </c>
      <c r="B234" s="3" t="str">
        <f>IF(NodesData[[#This Row],[Group]]="","",NodesData[[#This Row],[Group]])</f>
        <v/>
      </c>
      <c r="C234" s="23" t="str">
        <f>NodesData[[#This Row],[Node ID]]</f>
        <v>n4DC17AF9_0DFB_478B_B5A5_3463E37CAB92</v>
      </c>
      <c r="D234" s="10" t="s">
        <v>889</v>
      </c>
      <c r="E234" s="26" t="str" cm="1">
        <f t="array" ref="E234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Information</v>
      </c>
      <c r="B235" s="3" t="str">
        <f>IF(NodesData[[#This Row],[Group]]="","",NodesData[[#This Row],[Group]])</f>
        <v/>
      </c>
      <c r="C235" s="23" t="str">
        <f>NodesData[[#This Row],[Node ID]]</f>
        <v>n21D68DDF_6871_4E72_BC2D_303C40ED5E42</v>
      </c>
      <c r="D235" s="10" t="s">
        <v>891</v>
      </c>
      <c r="E235" s="26" t="str" cm="1">
        <f t="array" ref="E235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Information Asset</v>
      </c>
      <c r="B236" s="3" t="str">
        <f>IF(NodesData[[#This Row],[Group]]="","",NodesData[[#This Row],[Group]])</f>
        <v/>
      </c>
      <c r="C236" s="23" t="str">
        <f>NodesData[[#This Row],[Node ID]]</f>
        <v>n28E78E51_49BC_40D3_A073_5C152D095C48</v>
      </c>
      <c r="D236" s="10" t="s">
        <v>893</v>
      </c>
      <c r="E236" s="26" t="str" cm="1">
        <f t="array" ref="E236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Information Custodian</v>
      </c>
      <c r="B237" s="3" t="str">
        <f>IF(NodesData[[#This Row],[Group]]="","",NodesData[[#This Row],[Group]])</f>
        <v/>
      </c>
      <c r="C237" s="23" t="str">
        <f>NodesData[[#This Row],[Node ID]]</f>
        <v>n7FA93F24_5E66_4779_BA3D_3A073C96F04F</v>
      </c>
      <c r="D237" s="10" t="s">
        <v>895</v>
      </c>
      <c r="E237" s="26" t="str" cm="1">
        <f t="array" ref="E237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 Flow Policy</v>
      </c>
      <c r="B238" s="3" t="str">
        <f>IF(NodesData[[#This Row],[Group]]="","",NodesData[[#This Row],[Group]])</f>
        <v/>
      </c>
      <c r="C238" s="23" t="str">
        <f>NodesData[[#This Row],[Node ID]]</f>
        <v>n88A9AD71_624D_49D1_933C_A9F4498456BE</v>
      </c>
      <c r="D238" s="10" t="s">
        <v>897</v>
      </c>
      <c r="E238" s="26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Owner</v>
      </c>
      <c r="B239" s="3" t="str">
        <f>IF(NodesData[[#This Row],[Group]]="","",NodesData[[#This Row],[Group]])</f>
        <v/>
      </c>
      <c r="C239" s="23" t="str">
        <f>NodesData[[#This Row],[Node ID]]</f>
        <v>nAF966081_CDB0_45B3_BB9A_12F39BA05533</v>
      </c>
      <c r="D239" s="10" t="s">
        <v>899</v>
      </c>
      <c r="E239" s="26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Security Domain</v>
      </c>
      <c r="B240" s="3" t="str">
        <f>IF(NodesData[[#This Row],[Group]]="","",NodesData[[#This Row],[Group]])</f>
        <v/>
      </c>
      <c r="C240" s="23" t="str">
        <f>NodesData[[#This Row],[Node ID]]</f>
        <v>n9A6A0946_FAF0_4301_9CFA_1EAAAF6EFADF</v>
      </c>
      <c r="D240" s="10" t="s">
        <v>901</v>
      </c>
      <c r="E240" s="26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System</v>
      </c>
      <c r="B241" s="3" t="str">
        <f>IF(NodesData[[#This Row],[Group]]="","",NodesData[[#This Row],[Group]])</f>
        <v/>
      </c>
      <c r="C241" s="23" t="str">
        <f>NodesData[[#This Row],[Node ID]]</f>
        <v>nB0B5F503_B8FC_4496_972E_66927B58AF67</v>
      </c>
      <c r="D241" s="10" t="s">
        <v>903</v>
      </c>
      <c r="E241" s="26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Inherence Factor</v>
      </c>
      <c r="B242" s="3" t="str">
        <f>IF(NodesData[[#This Row],[Group]]="","",NodesData[[#This Row],[Group]])</f>
        <v/>
      </c>
      <c r="C242" s="23" t="str">
        <f>NodesData[[#This Row],[Node ID]]</f>
        <v>n99E2EC41_CA7B_41FD_8304_3926884533F9</v>
      </c>
      <c r="D242" s="10" t="s">
        <v>905</v>
      </c>
      <c r="E242" s="26" t="str" cm="1">
        <f t="array" ref="E242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Inside Attacker</v>
      </c>
      <c r="B243" s="3" t="str">
        <f>IF(NodesData[[#This Row],[Group]]="","",NodesData[[#This Row],[Group]])</f>
        <v/>
      </c>
      <c r="C243" s="23" t="str">
        <f>NodesData[[#This Row],[Node ID]]</f>
        <v>nE918EA94_ED3D_49AA_8C98_9382D56885C2</v>
      </c>
      <c r="D243" s="10" t="s">
        <v>907</v>
      </c>
      <c r="E243" s="26" t="str" cm="1">
        <f t="array" ref="E243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Insider</v>
      </c>
      <c r="B244" s="3" t="str">
        <f>IF(NodesData[[#This Row],[Group]]="","",NodesData[[#This Row],[Group]])</f>
        <v/>
      </c>
      <c r="C244" s="23" t="str">
        <f>NodesData[[#This Row],[Node ID]]</f>
        <v>n4FB0018B_54D8_4931_8F94_16C63A3F8C83</v>
      </c>
      <c r="D244" s="4"/>
      <c r="E244" s="26" t="str" cm="1">
        <f t="array" ref="E244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,{"label":"Insider","group":"","id":"n4FB0018B_54D8_4931_8F94_16C63A3F8C83","url":""}</v>
      </c>
    </row>
    <row r="245" spans="1:5" ht="13.9" thickTop="1" thickBot="1" x14ac:dyDescent="0.4">
      <c r="A245" s="3" t="str">
        <f>NodesData[[#This Row],[Common Name]]</f>
        <v>Insider Attack</v>
      </c>
      <c r="B245" s="3" t="str">
        <f>IF(NodesData[[#This Row],[Group]]="","",NodesData[[#This Row],[Group]])</f>
        <v/>
      </c>
      <c r="C245" s="23" t="str">
        <f>NodesData[[#This Row],[Node ID]]</f>
        <v>n429FED9F_D609_402A_A4D4_27BF7F04F154</v>
      </c>
      <c r="D245" s="3"/>
      <c r="E245" s="26" t="str" cm="1">
        <f t="array" ref="E245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Attack","group":"","id":"n429FED9F_D609_402A_A4D4_27BF7F04F154","url":""}</v>
      </c>
    </row>
    <row r="246" spans="1:5" ht="13.9" thickTop="1" thickBot="1" x14ac:dyDescent="0.4">
      <c r="A246" s="3" t="str">
        <f>NodesData[[#This Row],[Common Name]]</f>
        <v>Insider Threat</v>
      </c>
      <c r="B246" s="3" t="str">
        <f>IF(NodesData[[#This Row],[Group]]="","",NodesData[[#This Row],[Group]])</f>
        <v/>
      </c>
      <c r="C246" s="23" t="str">
        <f>NodesData[[#This Row],[Node ID]]</f>
        <v>n4BBD1B98_1E78_4A7C_AFAA_86753DB40829</v>
      </c>
      <c r="D246" s="4"/>
      <c r="E246" s="26" t="str" cm="1">
        <f t="array" ref="E246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Threat","group":"","id":"n4BBD1B98_1E78_4A7C_AFAA_86753DB40829","url":""}</v>
      </c>
    </row>
    <row r="247" spans="1:5" ht="13.9" thickTop="1" thickBot="1" x14ac:dyDescent="0.4">
      <c r="A247" s="3" t="str">
        <f>NodesData[[#This Row],[Common Name]]</f>
        <v>Insufficient Granularity of Access Control</v>
      </c>
      <c r="B247" s="3" t="str">
        <f>IF(NodesData[[#This Row],[Group]]="","",NodesData[[#This Row],[Group]])</f>
        <v/>
      </c>
      <c r="C247" s="23" t="str">
        <f>NodesData[[#This Row],[Node ID]]</f>
        <v>n5C69F995_02F9_4641_8DDC_1DEAB80E3377</v>
      </c>
      <c r="D247" s="10" t="s">
        <v>909</v>
      </c>
      <c r="E247" s="26" t="str" cm="1">
        <f t="array" ref="E247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Intentional Error</v>
      </c>
      <c r="B248" s="3" t="str">
        <f>IF(NodesData[[#This Row],[Group]]="","",NodesData[[#This Row],[Group]])</f>
        <v/>
      </c>
      <c r="C248" s="23" t="str">
        <f>NodesData[[#This Row],[Node ID]]</f>
        <v>nA9BAB0B4_F590_4EA4_BCC5_9C8C3863E83A</v>
      </c>
      <c r="D248" s="10" t="s">
        <v>911</v>
      </c>
      <c r="E248" s="26" t="str" cm="1">
        <f t="array" ref="E248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Interested Party</v>
      </c>
      <c r="B249" s="3" t="str">
        <f>IF(NodesData[[#This Row],[Group]]="","",NodesData[[#This Row],[Group]])</f>
        <v/>
      </c>
      <c r="C249" s="23" t="str">
        <f>NodesData[[#This Row],[Node ID]]</f>
        <v>n0C1E6A85_DF85_4330_881B_C5F42F671FD5</v>
      </c>
      <c r="D249" s="10" t="s">
        <v>913</v>
      </c>
      <c r="E249" s="26" t="str" cm="1">
        <f t="array" ref="E249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Interoperability</v>
      </c>
      <c r="B250" s="3" t="str">
        <f>IF(NodesData[[#This Row],[Group]]="","",NodesData[[#This Row],[Group]])</f>
        <v/>
      </c>
      <c r="C250" s="23" t="str">
        <f>NodesData[[#This Row],[Node ID]]</f>
        <v>nE94C80F1_064A_44B2_BDBC_0056E1019A9F</v>
      </c>
      <c r="D250" s="10" t="s">
        <v>915</v>
      </c>
      <c r="E250" s="26" t="str" cm="1">
        <f t="array" ref="E250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Interval Scale</v>
      </c>
      <c r="B251" s="3" t="str">
        <f>IF(NodesData[[#This Row],[Group]]="","",NodesData[[#This Row],[Group]])</f>
        <v/>
      </c>
      <c r="C251" s="23" t="str">
        <f>NodesData[[#This Row],[Node ID]]</f>
        <v>n3EBA3C47_F9ED_429B_BC3D_679D12721192</v>
      </c>
      <c r="D251" s="10" t="s">
        <v>917</v>
      </c>
      <c r="E251" s="26" t="str" cm="1">
        <f t="array" ref="E251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Iris Recognition Authentication</v>
      </c>
      <c r="B252" s="3" t="str">
        <f>IF(NodesData[[#This Row],[Group]]="","",NodesData[[#This Row],[Group]])</f>
        <v/>
      </c>
      <c r="C252" s="23" t="str">
        <f>NodesData[[#This Row],[Node ID]]</f>
        <v>nFF2EA87E_84ED_44A7_83DE_4A3C4C0F01DF</v>
      </c>
      <c r="D252" s="10" t="s">
        <v>919</v>
      </c>
      <c r="E252" s="26" t="str" cm="1">
        <f t="array" ref="E252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Isolated Identity Management System</v>
      </c>
      <c r="B253" s="3" t="str">
        <f>IF(NodesData[[#This Row],[Group]]="","",NodesData[[#This Row],[Group]])</f>
        <v/>
      </c>
      <c r="C253" s="23" t="str">
        <f>NodesData[[#This Row],[Node ID]]</f>
        <v>n06B404BB_42D7_49A0_87EF_0BD1066C228B</v>
      </c>
      <c r="D253" s="10" t="s">
        <v>921</v>
      </c>
      <c r="E253" s="26" t="str" cm="1">
        <f t="array" ref="E253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IT Asset Scope</v>
      </c>
      <c r="B254" s="3" t="str">
        <f>IF(NodesData[[#This Row],[Group]]="","",NodesData[[#This Row],[Group]])</f>
        <v/>
      </c>
      <c r="C254" s="23" t="str">
        <f>NodesData[[#This Row],[Node ID]]</f>
        <v>n29ED772E_0526_4755_B8BE_2218FA7602F9</v>
      </c>
      <c r="D254" s="10" t="s">
        <v>923</v>
      </c>
      <c r="E254" s="26" t="str" cm="1">
        <f t="array" ref="E254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IT Component</v>
      </c>
      <c r="B255" s="3" t="str">
        <f>IF(NodesData[[#This Row],[Group]]="","",NodesData[[#This Row],[Group]])</f>
        <v/>
      </c>
      <c r="C255" s="23" t="str">
        <f>NodesData[[#This Row],[Node ID]]</f>
        <v>n80310A12_2F48_48B9_A9C3_E6FADD4B55C9</v>
      </c>
      <c r="D255" s="10" t="s">
        <v>925</v>
      </c>
      <c r="E255" s="26" t="str" cm="1">
        <f t="array" ref="E255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IT Hardware</v>
      </c>
      <c r="B256" s="3" t="str">
        <f>IF(NodesData[[#This Row],[Group]]="","",NodesData[[#This Row],[Group]])</f>
        <v/>
      </c>
      <c r="C256" s="23" t="str">
        <f>NodesData[[#This Row],[Node ID]]</f>
        <v>n940256DD_635E_4F4B_91EA_B3366D40E947</v>
      </c>
      <c r="D256" s="10" t="s">
        <v>927</v>
      </c>
      <c r="E256" s="26" t="str" cm="1">
        <f t="array" ref="E256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Software</v>
      </c>
      <c r="B257" s="3" t="str">
        <f>IF(NodesData[[#This Row],[Group]]="","",NodesData[[#This Row],[Group]])</f>
        <v/>
      </c>
      <c r="C257" s="23" t="str">
        <f>NodesData[[#This Row],[Node ID]]</f>
        <v>nBB725018_7327_49FB_A48A_74839D0C04F9</v>
      </c>
      <c r="D257" s="10" t="s">
        <v>929</v>
      </c>
      <c r="E257" s="26" t="str" cm="1">
        <f t="array" ref="E257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System</v>
      </c>
      <c r="B258" s="3" t="str">
        <f>IF(NodesData[[#This Row],[Group]]="","",NodesData[[#This Row],[Group]])</f>
        <v/>
      </c>
      <c r="C258" s="23" t="str">
        <f>NodesData[[#This Row],[Node ID]]</f>
        <v>nC607594D_D597_4C8E_9605_EED87566C2FD</v>
      </c>
      <c r="D258" s="10" t="s">
        <v>931</v>
      </c>
      <c r="E258" s="26" t="str" cm="1">
        <f t="array" ref="E258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JML</v>
      </c>
      <c r="B259" s="3" t="str">
        <f>IF(NodesData[[#This Row],[Group]]="","",NodesData[[#This Row],[Group]])</f>
        <v/>
      </c>
      <c r="C259" s="23" t="str">
        <f>NodesData[[#This Row],[Node ID]]</f>
        <v>n4BA874E7_FD38_4B95_9C12_7EC786240F23</v>
      </c>
      <c r="D259" s="10" t="s">
        <v>933</v>
      </c>
      <c r="E259" s="26" t="str" cm="1">
        <f t="array" ref="E259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Joiner</v>
      </c>
      <c r="B260" s="3" t="str">
        <f>IF(NodesData[[#This Row],[Group]]="","",NodesData[[#This Row],[Group]])</f>
        <v/>
      </c>
      <c r="C260" s="23" t="str">
        <f>NodesData[[#This Row],[Node ID]]</f>
        <v>n919E37D7_0E0D_437A_A4B9_F0C63FC91592</v>
      </c>
      <c r="D260" s="3"/>
      <c r="E260" s="26" t="str" cm="1">
        <f t="array" ref="E260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,{"label":"Joiner","group":"","id":"n919E37D7_0E0D_437A_A4B9_F0C63FC91592","url":""}</v>
      </c>
    </row>
    <row r="261" spans="1:5" ht="13.9" thickTop="1" thickBot="1" x14ac:dyDescent="0.4">
      <c r="A261" s="3" t="str">
        <f>NodesData[[#This Row],[Common Name]]</f>
        <v>Joiner Hire Date</v>
      </c>
      <c r="B261" s="3" t="str">
        <f>IF(NodesData[[#This Row],[Group]]="","",NodesData[[#This Row],[Group]])</f>
        <v/>
      </c>
      <c r="C261" s="23" t="str">
        <f>NodesData[[#This Row],[Node ID]]</f>
        <v>nF036ACA7_5DED_4C47_BEC4_43A7941A1A11</v>
      </c>
      <c r="D261" s="10" t="s">
        <v>934</v>
      </c>
      <c r="E261" s="26" t="str" cm="1">
        <f t="array" ref="E261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Joiner Lead Time</v>
      </c>
      <c r="B262" s="3" t="str">
        <f>IF(NodesData[[#This Row],[Group]]="","",NodesData[[#This Row],[Group]])</f>
        <v/>
      </c>
      <c r="C262" s="23" t="str">
        <f>NodesData[[#This Row],[Node ID]]</f>
        <v>n85D3D9C0_BF0A_457D_9E9E_918869EE6A60</v>
      </c>
      <c r="D262" s="10" t="s">
        <v>935</v>
      </c>
      <c r="E262" s="26" t="str" cm="1">
        <f t="array" ref="E262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 Process</v>
      </c>
      <c r="B263" s="3" t="str">
        <f>IF(NodesData[[#This Row],[Group]]="","",NodesData[[#This Row],[Group]])</f>
        <v/>
      </c>
      <c r="C263" s="23" t="str">
        <f>NodesData[[#This Row],[Node ID]]</f>
        <v>n2156A14C_9F0A_4133_9B6B_E2F493C2DDE5</v>
      </c>
      <c r="D263" s="10" t="s">
        <v>936</v>
      </c>
      <c r="E263" s="26" t="str" cm="1">
        <f t="array" ref="E263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Start Date</v>
      </c>
      <c r="B264" s="3" t="str">
        <f>IF(NodesData[[#This Row],[Group]]="","",NodesData[[#This Row],[Group]])</f>
        <v/>
      </c>
      <c r="C264" s="23" t="str">
        <f>NodesData[[#This Row],[Node ID]]</f>
        <v>n9DBB71BC_1401_49CF_8C61_CD7DE85382A7</v>
      </c>
      <c r="D264" s="10" t="s">
        <v>937</v>
      </c>
      <c r="E264" s="26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Key Criteria Type</v>
      </c>
      <c r="B265" s="3" t="str">
        <f>IF(NodesData[[#This Row],[Group]]="","",NodesData[[#This Row],[Group]])</f>
        <v/>
      </c>
      <c r="C265" s="23" t="str">
        <f>NodesData[[#This Row],[Node ID]]</f>
        <v>n8B8EDDAB_CC41_45B7_8B8A_AC9D282F1C05</v>
      </c>
      <c r="D265" s="10" t="s">
        <v>939</v>
      </c>
      <c r="E265" s="26" t="str" cm="1">
        <f t="array" ref="E265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Key Information</v>
      </c>
      <c r="B266" s="3" t="str">
        <f>IF(NodesData[[#This Row],[Group]]="","",NodesData[[#This Row],[Group]])</f>
        <v/>
      </c>
      <c r="C266" s="23" t="str">
        <f>NodesData[[#This Row],[Node ID]]</f>
        <v>n3073C6C9_12F8_44C9_8D1B_2F7187AD9F60</v>
      </c>
      <c r="D266" s="10" t="s">
        <v>941</v>
      </c>
      <c r="E266" s="26" t="str" cm="1">
        <f t="array" ref="E266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Keying Material</v>
      </c>
      <c r="B267" s="3" t="str">
        <f>IF(NodesData[[#This Row],[Group]]="","",NodesData[[#This Row],[Group]])</f>
        <v/>
      </c>
      <c r="C267" s="23" t="str">
        <f>NodesData[[#This Row],[Node ID]]</f>
        <v>n6AE1B549_6E17_4533_A2B8_5AFB4B73B654</v>
      </c>
      <c r="D267" s="4"/>
      <c r="E267" s="26" t="str" cm="1">
        <f t="array" ref="E267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Material","group":"","id":"n6AE1B549_6E17_4533_A2B8_5AFB4B73B654","url":""}</v>
      </c>
    </row>
    <row r="268" spans="1:5" ht="13.9" thickTop="1" thickBot="1" x14ac:dyDescent="0.4">
      <c r="A268" s="3" t="str">
        <f>NodesData[[#This Row],[Common Name]]</f>
        <v>Keystroke Recognition Authentication</v>
      </c>
      <c r="B268" s="3" t="str">
        <f>IF(NodesData[[#This Row],[Group]]="","",NodesData[[#This Row],[Group]])</f>
        <v/>
      </c>
      <c r="C268" s="23" t="str">
        <f>NodesData[[#This Row],[Node ID]]</f>
        <v>n35F5759D_AAFF_439C_A04E_623AA07EE4D9</v>
      </c>
      <c r="D268" s="10" t="s">
        <v>943</v>
      </c>
      <c r="E268" s="26" t="str" cm="1">
        <f t="array" ref="E268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Knowledge Factor</v>
      </c>
      <c r="B269" s="3" t="str">
        <f>IF(NodesData[[#This Row],[Group]]="","",NodesData[[#This Row],[Group]])</f>
        <v/>
      </c>
      <c r="C269" s="23" t="str">
        <f>NodesData[[#This Row],[Node ID]]</f>
        <v>n63EDDBAD_A168_4974_B9D5_9B90FB3F688E</v>
      </c>
      <c r="D269" s="10" t="s">
        <v>945</v>
      </c>
      <c r="E269" s="26" t="str" cm="1">
        <f t="array" ref="E269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Knuckleprint Recognition Authentication</v>
      </c>
      <c r="B270" s="3" t="str">
        <f>IF(NodesData[[#This Row],[Group]]="","",NodesData[[#This Row],[Group]])</f>
        <v/>
      </c>
      <c r="C270" s="23" t="str">
        <f>NodesData[[#This Row],[Node ID]]</f>
        <v>nC63D5B91_5DF9_4B35_856B_670E59CF1CA0</v>
      </c>
      <c r="D270" s="10" t="s">
        <v>946</v>
      </c>
      <c r="E270" s="26" t="str" cm="1">
        <f t="array" ref="E270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KYC</v>
      </c>
      <c r="B271" s="3" t="str">
        <f>IF(NodesData[[#This Row],[Group]]="","",NodesData[[#This Row],[Group]])</f>
        <v/>
      </c>
      <c r="C271" s="23" t="str">
        <f>NodesData[[#This Row],[Node ID]]</f>
        <v>nD722A063_3ADB_4367_9941_1F20AAC0CAEC</v>
      </c>
      <c r="D271" s="4"/>
      <c r="E271" s="26" t="str" cm="1">
        <f t="array" ref="E271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,{"label":"KYC","group":"","id":"nD722A063_3ADB_4367_9941_1F20AAC0CAEC","url":""}</v>
      </c>
    </row>
    <row r="272" spans="1:5" ht="13.9" thickTop="1" thickBot="1" x14ac:dyDescent="0.4">
      <c r="A272" s="3" t="str">
        <f>NodesData[[#This Row],[Common Name]]</f>
        <v>KYC Registry</v>
      </c>
      <c r="B272" s="3" t="str">
        <f>IF(NodesData[[#This Row],[Group]]="","",NodesData[[#This Row],[Group]])</f>
        <v/>
      </c>
      <c r="C272" s="23" t="str">
        <f>NodesData[[#This Row],[Node ID]]</f>
        <v>n118336A6_0C60_4B0E_8F22_B48CA99CA2F4</v>
      </c>
      <c r="D272" s="10" t="s">
        <v>949</v>
      </c>
      <c r="E272" s="26" t="str" cm="1">
        <f t="array" ref="E272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Lattice-Based Access Control</v>
      </c>
      <c r="B273" s="3" t="str">
        <f>IF(NodesData[[#This Row],[Group]]="","",NodesData[[#This Row],[Group]])</f>
        <v/>
      </c>
      <c r="C273" s="23" t="str">
        <f>NodesData[[#This Row],[Node ID]]</f>
        <v>nA1358380_830F_4EEB_80CE_CC83C065B2E4</v>
      </c>
      <c r="D273" s="10" t="s">
        <v>951</v>
      </c>
      <c r="E273" s="26" t="str" cm="1">
        <f t="array" ref="E273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Layers Architectural Pattern</v>
      </c>
      <c r="B274" s="3" t="str">
        <f>IF(NodesData[[#This Row],[Group]]="","",NodesData[[#This Row],[Group]])</f>
        <v/>
      </c>
      <c r="C274" s="23" t="str">
        <f>NodesData[[#This Row],[Node ID]]</f>
        <v>n3EAC848A_1433_441F_9E9A_7FE06432D202</v>
      </c>
      <c r="D274" s="10" t="s">
        <v>953</v>
      </c>
      <c r="E274" s="26" t="str" cm="1">
        <f t="array" ref="E274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LBAC</v>
      </c>
      <c r="B275" s="3" t="str">
        <f>IF(NodesData[[#This Row],[Group]]="","",NodesData[[#This Row],[Group]])</f>
        <v/>
      </c>
      <c r="C275" s="23" t="str">
        <f>NodesData[[#This Row],[Node ID]]</f>
        <v>n7F5407C3_E9C5_4FD3_A4BC_1BF68CE94502</v>
      </c>
      <c r="D275" s="10" t="s">
        <v>955</v>
      </c>
      <c r="E275" s="26" t="str" cm="1">
        <f t="array" ref="E275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Leading Indicator</v>
      </c>
      <c r="B276" s="3" t="str">
        <f>IF(NodesData[[#This Row],[Group]]="","",NodesData[[#This Row],[Group]])</f>
        <v/>
      </c>
      <c r="C276" s="23" t="str">
        <f>NodesData[[#This Row],[Node ID]]</f>
        <v>nCDB2CA01_F37D_45DF_8EBF_86192F36727D</v>
      </c>
      <c r="D276" s="10" t="s">
        <v>956</v>
      </c>
      <c r="E276" s="26" t="str" cm="1">
        <f t="array" ref="E276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Least Privilege</v>
      </c>
      <c r="B277" s="3" t="str">
        <f>IF(NodesData[[#This Row],[Group]]="","",NodesData[[#This Row],[Group]])</f>
        <v/>
      </c>
      <c r="C277" s="23" t="str">
        <f>NodesData[[#This Row],[Node ID]]</f>
        <v>n55E83346_C5D9_4522_AAFE_41AFD850D242</v>
      </c>
      <c r="D277" s="10" t="s">
        <v>948</v>
      </c>
      <c r="E277" s="26" t="str" cm="1">
        <f t="array" ref="E277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Legal Entity Identifier</v>
      </c>
      <c r="B278" s="3" t="str">
        <f>IF(NodesData[[#This Row],[Group]]="","",NodesData[[#This Row],[Group]])</f>
        <v/>
      </c>
      <c r="C278" s="23" t="str">
        <f>NodesData[[#This Row],[Node ID]]</f>
        <v>n532F9243_3E60_4095_B0E5_8AEED1D0ED9A</v>
      </c>
      <c r="D278" s="10" t="s">
        <v>960</v>
      </c>
      <c r="E278" s="26" t="str" cm="1">
        <f t="array" ref="E278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Legitimate Privilege Abuse</v>
      </c>
      <c r="B279" s="3" t="str">
        <f>IF(NodesData[[#This Row],[Group]]="","",NodesData[[#This Row],[Group]])</f>
        <v/>
      </c>
      <c r="C279" s="23" t="str">
        <f>NodesData[[#This Row],[Node ID]]</f>
        <v>n9DB8F87B_0E27_4ADC_A89D_30DC429109ED</v>
      </c>
      <c r="D279" s="10" t="s">
        <v>962</v>
      </c>
      <c r="E279" s="26" t="str" cm="1">
        <f t="array" ref="E279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LEI</v>
      </c>
      <c r="B280" s="3" t="str">
        <f>IF(NodesData[[#This Row],[Group]]="","",NodesData[[#This Row],[Group]])</f>
        <v/>
      </c>
      <c r="C280" s="23" t="str">
        <f>NodesData[[#This Row],[Node ID]]</f>
        <v>nE1D131E1_6E4B_4128_ACFC_B11E0284331D</v>
      </c>
      <c r="D280" s="10" t="s">
        <v>958</v>
      </c>
      <c r="E280" s="26" t="str" cm="1">
        <f t="array" ref="E280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Levels of Assurance</v>
      </c>
      <c r="B281" s="3" t="str">
        <f>IF(NodesData[[#This Row],[Group]]="","",NodesData[[#This Row],[Group]])</f>
        <v/>
      </c>
      <c r="C281" s="23" t="str">
        <f>NodesData[[#This Row],[Node ID]]</f>
        <v>n42CABDEA_283C_4884_BBFF_7B24A5E715E6</v>
      </c>
      <c r="D281" s="10" t="s">
        <v>964</v>
      </c>
      <c r="E281" s="26" t="str" cm="1">
        <f t="array" ref="E281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Liberal Discretionary Access Control</v>
      </c>
      <c r="B282" s="3" t="str">
        <f>IF(NodesData[[#This Row],[Group]]="","",NodesData[[#This Row],[Group]])</f>
        <v/>
      </c>
      <c r="C282" s="23" t="str">
        <f>NodesData[[#This Row],[Node ID]]</f>
        <v>n6803C365_1074_4F24_A95A_585E021E5FF0</v>
      </c>
      <c r="D282" s="10" t="s">
        <v>966</v>
      </c>
      <c r="E282" s="26" t="str" cm="1">
        <f t="array" ref="E282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LOA</v>
      </c>
      <c r="B283" s="3" t="str">
        <f>IF(NodesData[[#This Row],[Group]]="","",NodesData[[#This Row],[Group]])</f>
        <v/>
      </c>
      <c r="C283" s="23" t="str">
        <f>NodesData[[#This Row],[Node ID]]</f>
        <v>n0CFBF92C_8241_4364_871A_4D3705CF95A0</v>
      </c>
      <c r="D283" s="10" t="s">
        <v>968</v>
      </c>
      <c r="E283" s="26" t="str" cm="1">
        <f t="array" ref="E283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Location Factor</v>
      </c>
      <c r="B284" s="3" t="str">
        <f>IF(NodesData[[#This Row],[Group]]="","",NodesData[[#This Row],[Group]])</f>
        <v/>
      </c>
      <c r="C284" s="23" t="str">
        <f>NodesData[[#This Row],[Node ID]]</f>
        <v>nE61E61F3_D210_49D4_9FB5_8E7744490C9D</v>
      </c>
      <c r="D284" s="10" t="s">
        <v>970</v>
      </c>
      <c r="E284" s="26" t="str" cm="1">
        <f t="array" ref="E284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Logic Bomb</v>
      </c>
      <c r="B285" s="3" t="str">
        <f>IF(NodesData[[#This Row],[Group]]="","",NodesData[[#This Row],[Group]])</f>
        <v/>
      </c>
      <c r="C285" s="23" t="str">
        <f>NodesData[[#This Row],[Node ID]]</f>
        <v>n0824A767_06E0_42E4_86AA_C7ECB7A1A81E</v>
      </c>
      <c r="D285" s="10" t="s">
        <v>972</v>
      </c>
      <c r="E285" s="26" t="str" cm="1">
        <f t="array" ref="E285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Login</v>
      </c>
      <c r="B286" s="3" t="str">
        <f>IF(NodesData[[#This Row],[Group]]="","",NodesData[[#This Row],[Group]])</f>
        <v/>
      </c>
      <c r="C286" s="23" t="str">
        <f>NodesData[[#This Row],[Node ID]]</f>
        <v>n46EF9D9A_E262_42CE_84DD_31B44FFFC872</v>
      </c>
      <c r="D286" s="10" t="s">
        <v>973</v>
      </c>
      <c r="E286" s="26" t="str" cm="1">
        <f t="array" ref="E286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Login ID</v>
      </c>
      <c r="B287" s="3" t="str">
        <f>IF(NodesData[[#This Row],[Group]]="","",NodesData[[#This Row],[Group]])</f>
        <v/>
      </c>
      <c r="C287" s="23" t="str">
        <f>NodesData[[#This Row],[Node ID]]</f>
        <v>nE45E61D9_9369_4987_B110_303B87C7DD18</v>
      </c>
      <c r="D287" s="10" t="s">
        <v>974</v>
      </c>
      <c r="E287" s="26" t="str" cm="1">
        <f t="array" ref="E287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Login Name</v>
      </c>
      <c r="B288" s="3" t="str">
        <f>IF(NodesData[[#This Row],[Group]]="","",NodesData[[#This Row],[Group]])</f>
        <v/>
      </c>
      <c r="C288" s="23" t="str">
        <f>NodesData[[#This Row],[Node ID]]</f>
        <v>n7CFF42F4_F82C_4184_81FE_6459832E495C</v>
      </c>
      <c r="D288" s="10" t="s">
        <v>976</v>
      </c>
      <c r="E288" s="26" t="str" cm="1">
        <f t="array" ref="E288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Mechanism</v>
      </c>
      <c r="B289" s="3" t="str">
        <f>IF(NodesData[[#This Row],[Group]]="","",NodesData[[#This Row],[Group]])</f>
        <v/>
      </c>
      <c r="C289" s="23" t="str">
        <f>NodesData[[#This Row],[Node ID]]</f>
        <v>n5093C332_EBE3_4146_9E6E_13A644D6709F</v>
      </c>
      <c r="D289" s="10" t="s">
        <v>977</v>
      </c>
      <c r="E289" s="26" t="str" cm="1">
        <f t="array" ref="E289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Metadirectory</v>
      </c>
      <c r="B290" s="3" t="str">
        <f>IF(NodesData[[#This Row],[Group]]="","",NodesData[[#This Row],[Group]])</f>
        <v/>
      </c>
      <c r="C290" s="23" t="str">
        <f>NodesData[[#This Row],[Node ID]]</f>
        <v>nFADAB6B8_8A3D_435C_9AD9_15538E50E471</v>
      </c>
      <c r="D290" s="10" t="s">
        <v>979</v>
      </c>
      <c r="E290" s="26" t="str" cm="1">
        <f t="array" ref="E290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Multidomain Single Sign-On</v>
      </c>
      <c r="B291" s="3" t="str">
        <f>IF(NodesData[[#This Row],[Group]]="","",NodesData[[#This Row],[Group]])</f>
        <v/>
      </c>
      <c r="C291" s="23" t="str">
        <f>NodesData[[#This Row],[Node ID]]</f>
        <v>nE2E1BE6A_43E8_4B96_8DF5_2E30C8EF3BDF</v>
      </c>
      <c r="D291" s="10" t="s">
        <v>981</v>
      </c>
      <c r="E291" s="26" t="str" cm="1">
        <f t="array" ref="E291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Multilevel Security</v>
      </c>
      <c r="B292" s="3" t="str">
        <f>IF(NodesData[[#This Row],[Group]]="","",NodesData[[#This Row],[Group]])</f>
        <v/>
      </c>
      <c r="C292" s="23" t="str">
        <f>NodesData[[#This Row],[Node ID]]</f>
        <v>nF7063463_177E_42A8_8F09_57EF6B9D00BD</v>
      </c>
      <c r="D292" s="10" t="s">
        <v>983</v>
      </c>
      <c r="E292" s="26" t="str" cm="1">
        <f t="array" ref="E292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Multi-Modal Biometric Authentication</v>
      </c>
      <c r="B293" s="3" t="str">
        <f>IF(NodesData[[#This Row],[Group]]="","",NodesData[[#This Row],[Group]])</f>
        <v/>
      </c>
      <c r="C293" s="23" t="str">
        <f>NodesData[[#This Row],[Node ID]]</f>
        <v>nF4329B4E_89AE_4B13_8BA2_B6BEFB931A12</v>
      </c>
      <c r="D293" s="10" t="s">
        <v>985</v>
      </c>
      <c r="E293" s="26" t="str" cm="1">
        <f t="array" ref="E293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Multiple Accounts</v>
      </c>
      <c r="B294" s="3" t="str">
        <f>IF(NodesData[[#This Row],[Group]]="","",NodesData[[#This Row],[Group]])</f>
        <v/>
      </c>
      <c r="C294" s="23" t="str">
        <f>NodesData[[#This Row],[Node ID]]</f>
        <v>n526624DF_C2E0_4B21_9A61_CEED4CD47F26</v>
      </c>
      <c r="D294" s="10" t="s">
        <v>987</v>
      </c>
      <c r="E294" s="26" t="str" cm="1">
        <f t="array" ref="E294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Mutual Authentication</v>
      </c>
      <c r="B295" s="3" t="str">
        <f>IF(NodesData[[#This Row],[Group]]="","",NodesData[[#This Row],[Group]])</f>
        <v/>
      </c>
      <c r="C295" s="23" t="str">
        <f>NodesData[[#This Row],[Node ID]]</f>
        <v>n64D10171_0B22_4711_A563_45B7D52F62A1</v>
      </c>
      <c r="D295" s="10" t="s">
        <v>989</v>
      </c>
      <c r="E295" s="26" t="str" cm="1">
        <f t="array" ref="E295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Need-to-Know</v>
      </c>
      <c r="B296" s="3" t="str">
        <f>IF(NodesData[[#This Row],[Group]]="","",NodesData[[#This Row],[Group]])</f>
        <v/>
      </c>
      <c r="C296" s="23" t="str">
        <f>NodesData[[#This Row],[Node ID]]</f>
        <v>n5E26B41D_6E03_4C12_AACA_F0C33BED131F</v>
      </c>
      <c r="D296" s="10" t="s">
        <v>991</v>
      </c>
      <c r="E296" s="26" t="str" cm="1">
        <f t="array" ref="E296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New Joiner</v>
      </c>
      <c r="B297" s="3" t="str">
        <f>IF(NodesData[[#This Row],[Group]]="","",NodesData[[#This Row],[Group]])</f>
        <v/>
      </c>
      <c r="C297" s="23" t="str">
        <f>NodesData[[#This Row],[Node ID]]</f>
        <v>n42AE1DFB_EDB7_42D2_89EE_3945EA0F348C</v>
      </c>
      <c r="D297" s="4"/>
      <c r="E297" s="26" t="str" cm="1">
        <f t="array" ref="E297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Joiner","group":"","id":"n42AE1DFB_EDB7_42D2_89EE_3945EA0F348C","url":""}</v>
      </c>
    </row>
    <row r="298" spans="1:5" ht="13.9" thickTop="1" thickBot="1" x14ac:dyDescent="0.4">
      <c r="A298" s="3" t="str">
        <f>NodesData[[#This Row],[Common Name]]</f>
        <v>No Tranquility Property</v>
      </c>
      <c r="B298" s="3" t="str">
        <f>IF(NodesData[[#This Row],[Group]]="","",NodesData[[#This Row],[Group]])</f>
        <v/>
      </c>
      <c r="C298" s="23" t="str">
        <f>NodesData[[#This Row],[Node ID]]</f>
        <v>n4ED00BBB_87C8_4B44_B7F1_FEDB8DD6A7D4</v>
      </c>
      <c r="D298" s="10" t="s">
        <v>992</v>
      </c>
      <c r="E298" s="26" t="str" cm="1">
        <f t="array" ref="E298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Nonworker</v>
      </c>
      <c r="B299" s="3" t="str">
        <f>IF(NodesData[[#This Row],[Group]]="","",NodesData[[#This Row],[Group]])</f>
        <v/>
      </c>
      <c r="C299" s="23" t="str">
        <f>NodesData[[#This Row],[Node ID]]</f>
        <v>n2B01D047_3E55_4928_89FF_89BF0E4C9A55</v>
      </c>
      <c r="D299" s="4"/>
      <c r="E299" s="26" t="str" cm="1">
        <f t="array" ref="E299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,{"label":"Nonworker","group":"","id":"n2B01D047_3E55_4928_89FF_89BF0E4C9A55","url":""}</v>
      </c>
    </row>
    <row r="300" spans="1:5" ht="13.9" thickTop="1" thickBot="1" x14ac:dyDescent="0.4">
      <c r="A300" s="3" t="str">
        <f>NodesData[[#This Row],[Common Name]]</f>
        <v>Numerical Identity</v>
      </c>
      <c r="B300" s="3" t="str">
        <f>IF(NodesData[[#This Row],[Group]]="","",NodesData[[#This Row],[Group]])</f>
        <v/>
      </c>
      <c r="C300" s="23" t="str">
        <f>NodesData[[#This Row],[Node ID]]</f>
        <v>n5FC0E690_BD8A_4D6A_8185_1DC8FF5EE7BE</v>
      </c>
      <c r="D300" s="10" t="s">
        <v>994</v>
      </c>
      <c r="E300" s="26" t="str" cm="1">
        <f t="array" ref="E300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OAuth</v>
      </c>
      <c r="B301" s="3" t="str">
        <f>IF(NodesData[[#This Row],[Group]]="","",NodesData[[#This Row],[Group]])</f>
        <v/>
      </c>
      <c r="C301" s="23" t="str">
        <f>NodesData[[#This Row],[Node ID]]</f>
        <v>n59BB7020_7AB1_4728_86F2_1E393E0E8707</v>
      </c>
      <c r="D301" s="4"/>
      <c r="E301" s="26" t="str" cm="1">
        <f t="array" ref="E301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,{"label":"OAuth","group":"","id":"n59BB7020_7AB1_4728_86F2_1E393E0E8707","url":""}</v>
      </c>
    </row>
    <row r="302" spans="1:5" ht="13.9" thickTop="1" thickBot="1" x14ac:dyDescent="0.4">
      <c r="A302" s="3" t="str">
        <f>NodesData[[#This Row],[Common Name]]</f>
        <v>Object</v>
      </c>
      <c r="B302" s="3" t="str">
        <f>IF(NodesData[[#This Row],[Group]]="","",NodesData[[#This Row],[Group]])</f>
        <v/>
      </c>
      <c r="C302" s="23" t="str">
        <f>NodesData[[#This Row],[Node ID]]</f>
        <v>nBB8CA37A_77F7_45A6_8D48_E3EAE7C070CC</v>
      </c>
      <c r="D302" s="8"/>
      <c r="E302" s="26" t="str" cm="1">
        <f t="array" ref="E302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,{"label":"Object","group":"","id":"nBB8CA37A_77F7_45A6_8D48_E3EAE7C070CC","url":""}</v>
      </c>
    </row>
    <row r="303" spans="1:5" ht="13.9" thickTop="1" thickBot="1" x14ac:dyDescent="0.4">
      <c r="A303" s="3" t="str">
        <f>NodesData[[#This Row],[Common Name]]</f>
        <v>Omission Error</v>
      </c>
      <c r="B303" s="3" t="str">
        <f>IF(NodesData[[#This Row],[Group]]="","",NodesData[[#This Row],[Group]])</f>
        <v/>
      </c>
      <c r="C303" s="23" t="str">
        <f>NodesData[[#This Row],[Node ID]]</f>
        <v>nE5FB6AFC_FC63_4B56_A4C6_E23F16E9BC61</v>
      </c>
      <c r="D303" s="10" t="s">
        <v>995</v>
      </c>
      <c r="E303" s="26" t="str" cm="1">
        <f t="array" ref="E303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One-Time Passcode Authentication</v>
      </c>
      <c r="B304" s="3" t="str">
        <f>IF(NodesData[[#This Row],[Group]]="","",NodesData[[#This Row],[Group]])</f>
        <v/>
      </c>
      <c r="C304" s="23" t="str">
        <f>NodesData[[#This Row],[Node ID]]</f>
        <v>n476800A3_2E26_4AE7_BDA9_7E883266BCE1</v>
      </c>
      <c r="D304" s="10" t="s">
        <v>997</v>
      </c>
      <c r="E304" s="26" t="str" cm="1">
        <f t="array" ref="E304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OPA</v>
      </c>
      <c r="B305" s="3" t="str">
        <f>IF(NodesData[[#This Row],[Group]]="","",NodesData[[#This Row],[Group]])</f>
        <v/>
      </c>
      <c r="C305" s="23" t="str">
        <f>NodesData[[#This Row],[Node ID]]</f>
        <v>n6C614E81_1E4F_490D_BA0A_44FBC9CBCFE0</v>
      </c>
      <c r="D305" s="10" t="s">
        <v>998</v>
      </c>
      <c r="E305" s="26" t="str" cm="1">
        <f t="array" ref="E305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Open Policy Agent</v>
      </c>
      <c r="B306" s="3" t="str">
        <f>IF(NodesData[[#This Row],[Group]]="","",NodesData[[#This Row],[Group]])</f>
        <v/>
      </c>
      <c r="C306" s="23" t="str">
        <f>NodesData[[#This Row],[Node ID]]</f>
        <v>nD995A6A9_C3A9_4283_82AA_4AB97DA2B578</v>
      </c>
      <c r="D306" s="8"/>
      <c r="E306" s="26" t="str" cm="1">
        <f t="array" ref="E306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Agent","group":"","id":"nD995A6A9_C3A9_4283_82AA_4AB97DA2B578","url":""}</v>
      </c>
    </row>
    <row r="307" spans="1:5" ht="13.9" thickTop="1" thickBot="1" x14ac:dyDescent="0.4">
      <c r="A307" s="3" t="str">
        <f>NodesData[[#This Row],[Common Name]]</f>
        <v>Operational Definition</v>
      </c>
      <c r="B307" s="3" t="str">
        <f>IF(NodesData[[#This Row],[Group]]="","",NodesData[[#This Row],[Group]])</f>
        <v/>
      </c>
      <c r="C307" s="23" t="str">
        <f>NodesData[[#This Row],[Node ID]]</f>
        <v>n9C348411_DBC2_4D83_98F6_DA323939AD65</v>
      </c>
      <c r="D307" s="10" t="s">
        <v>1000</v>
      </c>
      <c r="E307" s="26" t="str" cm="1">
        <f t="array" ref="E307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Operational Taxonomic Unit</v>
      </c>
      <c r="B308" s="3" t="str">
        <f>IF(NodesData[[#This Row],[Group]]="","",NodesData[[#This Row],[Group]])</f>
        <v/>
      </c>
      <c r="C308" s="23" t="str">
        <f>NodesData[[#This Row],[Node ID]]</f>
        <v>nE33FC009_B7E4_40FD_9745_D826E24B6E94</v>
      </c>
      <c r="D308" s="10" t="s">
        <v>1002</v>
      </c>
      <c r="E308" s="26" t="str" cm="1">
        <f t="array" ref="E308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Ordinal Scale</v>
      </c>
      <c r="B309" s="3" t="str">
        <f>IF(NodesData[[#This Row],[Group]]="","",NodesData[[#This Row],[Group]])</f>
        <v/>
      </c>
      <c r="C309" s="23" t="str">
        <f>NodesData[[#This Row],[Node ID]]</f>
        <v>nF7D4524F_C6C0_4EC5_9552_75B99B9D5A42</v>
      </c>
      <c r="D309" s="10" t="s">
        <v>1003</v>
      </c>
      <c r="E309" s="26" t="str" cm="1">
        <f t="array" ref="E309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Organization Context</v>
      </c>
      <c r="B310" s="3" t="str">
        <f>IF(NodesData[[#This Row],[Group]]="","",NodesData[[#This Row],[Group]])</f>
        <v/>
      </c>
      <c r="C310" s="23" t="str">
        <f>NodesData[[#This Row],[Node ID]]</f>
        <v>n33A86B12_0EA4_4F3E_BC6D_E3702F9EAE81</v>
      </c>
      <c r="D310" s="10" t="s">
        <v>999</v>
      </c>
      <c r="E310" s="26" t="str" cm="1">
        <f t="array" ref="E310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Organization Scope</v>
      </c>
      <c r="B311" s="3" t="str">
        <f>IF(NodesData[[#This Row],[Group]]="","",NodesData[[#This Row],[Group]])</f>
        <v/>
      </c>
      <c r="C311" s="23" t="str">
        <f>NodesData[[#This Row],[Node ID]]</f>
        <v>nA41D81DD_A231_43DB_A8BF_E136E86BDC97</v>
      </c>
      <c r="D311" s="4"/>
      <c r="E311" s="26" t="str" cm="1">
        <f t="array" ref="E311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Scope","group":"","id":"nA41D81DD_A231_43DB_A8BF_E136E86BDC97","url":""}</v>
      </c>
    </row>
    <row r="312" spans="1:5" ht="13.9" thickTop="1" thickBot="1" x14ac:dyDescent="0.4">
      <c r="A312" s="3" t="str">
        <f>NodesData[[#This Row],[Common Name]]</f>
        <v>Orphan</v>
      </c>
      <c r="B312" s="3" t="str">
        <f>IF(NodesData[[#This Row],[Group]]="","",NodesData[[#This Row],[Group]])</f>
        <v/>
      </c>
      <c r="C312" s="23" t="str">
        <f>NodesData[[#This Row],[Node ID]]</f>
        <v>n4AE20DB0_76C4_4F45_8465_74F243AABAEF</v>
      </c>
      <c r="D312" s="10" t="s">
        <v>1005</v>
      </c>
      <c r="E312" s="26" t="str" cm="1">
        <f t="array" ref="E312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Orphan Account</v>
      </c>
      <c r="B313" s="3" t="str">
        <f>IF(NodesData[[#This Row],[Group]]="","",NodesData[[#This Row],[Group]])</f>
        <v/>
      </c>
      <c r="C313" s="23" t="str">
        <f>NodesData[[#This Row],[Node ID]]</f>
        <v>n9BFEB967_7B86_4B3D_9C7E_0511B974AE4D</v>
      </c>
      <c r="D313" s="10" t="s">
        <v>1007</v>
      </c>
      <c r="E313" s="26" t="str" cm="1">
        <f t="array" ref="E313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Orphan File</v>
      </c>
      <c r="B314" s="3" t="str">
        <f>IF(NodesData[[#This Row],[Group]]="","",NodesData[[#This Row],[Group]])</f>
        <v/>
      </c>
      <c r="C314" s="23" t="str">
        <f>NodesData[[#This Row],[Node ID]]</f>
        <v>n5AE1D03E_6BE9_4D64_877A_463F2CD1823C</v>
      </c>
      <c r="D314" s="10" t="s">
        <v>1009</v>
      </c>
      <c r="E314" s="26" t="str" cm="1">
        <f t="array" ref="E314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Orphan Object</v>
      </c>
      <c r="B315" s="3" t="str">
        <f>IF(NodesData[[#This Row],[Group]]="","",NodesData[[#This Row],[Group]])</f>
        <v/>
      </c>
      <c r="C315" s="23" t="str">
        <f>NodesData[[#This Row],[Node ID]]</f>
        <v>nBF0C1B68_F08A_4202_9757_9E8291426C10</v>
      </c>
      <c r="D315" s="10" t="s">
        <v>1011</v>
      </c>
      <c r="E315" s="26" t="str" cm="1">
        <f t="array" ref="E315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 Process</v>
      </c>
      <c r="B316" s="3" t="str">
        <f>IF(NodesData[[#This Row],[Group]]="","",NodesData[[#This Row],[Group]])</f>
        <v/>
      </c>
      <c r="C316" s="23" t="str">
        <f>NodesData[[#This Row],[Node ID]]</f>
        <v>nAEC674BE_91C6_4A77_962B_1FC629184791</v>
      </c>
      <c r="D316" s="10" t="s">
        <v>1013</v>
      </c>
      <c r="E316" s="26" t="str" cm="1">
        <f t="array" ref="E316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Product</v>
      </c>
      <c r="B317" s="3" t="str">
        <f>IF(NodesData[[#This Row],[Group]]="","",NodesData[[#This Row],[Group]])</f>
        <v/>
      </c>
      <c r="C317" s="23" t="str">
        <f>NodesData[[#This Row],[Node ID]]</f>
        <v>n6F060A06_4EC7_40D0_BE25_18BB706EAC33</v>
      </c>
      <c r="D317" s="10" t="s">
        <v>1015</v>
      </c>
      <c r="E317" s="26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Role</v>
      </c>
      <c r="B318" s="3" t="str">
        <f>IF(NodesData[[#This Row],[Group]]="","",NodesData[[#This Row],[Group]])</f>
        <v/>
      </c>
      <c r="C318" s="23" t="str">
        <f>NodesData[[#This Row],[Node ID]]</f>
        <v>n0D10D535_12CA_43D7_8C25_D56FF795B5EB</v>
      </c>
      <c r="D318" s="10" t="s">
        <v>1017</v>
      </c>
      <c r="E318" s="26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Routes / APIs</v>
      </c>
      <c r="B319" s="3" t="str">
        <f>IF(NodesData[[#This Row],[Group]]="","",NodesData[[#This Row],[Group]])</f>
        <v/>
      </c>
      <c r="C319" s="23" t="str">
        <f>NodesData[[#This Row],[Node ID]]</f>
        <v>nFB81B88B_935E_4937_8C9D_107D390BB8B5</v>
      </c>
      <c r="D319" s="10" t="s">
        <v>1019</v>
      </c>
      <c r="E319" s="26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System</v>
      </c>
      <c r="B320" s="3" t="str">
        <f>IF(NodesData[[#This Row],[Group]]="","",NodesData[[#This Row],[Group]])</f>
        <v/>
      </c>
      <c r="C320" s="23" t="str">
        <f>NodesData[[#This Row],[Node ID]]</f>
        <v>nEF01C104_C9F5_4399_B8A7_5AEEE0AEED69</v>
      </c>
      <c r="D320" s="3"/>
      <c r="E320" s="26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System","group":"","id":"nEF01C104_C9F5_4399_B8A7_5AEEE0AEED69","url":""}</v>
      </c>
    </row>
    <row r="321" spans="1:5" ht="13.9" thickTop="1" thickBot="1" x14ac:dyDescent="0.4">
      <c r="A321" s="3" t="str">
        <f>NodesData[[#This Row],[Common Name]]</f>
        <v>Out-of-band Authentication</v>
      </c>
      <c r="B321" s="3" t="str">
        <f>IF(NodesData[[#This Row],[Group]]="","",NodesData[[#This Row],[Group]])</f>
        <v/>
      </c>
      <c r="C321" s="23" t="str">
        <f>NodesData[[#This Row],[Node ID]]</f>
        <v>n7044B2C5_B689_4BDB_A361_6960562C0FC0</v>
      </c>
      <c r="D321" s="10" t="s">
        <v>1021</v>
      </c>
      <c r="E321" s="26" t="str" cm="1">
        <f t="array" ref="E321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Outsider</v>
      </c>
      <c r="B322" s="3" t="str">
        <f>IF(NodesData[[#This Row],[Group]]="","",NodesData[[#This Row],[Group]])</f>
        <v/>
      </c>
      <c r="C322" s="23" t="str">
        <f>NodesData[[#This Row],[Node ID]]</f>
        <v>n04522218_BC1E_4939_A068_7AA0277A1265</v>
      </c>
      <c r="D322" s="10" t="s">
        <v>1023</v>
      </c>
      <c r="E322" s="26" t="str" cm="1">
        <f t="array" ref="E322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Palmprint Recognition Authentication</v>
      </c>
      <c r="B323" s="3" t="str">
        <f>IF(NodesData[[#This Row],[Group]]="","",NodesData[[#This Row],[Group]])</f>
        <v/>
      </c>
      <c r="C323" s="23" t="str">
        <f>NodesData[[#This Row],[Node ID]]</f>
        <v>nD67337C3_82D6_4A00_9312_77ECF955E4EE</v>
      </c>
      <c r="D323" s="10" t="s">
        <v>1024</v>
      </c>
      <c r="E323" s="26" t="str" cm="1">
        <f t="array" ref="E323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Passive Impersonation Attack</v>
      </c>
      <c r="B324" s="3" t="str">
        <f>IF(NodesData[[#This Row],[Group]]="","",NodesData[[#This Row],[Group]])</f>
        <v/>
      </c>
      <c r="C324" s="23" t="str">
        <f>NodesData[[#This Row],[Node ID]]</f>
        <v>n4734DAE8_90B6_45CA_8550_5A34B658FAEC</v>
      </c>
      <c r="D324" s="10" t="s">
        <v>1026</v>
      </c>
      <c r="E324" s="26" t="str" cm="1">
        <f t="array" ref="E324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Passphrase Authentication</v>
      </c>
      <c r="B325" s="3" t="str">
        <f>IF(NodesData[[#This Row],[Group]]="","",NodesData[[#This Row],[Group]])</f>
        <v/>
      </c>
      <c r="C325" s="23" t="str">
        <f>NodesData[[#This Row],[Node ID]]</f>
        <v>n3CB32145_0EE1_4C68_8C6C_279904089B9A</v>
      </c>
      <c r="D325" s="10" t="s">
        <v>1027</v>
      </c>
      <c r="E325" s="26" t="str" cm="1">
        <f t="array" ref="E325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Password Guessing Attack</v>
      </c>
      <c r="B326" s="3" t="str">
        <f>IF(NodesData[[#This Row],[Group]]="","",NodesData[[#This Row],[Group]])</f>
        <v/>
      </c>
      <c r="C326" s="23" t="str">
        <f>NodesData[[#This Row],[Node ID]]</f>
        <v>n8F169889_C3EB_49DF_A679_4F5F53173B73</v>
      </c>
      <c r="D326" s="10" t="s">
        <v>1029</v>
      </c>
      <c r="E326" s="26" t="str" cm="1">
        <f t="array" ref="E326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Password Rotation</v>
      </c>
      <c r="B327" s="3" t="str">
        <f>IF(NodesData[[#This Row],[Group]]="","",NodesData[[#This Row],[Group]])</f>
        <v/>
      </c>
      <c r="C327" s="23" t="str">
        <f>NodesData[[#This Row],[Node ID]]</f>
        <v>n6265AECA_324C_41E3_B3D3_84135CF3C7BD</v>
      </c>
      <c r="D327" s="10" t="s">
        <v>1031</v>
      </c>
      <c r="E327" s="26" t="str" cm="1">
        <f t="array" ref="E327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Password Spraying Attack</v>
      </c>
      <c r="B328" s="3" t="str">
        <f>IF(NodesData[[#This Row],[Group]]="","",NodesData[[#This Row],[Group]])</f>
        <v/>
      </c>
      <c r="C328" s="23" t="str">
        <f>NodesData[[#This Row],[Node ID]]</f>
        <v>nD75B5C62_D379_4138_8BEA_4403C4F682CA</v>
      </c>
      <c r="D328" s="10" t="s">
        <v>1033</v>
      </c>
      <c r="E328" s="26" t="str" cm="1">
        <f t="array" ref="E328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Password-Based Authentication</v>
      </c>
      <c r="B329" s="3" t="str">
        <f>IF(NodesData[[#This Row],[Group]]="","",NodesData[[#This Row],[Group]])</f>
        <v/>
      </c>
      <c r="C329" s="23" t="str">
        <f>NodesData[[#This Row],[Node ID]]</f>
        <v>nC40BED13_84D6_4487_B1D8_408847C59080</v>
      </c>
      <c r="D329" s="10" t="s">
        <v>1034</v>
      </c>
      <c r="E329" s="26" t="str" cm="1">
        <f t="array" ref="E329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Passwordless Authentication</v>
      </c>
      <c r="B330" s="3" t="str">
        <f>IF(NodesData[[#This Row],[Group]]="","",NodesData[[#This Row],[Group]])</f>
        <v/>
      </c>
      <c r="C330" s="23" t="str">
        <f>NodesData[[#This Row],[Node ID]]</f>
        <v>n78F6BABC_A65F_473D_BCDE_FEE7D54A424A</v>
      </c>
      <c r="D330" s="10" t="s">
        <v>1036</v>
      </c>
      <c r="E330" s="26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People</v>
      </c>
      <c r="B331" s="3" t="str">
        <f>IF(NodesData[[#This Row],[Group]]="","",NodesData[[#This Row],[Group]])</f>
        <v/>
      </c>
      <c r="C331" s="23" t="str">
        <f>NodesData[[#This Row],[Node ID]]</f>
        <v>n4CF1B3F5_CACC_4AD2_BDA1_4AF301F4C65D</v>
      </c>
      <c r="D331" s="8"/>
      <c r="E331" s="26" t="str" cm="1">
        <f t="array" ref="E331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,{"label":"People","group":"","id":"n4CF1B3F5_CACC_4AD2_BDA1_4AF301F4C65D","url":""}</v>
      </c>
    </row>
    <row r="332" spans="1:5" ht="13.9" thickTop="1" thickBot="1" x14ac:dyDescent="0.4">
      <c r="A332" s="3" t="str">
        <f>NodesData[[#This Row],[Common Name]]</f>
        <v>Permission</v>
      </c>
      <c r="B332" s="3" t="str">
        <f>IF(NodesData[[#This Row],[Group]]="","",NodesData[[#This Row],[Group]])</f>
        <v/>
      </c>
      <c r="C332" s="23" t="str">
        <f>NodesData[[#This Row],[Node ID]]</f>
        <v>n01EF8E33_9CCC_40C8_9331_68F0F5358EC1</v>
      </c>
      <c r="D332" s="10" t="s">
        <v>1038</v>
      </c>
      <c r="E332" s="26" t="str" cm="1">
        <f t="array" ref="E332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Persona</v>
      </c>
      <c r="B333" s="3" t="str">
        <f>IF(NodesData[[#This Row],[Group]]="","",NodesData[[#This Row],[Group]])</f>
        <v/>
      </c>
      <c r="C333" s="23" t="str">
        <f>NodesData[[#This Row],[Node ID]]</f>
        <v>n36E8FD72_C9A2_4D50_986E_5DC62C773748</v>
      </c>
      <c r="D333" s="10" t="s">
        <v>1040</v>
      </c>
      <c r="E333" s="26" t="str" cm="1">
        <f t="array" ref="E333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Personal Identification Number Authentication</v>
      </c>
      <c r="B334" s="3" t="str">
        <f>IF(NodesData[[#This Row],[Group]]="","",NodesData[[#This Row],[Group]])</f>
        <v/>
      </c>
      <c r="C334" s="23" t="str">
        <f>NodesData[[#This Row],[Node ID]]</f>
        <v>n7A6515A7_E313_45AC_A024_B7321A51BBF0</v>
      </c>
      <c r="D334" s="10" t="s">
        <v>1042</v>
      </c>
      <c r="E334" s="26" t="str" cm="1">
        <f t="array" ref="E334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Physical Token OTP</v>
      </c>
      <c r="B335" s="3" t="str">
        <f>IF(NodesData[[#This Row],[Group]]="","",NodesData[[#This Row],[Group]])</f>
        <v/>
      </c>
      <c r="C335" s="23" t="str">
        <f>NodesData[[#This Row],[Node ID]]</f>
        <v>n464C132D_5900_4F55_8F96_F62557EA18BE</v>
      </c>
      <c r="D335" s="10" t="s">
        <v>1044</v>
      </c>
      <c r="E335" s="26" t="str" cm="1">
        <f t="array" ref="E335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PMS</v>
      </c>
      <c r="B336" s="3" t="str">
        <f>IF(NodesData[[#This Row],[Group]]="","",NodesData[[#This Row],[Group]])</f>
        <v/>
      </c>
      <c r="C336" s="23" t="str">
        <f>NodesData[[#This Row],[Node ID]]</f>
        <v>nEBC962F0_3340_49DC_9E34_B2B7557F9372</v>
      </c>
      <c r="D336" s="10" t="s">
        <v>1037</v>
      </c>
      <c r="E336" s="26" t="str" cm="1">
        <f t="array" ref="E336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Policy</v>
      </c>
      <c r="B337" s="3" t="str">
        <f>IF(NodesData[[#This Row],[Group]]="","",NodesData[[#This Row],[Group]])</f>
        <v/>
      </c>
      <c r="C337" s="23" t="str">
        <f>NodesData[[#This Row],[Node ID]]</f>
        <v>nAA77CC85_5C4B_467C_8062_029385C2AF09</v>
      </c>
      <c r="D337" s="10" t="s">
        <v>1048</v>
      </c>
      <c r="E337" s="26" t="str" cm="1">
        <f t="array" ref="E337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Policy Analysis</v>
      </c>
      <c r="B338" s="3" t="str">
        <f>IF(NodesData[[#This Row],[Group]]="","",NodesData[[#This Row],[Group]])</f>
        <v/>
      </c>
      <c r="C338" s="23" t="str">
        <f>NodesData[[#This Row],[Node ID]]</f>
        <v>n5873E20E_7DC8_43B0_B048_106A80E87640</v>
      </c>
      <c r="D338" s="10" t="s">
        <v>1050</v>
      </c>
      <c r="E338" s="26" t="str" cm="1">
        <f t="array" ref="E338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Policy Centralization</v>
      </c>
      <c r="B339" s="3" t="str">
        <f>IF(NodesData[[#This Row],[Group]]="","",NodesData[[#This Row],[Group]])</f>
        <v/>
      </c>
      <c r="C339" s="23" t="str">
        <f>NodesData[[#This Row],[Node ID]]</f>
        <v>n10B244A8_21C9_4D9D_9E27_FE5ABBED56A5</v>
      </c>
      <c r="D339" s="10" t="s">
        <v>1046</v>
      </c>
      <c r="E339" s="26" t="str" cm="1">
        <f t="array" ref="E339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Policy Interoperability</v>
      </c>
      <c r="B340" s="3" t="str">
        <f>IF(NodesData[[#This Row],[Group]]="","",NodesData[[#This Row],[Group]])</f>
        <v/>
      </c>
      <c r="C340" s="23" t="str">
        <f>NodesData[[#This Row],[Node ID]]</f>
        <v>n76740F74_7039_4200_B48A_59A8A4A3D1A0</v>
      </c>
      <c r="D340" s="10" t="s">
        <v>1054</v>
      </c>
      <c r="E340" s="26" t="str" cm="1">
        <f t="array" ref="E340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 Manageability</v>
      </c>
      <c r="B341" s="3" t="str">
        <f>IF(NodesData[[#This Row],[Group]]="","",NodesData[[#This Row],[Group]])</f>
        <v/>
      </c>
      <c r="C341" s="23" t="str">
        <f>NodesData[[#This Row],[Node ID]]</f>
        <v>nD3DD18B2_66DE_48D3_962B_511205F74E07</v>
      </c>
      <c r="D341" s="10" t="s">
        <v>1056</v>
      </c>
      <c r="E341" s="26" t="str" cm="1">
        <f t="array" ref="E341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Mining</v>
      </c>
      <c r="B342" s="3" t="str">
        <f>IF(NodesData[[#This Row],[Group]]="","",NodesData[[#This Row],[Group]])</f>
        <v/>
      </c>
      <c r="C342" s="23" t="str">
        <f>NodesData[[#This Row],[Node ID]]</f>
        <v>nB5D0C15D_30A8_4D8C_9DF1_B0D78AC0EB44</v>
      </c>
      <c r="D342" s="10" t="s">
        <v>1058</v>
      </c>
      <c r="E342" s="26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Modeling</v>
      </c>
      <c r="B343" s="3" t="str">
        <f>IF(NodesData[[#This Row],[Group]]="","",NodesData[[#This Row],[Group]])</f>
        <v/>
      </c>
      <c r="C343" s="23" t="str">
        <f>NodesData[[#This Row],[Node ID]]</f>
        <v>n455C0775_9E71_475A_9F9D_FE0281B80BC0</v>
      </c>
      <c r="D343" s="10" t="s">
        <v>1060</v>
      </c>
      <c r="E343" s="26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Possession Factor</v>
      </c>
      <c r="B344" s="3" t="str">
        <f>IF(NodesData[[#This Row],[Group]]="","",NodesData[[#This Row],[Group]])</f>
        <v/>
      </c>
      <c r="C344" s="23" t="str">
        <f>NodesData[[#This Row],[Node ID]]</f>
        <v>n8B4BB7FC_2E2A_4C1A_8657_58EEC2DF8A9A</v>
      </c>
      <c r="D344" s="10" t="s">
        <v>1062</v>
      </c>
      <c r="E344" s="26" t="str" cm="1">
        <f t="array" ref="E344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Pre-approval</v>
      </c>
      <c r="B345" s="3" t="str">
        <f>IF(NodesData[[#This Row],[Group]]="","",NodesData[[#This Row],[Group]])</f>
        <v/>
      </c>
      <c r="C345" s="23" t="str">
        <f>NodesData[[#This Row],[Node ID]]</f>
        <v>n709A4E65_BD24_4FB3_AF6D_E95E57F0157C</v>
      </c>
      <c r="D345" s="10" t="s">
        <v>1064</v>
      </c>
      <c r="E345" s="26" t="str" cm="1">
        <f t="array" ref="E345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Principal</v>
      </c>
      <c r="B346" s="3" t="str">
        <f>IF(NodesData[[#This Row],[Group]]="","",NodesData[[#This Row],[Group]])</f>
        <v/>
      </c>
      <c r="C346" s="23" t="str">
        <f>NodesData[[#This Row],[Node ID]]</f>
        <v>nE2F3A772_EEDF_4F78_9194_533B50B4644F</v>
      </c>
      <c r="D346" s="10" t="s">
        <v>1066</v>
      </c>
      <c r="E346" s="26" t="str" cm="1">
        <f t="array" ref="E346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Private Key Loss</v>
      </c>
      <c r="B347" s="3" t="str">
        <f>IF(NodesData[[#This Row],[Group]]="","",NodesData[[#This Row],[Group]])</f>
        <v/>
      </c>
      <c r="C347" s="23" t="str">
        <f>NodesData[[#This Row],[Node ID]]</f>
        <v>n3805BE20_DE10_4929_A9F5_5042661EDA36</v>
      </c>
      <c r="D347" s="10" t="s">
        <v>1068</v>
      </c>
      <c r="E347" s="26" t="str" cm="1">
        <f t="array" ref="E347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Privilege</v>
      </c>
      <c r="B348" s="3" t="str">
        <f>IF(NodesData[[#This Row],[Group]]="","",NodesData[[#This Row],[Group]])</f>
        <v/>
      </c>
      <c r="C348" s="23" t="str">
        <f>NodesData[[#This Row],[Node ID]]</f>
        <v>n3A9A58DA_FA73_4A42_AD4D_20181F1594F1</v>
      </c>
      <c r="D348" s="10" t="s">
        <v>1052</v>
      </c>
      <c r="E348" s="26" t="str" cm="1">
        <f t="array" ref="E348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Privilege Abuse</v>
      </c>
      <c r="B349" s="3" t="str">
        <f>IF(NodesData[[#This Row],[Group]]="","",NodesData[[#This Row],[Group]])</f>
        <v/>
      </c>
      <c r="C349" s="23" t="str">
        <f>NodesData[[#This Row],[Node ID]]</f>
        <v>nC8E821DA_5F6B_4960_9FEF_DC5199DC42F0</v>
      </c>
      <c r="D349" s="10" t="s">
        <v>1072</v>
      </c>
      <c r="E349" s="26" t="str" cm="1">
        <f t="array" ref="E349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Privilege Chaining</v>
      </c>
      <c r="B350" s="3" t="str">
        <f>IF(NodesData[[#This Row],[Group]]="","",NodesData[[#This Row],[Group]])</f>
        <v/>
      </c>
      <c r="C350" s="23" t="str">
        <f>NodesData[[#This Row],[Node ID]]</f>
        <v>n6AAB869E_8FFB_43B2_BCDE_C4BB8F0E0948</v>
      </c>
      <c r="D350" s="10" t="s">
        <v>1086</v>
      </c>
      <c r="E350" s="26" t="str" cm="1">
        <f t="array" ref="E350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Privilege Escalation</v>
      </c>
      <c r="B351" s="3" t="str">
        <f>IF(NodesData[[#This Row],[Group]]="","",NodesData[[#This Row],[Group]])</f>
        <v/>
      </c>
      <c r="C351" s="23" t="str">
        <f>NodesData[[#This Row],[Node ID]]</f>
        <v>n640E2EBF_F163_41EF_A5E7_E328911BBC8E</v>
      </c>
      <c r="D351" s="10" t="s">
        <v>1074</v>
      </c>
      <c r="E351" s="26" t="str" cm="1">
        <f t="array" ref="E351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Privileged Identity</v>
      </c>
      <c r="B352" s="3" t="str">
        <f>IF(NodesData[[#This Row],[Group]]="","",NodesData[[#This Row],[Group]])</f>
        <v/>
      </c>
      <c r="C352" s="23" t="str">
        <f>NodesData[[#This Row],[Node ID]]</f>
        <v>n38442FF1_AFF1_4481_B414_D70DEE27F0EC</v>
      </c>
      <c r="D352" s="10" t="s">
        <v>1076</v>
      </c>
      <c r="E352" s="26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Privileged Insider</v>
      </c>
      <c r="B353" s="3" t="str">
        <f>IF(NodesData[[#This Row],[Group]]="","",NodesData[[#This Row],[Group]])</f>
        <v/>
      </c>
      <c r="C353" s="23" t="str">
        <f>NodesData[[#This Row],[Node ID]]</f>
        <v>nB8B1D9E3_CCB1_4B48_8962_EA0A592DA1E6</v>
      </c>
      <c r="D353" s="10" t="s">
        <v>1078</v>
      </c>
      <c r="E353" s="26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Provisioning</v>
      </c>
      <c r="B354" s="3" t="str">
        <f>IF(NodesData[[#This Row],[Group]]="","",NodesData[[#This Row],[Group]])</f>
        <v/>
      </c>
      <c r="C354" s="23" t="str">
        <f>NodesData[[#This Row],[Node ID]]</f>
        <v>nD0A7D3C9_1A0B_49DC_A3E2_41483CB017E4</v>
      </c>
      <c r="D354" s="10" t="s">
        <v>1080</v>
      </c>
      <c r="E354" s="26" t="str" cm="1">
        <f t="array" ref="E354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QR Code Authentication</v>
      </c>
      <c r="B355" s="3" t="str">
        <f>IF(NodesData[[#This Row],[Group]]="","",NodesData[[#This Row],[Group]])</f>
        <v/>
      </c>
      <c r="C355" s="23" t="str">
        <f>NodesData[[#This Row],[Node ID]]</f>
        <v>n797F89B7_EBFE_4624_B7EE_5952C851879E</v>
      </c>
      <c r="D355" s="10" t="s">
        <v>1082</v>
      </c>
      <c r="E355" s="26" t="str" cm="1">
        <f t="array" ref="E355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Qualitative Identity</v>
      </c>
      <c r="B356" s="3" t="str">
        <f>IF(NodesData[[#This Row],[Group]]="","",NodesData[[#This Row],[Group]])</f>
        <v/>
      </c>
      <c r="C356" s="23" t="str">
        <f>NodesData[[#This Row],[Node ID]]</f>
        <v>n2D4F2CD5_91A2_4116_8CF5_9FA6ED9E736D</v>
      </c>
      <c r="D356" s="10" t="s">
        <v>1084</v>
      </c>
      <c r="E356" s="26" t="str" cm="1">
        <f t="array" ref="E356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RA</v>
      </c>
      <c r="B357" s="3" t="str">
        <f>IF(NodesData[[#This Row],[Group]]="","",NodesData[[#This Row],[Group]])</f>
        <v/>
      </c>
      <c r="C357" s="23" t="str">
        <f>NodesData[[#This Row],[Node ID]]</f>
        <v>n9F7D871B_3DEB_4A88_B41B_59E3F5381286</v>
      </c>
      <c r="D357" s="10" t="s">
        <v>1088</v>
      </c>
      <c r="E357" s="26" t="str" cm="1">
        <f t="array" ref="E357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Ratio Scale</v>
      </c>
      <c r="B358" s="3" t="str">
        <f>IF(NodesData[[#This Row],[Group]]="","",NodesData[[#This Row],[Group]])</f>
        <v/>
      </c>
      <c r="C358" s="23" t="str">
        <f>NodesData[[#This Row],[Node ID]]</f>
        <v>n9EABB6A3_3B7A_42A6_A127_9CD98E43B6C0</v>
      </c>
      <c r="D358" s="10" t="s">
        <v>1089</v>
      </c>
      <c r="E358" s="26" t="str" cm="1">
        <f t="array" ref="E358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RBA</v>
      </c>
      <c r="B359" s="3" t="str">
        <f>IF(NodesData[[#This Row],[Group]]="","",NodesData[[#This Row],[Group]])</f>
        <v/>
      </c>
      <c r="C359" s="23" t="str">
        <f>NodesData[[#This Row],[Node ID]]</f>
        <v>nA3D07637_D18C_4A84_B9BE_EC33462CCE27</v>
      </c>
      <c r="D359" s="10" t="s">
        <v>1090</v>
      </c>
      <c r="E359" s="26" t="str" cm="1">
        <f t="array" ref="E359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Re-authentication</v>
      </c>
      <c r="B360" s="3" t="str">
        <f>IF(NodesData[[#This Row],[Group]]="","",NodesData[[#This Row],[Group]])</f>
        <v/>
      </c>
      <c r="C360" s="23" t="str">
        <f>NodesData[[#This Row],[Node ID]]</f>
        <v>n7F9AFAF9_8A03_4A7B_B9E6_BFE1D2A9302D</v>
      </c>
      <c r="D360" s="10" t="s">
        <v>1092</v>
      </c>
      <c r="E360" s="26" t="str" cm="1">
        <f t="array" ref="E360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Recertification</v>
      </c>
      <c r="B361" s="3" t="str">
        <f>IF(NodesData[[#This Row],[Group]]="","",NodesData[[#This Row],[Group]])</f>
        <v/>
      </c>
      <c r="C361" s="23" t="str">
        <f>NodesData[[#This Row],[Node ID]]</f>
        <v>nD44F34C0_2002_47C7_8592_BF38B5BF83F8</v>
      </c>
      <c r="D361" s="10" t="s">
        <v>1094</v>
      </c>
      <c r="E361" s="26" t="str" cm="1">
        <f t="array" ref="E361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Reference Monitor</v>
      </c>
      <c r="B362" s="3" t="str">
        <f>IF(NodesData[[#This Row],[Group]]="","",NodesData[[#This Row],[Group]])</f>
        <v/>
      </c>
      <c r="C362" s="23" t="str">
        <f>NodesData[[#This Row],[Node ID]]</f>
        <v>n000D1617_D659_4780_A829_736ADFBC46B9</v>
      </c>
      <c r="D362" s="10" t="s">
        <v>1096</v>
      </c>
      <c r="E362" s="26" t="str" cm="1">
        <f t="array" ref="E362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Registration Authority</v>
      </c>
      <c r="B363" s="3" t="str">
        <f>IF(NodesData[[#This Row],[Group]]="","",NodesData[[#This Row],[Group]])</f>
        <v/>
      </c>
      <c r="C363" s="23" t="str">
        <f>NodesData[[#This Row],[Node ID]]</f>
        <v>nA28366D4_CC5A_467A_B4DC_EB619866BB17</v>
      </c>
      <c r="D363" s="10" t="s">
        <v>1098</v>
      </c>
      <c r="E363" s="26" t="str" cm="1">
        <f t="array" ref="E363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Rejoiner</v>
      </c>
      <c r="B364" s="3" t="str">
        <f>IF(NodesData[[#This Row],[Group]]="","",NodesData[[#This Row],[Group]])</f>
        <v/>
      </c>
      <c r="C364" s="23" t="str">
        <f>NodesData[[#This Row],[Node ID]]</f>
        <v>nFFC60251_1B95_42A0_9516_E5AC18B9BF28</v>
      </c>
      <c r="D364" s="10" t="s">
        <v>1100</v>
      </c>
      <c r="E364" s="26" t="str" cm="1">
        <f t="array" ref="E364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Relying Party</v>
      </c>
      <c r="B365" s="3" t="str">
        <f>IF(NodesData[[#This Row],[Group]]="","",NodesData[[#This Row],[Group]])</f>
        <v/>
      </c>
      <c r="C365" s="23" t="str">
        <f>NodesData[[#This Row],[Node ID]]</f>
        <v>n85520257_66D0_4CD1_A52A_85A6885DB4CE</v>
      </c>
      <c r="D365" s="10" t="s">
        <v>1102</v>
      </c>
      <c r="E365" s="26" t="str" cm="1">
        <f t="array" ref="E365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Remote Identity Proofing</v>
      </c>
      <c r="B366" s="3" t="str">
        <f>IF(NodesData[[#This Row],[Group]]="","",NodesData[[#This Row],[Group]])</f>
        <v/>
      </c>
      <c r="C366" s="23" t="str">
        <f>NodesData[[#This Row],[Node ID]]</f>
        <v>nCF5B4529_F5E4_4C1C_9CD1_0E67643481B4</v>
      </c>
      <c r="D366" s="10" t="s">
        <v>1104</v>
      </c>
      <c r="E366" s="26" t="str" cm="1">
        <f t="array" ref="E366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Repeatability</v>
      </c>
      <c r="B367" s="3" t="str">
        <f>IF(NodesData[[#This Row],[Group]]="","",NodesData[[#This Row],[Group]])</f>
        <v/>
      </c>
      <c r="C367" s="23" t="str">
        <f>NodesData[[#This Row],[Node ID]]</f>
        <v>n27D0EABD_A0B3_47A6_A86A_8C13F8721BE1</v>
      </c>
      <c r="D367" s="10" t="s">
        <v>1106</v>
      </c>
      <c r="E367" s="26" t="str" cm="1">
        <f t="array" ref="E367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Representation Target</v>
      </c>
      <c r="B368" s="3" t="str">
        <f>IF(NodesData[[#This Row],[Group]]="","",NodesData[[#This Row],[Group]])</f>
        <v/>
      </c>
      <c r="C368" s="23" t="str">
        <f>NodesData[[#This Row],[Node ID]]</f>
        <v>nE99045EA_CC68_44E2_A22A_2917BDB8276C</v>
      </c>
      <c r="D368" s="10" t="s">
        <v>1108</v>
      </c>
      <c r="E368" s="26" t="str" cm="1">
        <f t="array" ref="E368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Reproducibility</v>
      </c>
      <c r="B369" s="3" t="str">
        <f>IF(NodesData[[#This Row],[Group]]="","",NodesData[[#This Row],[Group]])</f>
        <v/>
      </c>
      <c r="C369" s="23" t="str">
        <f>NodesData[[#This Row],[Node ID]]</f>
        <v>n92552E85_6D6E_4D55_B4F1_C478A4FB8BC6</v>
      </c>
      <c r="D369" s="10" t="s">
        <v>1110</v>
      </c>
      <c r="E369" s="26" t="str" cm="1">
        <f t="array" ref="E369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Revocation</v>
      </c>
      <c r="B370" s="3" t="str">
        <f>IF(NodesData[[#This Row],[Group]]="","",NodesData[[#This Row],[Group]])</f>
        <v/>
      </c>
      <c r="C370" s="23" t="str">
        <f>NodesData[[#This Row],[Node ID]]</f>
        <v>n019EE7D0_AFF3_44D6_B229_9F7E8C9D4151</v>
      </c>
      <c r="D370" s="10" t="s">
        <v>1112</v>
      </c>
      <c r="E370" s="26" t="str" cm="1">
        <f t="array" ref="E370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RIDP</v>
      </c>
      <c r="B371" s="3" t="str">
        <f>IF(NodesData[[#This Row],[Group]]="","",NodesData[[#This Row],[Group]])</f>
        <v/>
      </c>
      <c r="C371" s="23" t="str">
        <f>NodesData[[#This Row],[Node ID]]</f>
        <v>n2B1493D9_E52C_47E8_875B_74265080C8CB</v>
      </c>
      <c r="D371" s="10" t="s">
        <v>1113</v>
      </c>
      <c r="E371" s="26" t="str" cm="1">
        <f t="array" ref="E371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Risk-Based Authentication</v>
      </c>
      <c r="B372" s="3" t="str">
        <f>IF(NodesData[[#This Row],[Group]]="","",NodesData[[#This Row],[Group]])</f>
        <v/>
      </c>
      <c r="C372" s="23" t="str">
        <f>NodesData[[#This Row],[Node ID]]</f>
        <v>n963C5840_F55F_44D3_ABCE_9B86FAE16FEF</v>
      </c>
      <c r="D372" s="10" t="s">
        <v>1115</v>
      </c>
      <c r="E372" s="26" t="str" cm="1">
        <f t="array" ref="E372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Role</v>
      </c>
      <c r="B373" s="3" t="str">
        <f>IF(NodesData[[#This Row],[Group]]="","",NodesData[[#This Row],[Group]])</f>
        <v/>
      </c>
      <c r="C373" s="23" t="str">
        <f>NodesData[[#This Row],[Node ID]]</f>
        <v>nE1050999_27A0_46D4_AFD8_BAFC2970E276</v>
      </c>
      <c r="D373" s="10" t="s">
        <v>1117</v>
      </c>
      <c r="E373" s="26" t="str" cm="1">
        <f t="array" ref="E373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Role Bloating</v>
      </c>
      <c r="B374" s="3" t="str">
        <f>IF(NodesData[[#This Row],[Group]]="","",NodesData[[#This Row],[Group]])</f>
        <v/>
      </c>
      <c r="C374" s="23" t="str">
        <f>NodesData[[#This Row],[Node ID]]</f>
        <v>n5B801607_99C5_4D93_91CB_94A21227408C</v>
      </c>
      <c r="D374" s="10" t="s">
        <v>1119</v>
      </c>
      <c r="E374" s="26" t="str" cm="1">
        <f t="array" ref="E374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Role Capacity</v>
      </c>
      <c r="B375" s="3" t="str">
        <f>IF(NodesData[[#This Row],[Group]]="","",NodesData[[#This Row],[Group]])</f>
        <v/>
      </c>
      <c r="C375" s="23" t="str">
        <f>NodesData[[#This Row],[Node ID]]</f>
        <v>n4129C99E_02BA_4B11_AED3_6029D49927EE</v>
      </c>
      <c r="D375" s="10" t="s">
        <v>1070</v>
      </c>
      <c r="E375" s="26" t="str" cm="1">
        <f t="array" ref="E375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Role Cardinality</v>
      </c>
      <c r="B376" s="3" t="str">
        <f>IF(NodesData[[#This Row],[Group]]="","",NodesData[[#This Row],[Group]])</f>
        <v/>
      </c>
      <c r="C376" s="23" t="str">
        <f>NodesData[[#This Row],[Node ID]]</f>
        <v>nD9EF9B83_2494_406B_95F4_C53820EE35CA</v>
      </c>
      <c r="D376" s="10" t="s">
        <v>1121</v>
      </c>
      <c r="E376" s="26" t="str" cm="1">
        <f t="array" ref="E376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 Cardinality Activation Control</v>
      </c>
      <c r="B377" s="3" t="str">
        <f>IF(NodesData[[#This Row],[Group]]="","",NodesData[[#This Row],[Group]])</f>
        <v/>
      </c>
      <c r="C377" s="23" t="str">
        <f>NodesData[[#This Row],[Node ID]]</f>
        <v>nC1D0A8DC_6691_4020_A24F_A3218608CDB9</v>
      </c>
      <c r="D377" s="10" t="s">
        <v>1122</v>
      </c>
      <c r="E377" s="26" t="str" cm="1">
        <f t="array" ref="E377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Explosion</v>
      </c>
      <c r="B378" s="3" t="str">
        <f>IF(NodesData[[#This Row],[Group]]="","",NodesData[[#This Row],[Group]])</f>
        <v/>
      </c>
      <c r="C378" s="23" t="str">
        <f>NodesData[[#This Row],[Node ID]]</f>
        <v>nF3022911_57AF_4961_BB85_E6B8E9F54AEF</v>
      </c>
      <c r="D378" s="10" t="s">
        <v>1124</v>
      </c>
      <c r="E378" s="26" t="str" cm="1">
        <f t="array" ref="E378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Management</v>
      </c>
      <c r="B379" s="3" t="str">
        <f>IF(NodesData[[#This Row],[Group]]="","",NodesData[[#This Row],[Group]])</f>
        <v/>
      </c>
      <c r="C379" s="23" t="str">
        <f>NodesData[[#This Row],[Node ID]]</f>
        <v>n5A5CD70F_DB4D_4769_97A2_CE29EAE58971</v>
      </c>
      <c r="D379" s="10" t="s">
        <v>1126</v>
      </c>
      <c r="E379" s="26" t="str" cm="1">
        <f t="array" ref="E379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Role-Based Access Control</v>
      </c>
      <c r="B380" s="3" t="str">
        <f>IF(NodesData[[#This Row],[Group]]="","",NodesData[[#This Row],[Group]])</f>
        <v/>
      </c>
      <c r="C380" s="23" t="str">
        <f>NodesData[[#This Row],[Node ID]]</f>
        <v>nC663B247_7314_44F0_87C7_6C58BAD193CB</v>
      </c>
      <c r="D380" s="10" t="s">
        <v>1127</v>
      </c>
      <c r="E380" s="26" t="str" cm="1">
        <f t="array" ref="E380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RP</v>
      </c>
      <c r="B381" s="3" t="str">
        <f>IF(NodesData[[#This Row],[Group]]="","",NodesData[[#This Row],[Group]])</f>
        <v/>
      </c>
      <c r="C381" s="23" t="str">
        <f>NodesData[[#This Row],[Node ID]]</f>
        <v>nD0324B54_4F7D_4DD3_BBD1_3E5B237DE6B4</v>
      </c>
      <c r="D381" s="10" t="s">
        <v>1129</v>
      </c>
      <c r="E381" s="26" t="str" cm="1">
        <f t="array" ref="E381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SAM Database</v>
      </c>
      <c r="B382" s="3" t="str">
        <f>IF(NodesData[[#This Row],[Group]]="","",NodesData[[#This Row],[Group]])</f>
        <v/>
      </c>
      <c r="C382" s="23" t="str">
        <f>NodesData[[#This Row],[Node ID]]</f>
        <v>nD9C66A40_325F_45DA_A6E3_E4C20F9377A4</v>
      </c>
      <c r="D382" s="8"/>
      <c r="E382" s="26" t="str" cm="1">
        <f t="array" ref="E382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Database","group":"","id":"nD9C66A40_325F_45DA_A6E3_E4C20F9377A4","url":""}</v>
      </c>
    </row>
    <row r="383" spans="1:5" ht="13.9" thickTop="1" thickBot="1" x14ac:dyDescent="0.4">
      <c r="A383" s="3" t="str">
        <f>NodesData[[#This Row],[Common Name]]</f>
        <v>SAML</v>
      </c>
      <c r="B383" s="3" t="str">
        <f>IF(NodesData[[#This Row],[Group]]="","",NodesData[[#This Row],[Group]])</f>
        <v/>
      </c>
      <c r="C383" s="23" t="str">
        <f>NodesData[[#This Row],[Node ID]]</f>
        <v>nDCCE280E_D684_42A8_B37B_5711CE76BC43</v>
      </c>
      <c r="D383" s="10" t="s">
        <v>1131</v>
      </c>
      <c r="E383" s="26" t="str" cm="1">
        <f t="array" ref="E383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SCIM</v>
      </c>
      <c r="B384" s="3" t="str">
        <f>IF(NodesData[[#This Row],[Group]]="","",NodesData[[#This Row],[Group]])</f>
        <v/>
      </c>
      <c r="C384" s="23" t="str">
        <f>NodesData[[#This Row],[Node ID]]</f>
        <v>n149B4F80_9A70_4D1D_8260_94C137DBFBBE</v>
      </c>
      <c r="D384" s="10" t="s">
        <v>1133</v>
      </c>
      <c r="E384" s="26" t="str" cm="1">
        <f t="array" ref="E384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SCIM 1.0</v>
      </c>
      <c r="B385" s="3" t="str">
        <f>IF(NodesData[[#This Row],[Group]]="","",NodesData[[#This Row],[Group]])</f>
        <v/>
      </c>
      <c r="C385" s="23" t="str">
        <f>NodesData[[#This Row],[Node ID]]</f>
        <v>n0FF516F1_21CA_4A0C_8AC4_4487F5E1E2CB</v>
      </c>
      <c r="D385" s="8"/>
      <c r="E385" s="26" t="str" cm="1">
        <f t="array" ref="E385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1.0","group":"","id":"n0FF516F1_21CA_4A0C_8AC4_4487F5E1E2CB","url":""}</v>
      </c>
    </row>
    <row r="386" spans="1:5" ht="13.9" thickTop="1" thickBot="1" x14ac:dyDescent="0.4">
      <c r="A386" s="3" t="str">
        <f>NodesData[[#This Row],[Common Name]]</f>
        <v>SCIM 1.1</v>
      </c>
      <c r="B386" s="3" t="str">
        <f>IF(NodesData[[#This Row],[Group]]="","",NodesData[[#This Row],[Group]])</f>
        <v/>
      </c>
      <c r="C386" s="23" t="str">
        <f>NodesData[[#This Row],[Node ID]]</f>
        <v>n205B8D02_E855_4B2F_91EF_26C1B23CFC50</v>
      </c>
      <c r="D386" s="4"/>
      <c r="E386" s="26" t="str" cm="1">
        <f t="array" ref="E386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87" spans="1:5" ht="13.9" thickTop="1" thickBot="1" x14ac:dyDescent="0.4">
      <c r="A387" s="3" t="str">
        <f>NodesData[[#This Row],[Common Name]]</f>
        <v>SCIM 2.0</v>
      </c>
      <c r="B387" s="3" t="str">
        <f>IF(NodesData[[#This Row],[Group]]="","",NodesData[[#This Row],[Group]])</f>
        <v/>
      </c>
      <c r="C387" s="23" t="str">
        <f>NodesData[[#This Row],[Node ID]]</f>
        <v>n1A99C52D_471D_462A_87B9_5E8D4560D58F</v>
      </c>
      <c r="D387" s="8"/>
      <c r="E387" s="26" t="str" cm="1">
        <f t="array" ref="E387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2.0","group":"","id":"n1A99C52D_471D_462A_87B9_5E8D4560D58F","url":""}</v>
      </c>
    </row>
    <row r="388" spans="1:5" ht="13.9" thickTop="1" thickBot="1" x14ac:dyDescent="0.4">
      <c r="A388" s="3" t="str">
        <f>NodesData[[#This Row],[Common Name]]</f>
        <v>Scoping</v>
      </c>
      <c r="B388" s="3" t="str">
        <f>IF(NodesData[[#This Row],[Group]]="","",NodesData[[#This Row],[Group]])</f>
        <v/>
      </c>
      <c r="C388" s="23" t="str">
        <f>NodesData[[#This Row],[Node ID]]</f>
        <v>n6E3234B2_E757_4333_BA58_DAFF5B1D943A</v>
      </c>
      <c r="D388" s="10" t="s">
        <v>1135</v>
      </c>
      <c r="E388" s="26" t="str" cm="1">
        <f t="array" ref="E388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SD</v>
      </c>
      <c r="B389" s="3" t="str">
        <f>IF(NodesData[[#This Row],[Group]]="","",NodesData[[#This Row],[Group]])</f>
        <v/>
      </c>
      <c r="C389" s="23" t="str">
        <f>NodesData[[#This Row],[Node ID]]</f>
        <v>nD3FFB967_77A4_45B9_A5A4_A9FBB2367C89</v>
      </c>
      <c r="D389" s="10" t="s">
        <v>1137</v>
      </c>
      <c r="E389" s="26" t="str" cm="1">
        <f t="array" ref="E389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SDP</v>
      </c>
      <c r="B390" s="3" t="str">
        <f>IF(NodesData[[#This Row],[Group]]="","",NodesData[[#This Row],[Group]])</f>
        <v/>
      </c>
      <c r="C390" s="23" t="str">
        <f>NodesData[[#This Row],[Node ID]]</f>
        <v>n1CD1BA03_756A_4932_9441_C0DBAE224934</v>
      </c>
      <c r="D390" s="4"/>
      <c r="E390" s="26" t="str" cm="1">
        <f t="array" ref="E390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,{"label":"SDP","group":"","id":"n1CD1BA03_756A_4932_9441_C0DBAE224934","url":""}</v>
      </c>
    </row>
    <row r="391" spans="1:5" ht="13.9" thickTop="1" thickBot="1" x14ac:dyDescent="0.4">
      <c r="A391" s="3" t="str">
        <f>NodesData[[#This Row],[Common Name]]</f>
        <v>Secure Production Identity Framework for Everyone</v>
      </c>
      <c r="B391" s="3" t="str">
        <f>IF(NodesData[[#This Row],[Group]]="","",NodesData[[#This Row],[Group]])</f>
        <v/>
      </c>
      <c r="C391" s="23" t="str">
        <f>NodesData[[#This Row],[Node ID]]</f>
        <v>nDFF0F332_91D0_4DCD_9272_B0AC7CB47061</v>
      </c>
      <c r="D391" s="10" t="s">
        <v>1139</v>
      </c>
      <c r="E391" s="26" t="str" cm="1">
        <f t="array" ref="E391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Secure System</v>
      </c>
      <c r="B392" s="3" t="str">
        <f>IF(NodesData[[#This Row],[Group]]="","",NodesData[[#This Row],[Group]])</f>
        <v/>
      </c>
      <c r="C392" s="23" t="str">
        <f>NodesData[[#This Row],[Node ID]]</f>
        <v>n684E2CA8_D61D_459D_846A_4F41E87E62C9</v>
      </c>
      <c r="D392" s="10" t="s">
        <v>1141</v>
      </c>
      <c r="E392" s="26" t="str" cm="1">
        <f t="array" ref="E392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Security</v>
      </c>
      <c r="B393" s="3" t="str">
        <f>IF(NodesData[[#This Row],[Group]]="","",NodesData[[#This Row],[Group]])</f>
        <v/>
      </c>
      <c r="C393" s="23" t="str">
        <f>NodesData[[#This Row],[Node ID]]</f>
        <v>nCC901E67_11E1_4971_ACD2_99886D05F2BB</v>
      </c>
      <c r="D393" s="10" t="s">
        <v>1143</v>
      </c>
      <c r="E393" s="26" t="str" cm="1">
        <f t="array" ref="E393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Security Accounts Manager</v>
      </c>
      <c r="B394" s="3" t="str">
        <f>IF(NodesData[[#This Row],[Group]]="","",NodesData[[#This Row],[Group]])</f>
        <v/>
      </c>
      <c r="C394" s="23" t="str">
        <f>NodesData[[#This Row],[Node ID]]</f>
        <v>nF2255395_848A_427B_89E9_3BB7DD7580BB</v>
      </c>
      <c r="D394" s="10" t="s">
        <v>1145</v>
      </c>
      <c r="E394" s="26" t="str" cm="1">
        <f t="array" ref="E394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Security Assertion Markup Language</v>
      </c>
      <c r="B395" s="3" t="str">
        <f>IF(NodesData[[#This Row],[Group]]="","",NodesData[[#This Row],[Group]])</f>
        <v/>
      </c>
      <c r="C395" s="23" t="str">
        <f>NodesData[[#This Row],[Node ID]]</f>
        <v>nE58B987B_C4CB_4FB3_9868_F8040123B702</v>
      </c>
      <c r="D395" s="10" t="s">
        <v>1146</v>
      </c>
      <c r="E395" s="26" t="str" cm="1">
        <f t="array" ref="E395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Security Clearance Level</v>
      </c>
      <c r="B396" s="3" t="str">
        <f>IF(NodesData[[#This Row],[Group]]="","",NodesData[[#This Row],[Group]])</f>
        <v/>
      </c>
      <c r="C396" s="23" t="str">
        <f>NodesData[[#This Row],[Node ID]]</f>
        <v>n9AE9641B_8E15_44BE_BE39_5928AF98C403</v>
      </c>
      <c r="D396" s="10" t="s">
        <v>1148</v>
      </c>
      <c r="E396" s="26" t="str" cm="1">
        <f t="array" ref="E396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 Compartment</v>
      </c>
      <c r="B397" s="3" t="str">
        <f>IF(NodesData[[#This Row],[Group]]="","",NodesData[[#This Row],[Group]])</f>
        <v/>
      </c>
      <c r="C397" s="23" t="str">
        <f>NodesData[[#This Row],[Node ID]]</f>
        <v>n4AB9C40A_FFE6_4F52_BBD5_1C60BD60C22D</v>
      </c>
      <c r="D397" s="8"/>
      <c r="E397" s="26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Compartment","group":"","id":"n4AB9C40A_FFE6_4F52_BBD5_1C60BD60C22D","url":""}</v>
      </c>
    </row>
    <row r="398" spans="1:5" ht="13.9" thickTop="1" thickBot="1" x14ac:dyDescent="0.4">
      <c r="A398" s="3" t="str">
        <f>NodesData[[#This Row],[Common Name]]</f>
        <v>Security Label</v>
      </c>
      <c r="B398" s="3" t="str">
        <f>IF(NodesData[[#This Row],[Group]]="","",NodesData[[#This Row],[Group]])</f>
        <v/>
      </c>
      <c r="C398" s="23" t="str">
        <f>NodesData[[#This Row],[Node ID]]</f>
        <v>nB97D2A38_A342_46DA_ABE9_AE6CB1417AAE</v>
      </c>
      <c r="D398" s="10" t="s">
        <v>1150</v>
      </c>
      <c r="E398" s="26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Question Authentication</v>
      </c>
      <c r="B399" s="3" t="str">
        <f>IF(NodesData[[#This Row],[Group]]="","",NodesData[[#This Row],[Group]])</f>
        <v/>
      </c>
      <c r="C399" s="23" t="str">
        <f>NodesData[[#This Row],[Node ID]]</f>
        <v>n3C201BF8_F9EA_4428_B9FA_FC0267427653</v>
      </c>
      <c r="D399" s="10" t="s">
        <v>1152</v>
      </c>
      <c r="E399" s="26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Segregation of Duties</v>
      </c>
      <c r="B400" s="3" t="str">
        <f>IF(NodesData[[#This Row],[Group]]="","",NodesData[[#This Row],[Group]])</f>
        <v/>
      </c>
      <c r="C400" s="23" t="str">
        <f>NodesData[[#This Row],[Node ID]]</f>
        <v>nD567DDAF_88E4_460A_8360_AB49285CB8DD</v>
      </c>
      <c r="D400" s="10" t="s">
        <v>1134</v>
      </c>
      <c r="E400" s="26" t="str" cm="1">
        <f t="array" ref="E400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Self-Sovereign Identity</v>
      </c>
      <c r="B401" s="3" t="str">
        <f>IF(NodesData[[#This Row],[Group]]="","",NodesData[[#This Row],[Group]])</f>
        <v/>
      </c>
      <c r="C401" s="23" t="str">
        <f>NodesData[[#This Row],[Node ID]]</f>
        <v>nB870A42F_E8DF_49EE_839E_8237D0D08E6C</v>
      </c>
      <c r="D401" s="10" t="s">
        <v>1155</v>
      </c>
      <c r="E401" s="26" t="str" cm="1">
        <f t="array" ref="E401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Semantic Differential</v>
      </c>
      <c r="B402" s="3" t="str">
        <f>IF(NodesData[[#This Row],[Group]]="","",NodesData[[#This Row],[Group]])</f>
        <v/>
      </c>
      <c r="C402" s="23" t="str">
        <f>NodesData[[#This Row],[Node ID]]</f>
        <v>n05769AFC_D0B1_4FEC_A0E1_842407E11B7A</v>
      </c>
      <c r="D402" s="10" t="s">
        <v>1157</v>
      </c>
      <c r="E402" s="26" t="str" cm="1">
        <f t="array" ref="E402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Service Account</v>
      </c>
      <c r="B403" s="3" t="str">
        <f>IF(NodesData[[#This Row],[Group]]="","",NodesData[[#This Row],[Group]])</f>
        <v/>
      </c>
      <c r="C403" s="23" t="str">
        <f>NodesData[[#This Row],[Node ID]]</f>
        <v>n901E5DAB_D27E_4BEE_8BBB_AC47FA69CFBA</v>
      </c>
      <c r="D403" s="10" t="s">
        <v>1153</v>
      </c>
      <c r="E403" s="26" t="str" cm="1">
        <f t="array" ref="E403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Service-Centric Identity Management System</v>
      </c>
      <c r="B404" s="3" t="str">
        <f>IF(NodesData[[#This Row],[Group]]="","",NodesData[[#This Row],[Group]])</f>
        <v/>
      </c>
      <c r="C404" s="23" t="str">
        <f>NodesData[[#This Row],[Node ID]]</f>
        <v>n491440D0_18B1_419D_82A7_5E14101A7E9B</v>
      </c>
      <c r="D404" s="10" t="s">
        <v>1161</v>
      </c>
      <c r="E404" s="26" t="str" cm="1">
        <f t="array" ref="E404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Session</v>
      </c>
      <c r="B405" s="3" t="str">
        <f>IF(NodesData[[#This Row],[Group]]="","",NodesData[[#This Row],[Group]])</f>
        <v/>
      </c>
      <c r="C405" s="23" t="str">
        <f>NodesData[[#This Row],[Node ID]]</f>
        <v>n279CC740_4E96_4D2A_923D_3603EA0FD247</v>
      </c>
      <c r="D405" s="10" t="s">
        <v>1163</v>
      </c>
      <c r="E405" s="26" t="str" cm="1">
        <f t="array" ref="E405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Session Authentication</v>
      </c>
      <c r="B406" s="3" t="str">
        <f>IF(NodesData[[#This Row],[Group]]="","",NodesData[[#This Row],[Group]])</f>
        <v/>
      </c>
      <c r="C406" s="23" t="str">
        <f>NodesData[[#This Row],[Node ID]]</f>
        <v>nDF95A25A_2B47_4C54_8D11_CCEA52064067</v>
      </c>
      <c r="D406" s="10" t="s">
        <v>1165</v>
      </c>
      <c r="E406" s="26" t="str" cm="1">
        <f t="array" ref="E406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Single Login</v>
      </c>
      <c r="B407" s="3" t="str">
        <f>IF(NodesData[[#This Row],[Group]]="","",NodesData[[#This Row],[Group]])</f>
        <v/>
      </c>
      <c r="C407" s="23" t="str">
        <f>NodesData[[#This Row],[Node ID]]</f>
        <v>n95300591_0D21_454A_83B8_F3C9C74C21E3</v>
      </c>
      <c r="D407" s="10" t="s">
        <v>1166</v>
      </c>
      <c r="E407" s="26" t="str" cm="1">
        <f t="array" ref="E407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Single Sign-On</v>
      </c>
      <c r="B408" s="3" t="str">
        <f>IF(NodesData[[#This Row],[Group]]="","",NodesData[[#This Row],[Group]])</f>
        <v/>
      </c>
      <c r="C408" s="23" t="str">
        <f>NodesData[[#This Row],[Node ID]]</f>
        <v>nCDC41020_7C5B_4C7F_9A4D_8C0F159CD585</v>
      </c>
      <c r="D408" s="10" t="s">
        <v>1167</v>
      </c>
      <c r="E408" s="26" t="str" cm="1">
        <f t="array" ref="E408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Single Sign-On</v>
      </c>
      <c r="B409" s="3" t="str">
        <f>IF(NodesData[[#This Row],[Group]]="","",NodesData[[#This Row],[Group]])</f>
        <v/>
      </c>
      <c r="C409" s="23" t="str">
        <f>NodesData[[#This Row],[Node ID]]</f>
        <v>nF3399109_259D_4ABC_BC52_EDB47E2CAF1A</v>
      </c>
      <c r="D409" s="10" t="s">
        <v>1169</v>
      </c>
      <c r="E409" s="26" t="str" cm="1">
        <f t="array" ref="E409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SMS OTP</v>
      </c>
      <c r="B410" s="3" t="str">
        <f>IF(NodesData[[#This Row],[Group]]="","",NodesData[[#This Row],[Group]])</f>
        <v/>
      </c>
      <c r="C410" s="23" t="str">
        <f>NodesData[[#This Row],[Node ID]]</f>
        <v>nC659F8FA_B1EB_46E9_B13C_FE5C1B62DEA3</v>
      </c>
      <c r="D410" s="10" t="s">
        <v>1170</v>
      </c>
      <c r="E410" s="26" t="str" cm="1">
        <f t="array" ref="E410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Social Authentication</v>
      </c>
      <c r="B411" s="3" t="str">
        <f>IF(NodesData[[#This Row],[Group]]="","",NodesData[[#This Row],[Group]])</f>
        <v/>
      </c>
      <c r="C411" s="23" t="str">
        <f>NodesData[[#This Row],[Node ID]]</f>
        <v>n60A42831_8FFC_43B5_9189_8FC2450794A3</v>
      </c>
      <c r="D411" s="10" t="s">
        <v>1171</v>
      </c>
      <c r="E411" s="26" t="str" cm="1">
        <f t="array" ref="E411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Social Honeypot</v>
      </c>
      <c r="B412" s="3" t="str">
        <f>IF(NodesData[[#This Row],[Group]]="","",NodesData[[#This Row],[Group]])</f>
        <v/>
      </c>
      <c r="C412" s="23" t="str">
        <f>NodesData[[#This Row],[Node ID]]</f>
        <v>n56573FF9_22B4_4629_B28C_392B006A4AA8</v>
      </c>
      <c r="D412" s="10" t="s">
        <v>1173</v>
      </c>
      <c r="E412" s="26" t="str" cm="1">
        <f t="array" ref="E412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SoD</v>
      </c>
      <c r="B413" s="3" t="str">
        <f>IF(NodesData[[#This Row],[Group]]="","",NodesData[[#This Row],[Group]])</f>
        <v/>
      </c>
      <c r="C413" s="23" t="str">
        <f>NodesData[[#This Row],[Node ID]]</f>
        <v>nA9A30C47_5F47_4988_8FC5_F4CF9EB080CC</v>
      </c>
      <c r="D413" s="10" t="s">
        <v>1175</v>
      </c>
      <c r="E413" s="26" t="str" cm="1">
        <f t="array" ref="E413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Software / App OTP</v>
      </c>
      <c r="B414" s="3" t="str">
        <f>IF(NodesData[[#This Row],[Group]]="","",NodesData[[#This Row],[Group]])</f>
        <v/>
      </c>
      <c r="C414" s="23" t="str">
        <f>NodesData[[#This Row],[Node ID]]</f>
        <v>n53FEC273_D9E0_42F6_BEB3_18333BB567ED</v>
      </c>
      <c r="D414" s="10" t="s">
        <v>1177</v>
      </c>
      <c r="E414" s="26" t="str" cm="1">
        <f t="array" ref="E414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Software-Defined Perimeter</v>
      </c>
      <c r="B415" s="3" t="str">
        <f>IF(NodesData[[#This Row],[Group]]="","",NodesData[[#This Row],[Group]])</f>
        <v/>
      </c>
      <c r="C415" s="23" t="str">
        <f>NodesData[[#This Row],[Node ID]]</f>
        <v>n5E41A9D4_819D_4864_B6AE_33A53A7DDD7C</v>
      </c>
      <c r="D415" s="4"/>
      <c r="E415" s="26" t="str" cm="1">
        <f t="array" ref="E415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Perimeter","group":"","id":"n5E41A9D4_819D_4864_B6AE_33A53A7DDD7C","url":""}</v>
      </c>
    </row>
    <row r="416" spans="1:5" ht="13.9" thickTop="1" thickBot="1" x14ac:dyDescent="0.4">
      <c r="A416" s="3" t="str">
        <f>NodesData[[#This Row],[Common Name]]</f>
        <v>SPIFFE</v>
      </c>
      <c r="B416" s="3" t="str">
        <f>IF(NodesData[[#This Row],[Group]]="","",NodesData[[#This Row],[Group]])</f>
        <v/>
      </c>
      <c r="C416" s="23" t="str">
        <f>NodesData[[#This Row],[Node ID]]</f>
        <v>n00E1D349_3D00_4487_9F58_1785F1B304DB</v>
      </c>
      <c r="D416" s="10" t="s">
        <v>1179</v>
      </c>
      <c r="E416" s="26" t="str" cm="1">
        <f t="array" ref="E416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SPMS</v>
      </c>
      <c r="B417" s="3" t="str">
        <f>IF(NodesData[[#This Row],[Group]]="","",NodesData[[#This Row],[Group]])</f>
        <v/>
      </c>
      <c r="C417" s="23" t="str">
        <f>NodesData[[#This Row],[Node ID]]</f>
        <v>n5CF2F923_671C_4D8A_ADA8_855ACC57144A</v>
      </c>
      <c r="D417" s="10" t="s">
        <v>1159</v>
      </c>
      <c r="E417" s="26" t="str" cm="1">
        <f t="array" ref="E417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SSH Key</v>
      </c>
      <c r="B418" s="3" t="str">
        <f>IF(NodesData[[#This Row],[Group]]="","",NodesData[[#This Row],[Group]])</f>
        <v/>
      </c>
      <c r="C418" s="23" t="str">
        <f>NodesData[[#This Row],[Node ID]]</f>
        <v>nFC3909FF_29C6_47F9_B90A_122BDED44AF9</v>
      </c>
      <c r="D418" s="3"/>
      <c r="E418" s="26" t="str" cm="1">
        <f t="array" ref="E418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Key","group":"","id":"nFC3909FF_29C6_47F9_B90A_122BDED44AF9","url":""}</v>
      </c>
    </row>
    <row r="419" spans="1:5" ht="13.9" thickTop="1" thickBot="1" x14ac:dyDescent="0.4">
      <c r="A419" s="3" t="str">
        <f>NodesData[[#This Row],[Common Name]]</f>
        <v>SSI</v>
      </c>
      <c r="B419" s="3" t="str">
        <f>IF(NodesData[[#This Row],[Group]]="","",NodesData[[#This Row],[Group]])</f>
        <v/>
      </c>
      <c r="C419" s="23" t="str">
        <f>NodesData[[#This Row],[Node ID]]</f>
        <v>n71631819_91CD_4603_8446_336EBC6B18B2</v>
      </c>
      <c r="D419" s="8"/>
      <c r="E419" s="26" t="str" cm="1">
        <f t="array" ref="E419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,{"label":"SSI","group":"","id":"n71631819_91CD_4603_8446_336EBC6B18B2","url":""}</v>
      </c>
    </row>
    <row r="420" spans="1:5" ht="13.9" thickTop="1" thickBot="1" x14ac:dyDescent="0.4">
      <c r="A420" s="3" t="str">
        <f>NodesData[[#This Row],[Common Name]]</f>
        <v>SSO</v>
      </c>
      <c r="B420" s="3" t="str">
        <f>IF(NodesData[[#This Row],[Group]]="","",NodesData[[#This Row],[Group]])</f>
        <v/>
      </c>
      <c r="C420" s="23" t="str">
        <f>NodesData[[#This Row],[Node ID]]</f>
        <v>n36B26A4D_4DE5_4EE8_8425_C5A7DB251D84</v>
      </c>
      <c r="D420" s="8"/>
      <c r="E420" s="26" t="str" cm="1">
        <f t="array" ref="E420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,{"label":"SSO","group":"","id":"n36B26A4D_4DE5_4EE8_8425_C5A7DB251D84","url":""}</v>
      </c>
    </row>
    <row r="421" spans="1:5" ht="13.9" thickTop="1" thickBot="1" x14ac:dyDescent="0.4">
      <c r="A421" s="3" t="str">
        <f>NodesData[[#This Row],[Common Name]]</f>
        <v>SSO</v>
      </c>
      <c r="B421" s="3" t="str">
        <f>IF(NodesData[[#This Row],[Group]]="","",NodesData[[#This Row],[Group]])</f>
        <v/>
      </c>
      <c r="C421" s="23" t="str">
        <f>NodesData[[#This Row],[Node ID]]</f>
        <v>n5453D8E7_0829_46D3_846B_6D89F4AE4CFF</v>
      </c>
      <c r="D421" s="10" t="s">
        <v>1181</v>
      </c>
      <c r="E421" s="26" t="str" cm="1">
        <f t="array" ref="E421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Stability of Access Decision Factors</v>
      </c>
      <c r="B422" s="3" t="str">
        <f>IF(NodesData[[#This Row],[Group]]="","",NodesData[[#This Row],[Group]])</f>
        <v/>
      </c>
      <c r="C422" s="23" t="str">
        <f>NodesData[[#This Row],[Node ID]]</f>
        <v>n0219DCF8_A0BC_4743_BBAA_4F0ADEC98D8A</v>
      </c>
      <c r="D422" s="10" t="s">
        <v>1182</v>
      </c>
      <c r="E422" s="26" t="str" cm="1">
        <f t="array" ref="E422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Stakeholder</v>
      </c>
      <c r="B423" s="3" t="str">
        <f>IF(NodesData[[#This Row],[Group]]="","",NodesData[[#This Row],[Group]])</f>
        <v/>
      </c>
      <c r="C423" s="23" t="str">
        <f>NodesData[[#This Row],[Node ID]]</f>
        <v>n545A7A4F_E40A_4229_9889_14B9524363FA</v>
      </c>
      <c r="D423" s="10" t="s">
        <v>1183</v>
      </c>
      <c r="E423" s="26" t="str" cm="1">
        <f t="array" ref="E423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Step-Up Authentication</v>
      </c>
      <c r="B424" s="3" t="str">
        <f>IF(NodesData[[#This Row],[Group]]="","",NodesData[[#This Row],[Group]])</f>
        <v/>
      </c>
      <c r="C424" s="23" t="str">
        <f>NodesData[[#This Row],[Node ID]]</f>
        <v>n57ECA222_A996_4EAF_82B4_F90085182E5A</v>
      </c>
      <c r="D424" s="10" t="s">
        <v>1185</v>
      </c>
      <c r="E424" s="26" t="str" cm="1">
        <f t="array" ref="E424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Stolen Account</v>
      </c>
      <c r="B425" s="3" t="str">
        <f>IF(NodesData[[#This Row],[Group]]="","",NodesData[[#This Row],[Group]])</f>
        <v/>
      </c>
      <c r="C425" s="23" t="str">
        <f>NodesData[[#This Row],[Node ID]]</f>
        <v>nF28EF766_A810_4024_A03F_F62A899E2EE6</v>
      </c>
      <c r="D425" s="10" t="s">
        <v>1187</v>
      </c>
      <c r="E425" s="26" t="str" cm="1">
        <f t="array" ref="E425">IF(ROW(NodesJSON[[#This Row],[label]])&gt;ROW(NodesJSON[[#Headers],[JSON]])+1,",","") &amp;"{"&amp;twoRangesToJSON(NodesJSON[[#Headers],[label]:[url]],NodesJSON[[#This Row],[label]:[url]])&amp;"}"</f>
        <v>,{"label":"Stolen Account","group":"","id":"nF28EF766_A810_4024_A03F_F62A899E2EE6","url":"https://open-measure.atlassian.net/wiki/spaces/DIC/pages/1181876587"}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Strategic Performance Measurement System</v>
      </c>
      <c r="B426" s="3" t="str">
        <f>IF(NodesData[[#This Row],[Group]]="","",NodesData[[#This Row],[Group]])</f>
        <v/>
      </c>
      <c r="C426" s="23" t="str">
        <f>NodesData[[#This Row],[Node ID]]</f>
        <v>nD412B947_EA40_439A_B717_8C39D2BC4CB9</v>
      </c>
      <c r="D426" s="10" t="s">
        <v>1188</v>
      </c>
      <c r="E426" s="26" t="str" cm="1">
        <f t="array" ref="E426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Strict Discretionary Access Control</v>
      </c>
      <c r="B427" s="3" t="str">
        <f>IF(NodesData[[#This Row],[Group]]="","",NodesData[[#This Row],[Group]])</f>
        <v/>
      </c>
      <c r="C427" s="23" t="str">
        <f>NodesData[[#This Row],[Node ID]]</f>
        <v>n1678B11E_DE4E_4E9D_959E_B70C80A07265</v>
      </c>
      <c r="D427" s="10" t="s">
        <v>1190</v>
      </c>
      <c r="E427" s="26" t="str" cm="1">
        <f t="array" ref="E427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Strong Authentication</v>
      </c>
      <c r="B428" s="3" t="str">
        <f>IF(NodesData[[#This Row],[Group]]="","",NodesData[[#This Row],[Group]])</f>
        <v/>
      </c>
      <c r="C428" s="23" t="str">
        <f>NodesData[[#This Row],[Node ID]]</f>
        <v>n7A087586_32C2_44CA_B3C5_9B643CFB3E63</v>
      </c>
      <c r="D428" s="10" t="s">
        <v>1192</v>
      </c>
      <c r="E428" s="26" t="str" cm="1">
        <f t="array" ref="E428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Strong Tranquility Property</v>
      </c>
      <c r="B429" s="3" t="str">
        <f>IF(NodesData[[#This Row],[Group]]="","",NodesData[[#This Row],[Group]])</f>
        <v/>
      </c>
      <c r="C429" s="23" t="str">
        <f>NodesData[[#This Row],[Node ID]]</f>
        <v>n54565563_BC74_470C_A56B_A1B9C7F1324E</v>
      </c>
      <c r="D429" s="10" t="s">
        <v>1194</v>
      </c>
      <c r="E429" s="26" t="str" cm="1">
        <f t="array" ref="E429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Subject</v>
      </c>
      <c r="B430" s="3" t="str">
        <f>IF(NodesData[[#This Row],[Group]]="","",NodesData[[#This Row],[Group]])</f>
        <v/>
      </c>
      <c r="C430" s="23" t="str">
        <f>NodesData[[#This Row],[Node ID]]</f>
        <v>nB7ADCBF6_0721_463C_82E5_DBB277A6AEE9</v>
      </c>
      <c r="D430" s="10" t="s">
        <v>1196</v>
      </c>
      <c r="E430" s="26" t="str" cm="1">
        <f t="array" ref="E430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Subjective Indicator</v>
      </c>
      <c r="B431" s="3" t="str">
        <f>IF(NodesData[[#This Row],[Group]]="","",NodesData[[#This Row],[Group]])</f>
        <v/>
      </c>
      <c r="C431" s="23" t="str">
        <f>NodesData[[#This Row],[Node ID]]</f>
        <v>nE6B7AC16_FE87_47A2_899A_64FC08C8DD98</v>
      </c>
      <c r="D431" s="10" t="s">
        <v>1197</v>
      </c>
      <c r="E431" s="26" t="str" cm="1">
        <f t="array" ref="E431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Supply Chain Attack</v>
      </c>
      <c r="B432" s="3" t="str">
        <f>IF(NodesData[[#This Row],[Group]]="","",NodesData[[#This Row],[Group]])</f>
        <v/>
      </c>
      <c r="C432" s="23" t="str">
        <f>NodesData[[#This Row],[Node ID]]</f>
        <v>n3A185D2E_8467_4AA3_9CDB_FB22389BF715</v>
      </c>
      <c r="D432" s="10" t="s">
        <v>1199</v>
      </c>
      <c r="E432" s="26" t="str" cm="1">
        <f t="array" ref="E432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Sybil Attack</v>
      </c>
      <c r="B433" s="3" t="str">
        <f>IF(NodesData[[#This Row],[Group]]="","",NodesData[[#This Row],[Group]])</f>
        <v/>
      </c>
      <c r="C433" s="23" t="str">
        <f>NodesData[[#This Row],[Node ID]]</f>
        <v>n0FECC4A6_A665_444E_BE48_8AA390BB1974</v>
      </c>
      <c r="D433" s="10" t="s">
        <v>1200</v>
      </c>
      <c r="E433" s="26" t="str" cm="1">
        <f t="array" ref="E433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Synthetic Identity Fraud</v>
      </c>
      <c r="B434" s="3" t="str">
        <f>IF(NodesData[[#This Row],[Group]]="","",NodesData[[#This Row],[Group]])</f>
        <v/>
      </c>
      <c r="C434" s="23" t="str">
        <f>NodesData[[#This Row],[Node ID]]</f>
        <v>nD9FD15A1_6465_481B_B71D_ADCD17B9954F</v>
      </c>
      <c r="D434" s="4"/>
      <c r="E434" s="26" t="str" cm="1">
        <f t="array" ref="E434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Fraud","group":"","id":"nD9FD15A1_6465_481B_B71D_ADCD17B9954F","url":""}</v>
      </c>
    </row>
    <row r="435" spans="1:5" ht="13.9" thickTop="1" thickBot="1" x14ac:dyDescent="0.4">
      <c r="A435" s="3" t="str">
        <f>NodesData[[#This Row],[Common Name]]</f>
        <v>System</v>
      </c>
      <c r="B435" s="3" t="str">
        <f>IF(NodesData[[#This Row],[Group]]="","",NodesData[[#This Row],[Group]])</f>
        <v/>
      </c>
      <c r="C435" s="23" t="str">
        <f>NodesData[[#This Row],[Node ID]]</f>
        <v>nFC4AFBE3_7D71_456A_AFC1_16F1F34558F5</v>
      </c>
      <c r="D435" s="10" t="s">
        <v>1202</v>
      </c>
      <c r="E435" s="26" t="str" cm="1">
        <f t="array" ref="E435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System Boundaries</v>
      </c>
      <c r="B436" s="3" t="str">
        <f>IF(NodesData[[#This Row],[Group]]="","",NodesData[[#This Row],[Group]])</f>
        <v/>
      </c>
      <c r="C436" s="23" t="str">
        <f>NodesData[[#This Row],[Node ID]]</f>
        <v>n31C5E305_499C_46E4_98C8_6261960997B6</v>
      </c>
      <c r="D436" s="10" t="s">
        <v>1203</v>
      </c>
      <c r="E436" s="26" t="str" cm="1">
        <f t="array" ref="E436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System for Cross-domain Identity Management</v>
      </c>
      <c r="B437" s="3" t="str">
        <f>IF(NodesData[[#This Row],[Group]]="","",NodesData[[#This Row],[Group]])</f>
        <v/>
      </c>
      <c r="C437" s="23" t="str">
        <f>NodesData[[#This Row],[Node ID]]</f>
        <v>nFA34207B_F87E_487A_A8A3_4664359FB1CD</v>
      </c>
      <c r="D437" s="10" t="s">
        <v>1204</v>
      </c>
      <c r="E437" s="26" t="str" cm="1">
        <f t="array" ref="E437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 Owner</v>
      </c>
      <c r="B438" s="3" t="str">
        <f>IF(NodesData[[#This Row],[Group]]="","",NodesData[[#This Row],[Group]])</f>
        <v/>
      </c>
      <c r="C438" s="23" t="str">
        <f>NodesData[[#This Row],[Node ID]]</f>
        <v>nC9A420A4_4B49_4499_BCB2_7C9AD66395E7</v>
      </c>
      <c r="D438" s="10" t="s">
        <v>1205</v>
      </c>
      <c r="E438" s="26" t="str" cm="1">
        <f t="array" ref="E438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System Z</v>
      </c>
      <c r="B439" s="3" t="str">
        <f>IF(NodesData[[#This Row],[Group]]="","",NodesData[[#This Row],[Group]])</f>
        <v/>
      </c>
      <c r="C439" s="23" t="str">
        <f>NodesData[[#This Row],[Node ID]]</f>
        <v>n6935A8E7_1B1E_43B2_B342_5B9C31895DD1</v>
      </c>
      <c r="D439" s="10" t="s">
        <v>1211</v>
      </c>
      <c r="E439" s="26" t="str" cm="1">
        <f t="array" ref="E439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TAN List OTP</v>
      </c>
      <c r="B440" s="3" t="str">
        <f>IF(NodesData[[#This Row],[Group]]="","",NodesData[[#This Row],[Group]])</f>
        <v/>
      </c>
      <c r="C440" s="23" t="str">
        <f>NodesData[[#This Row],[Node ID]]</f>
        <v>nACEE5BE1_AEF4_45DF_A913_1C3530C50C54</v>
      </c>
      <c r="D440" s="10" t="s">
        <v>1206</v>
      </c>
      <c r="E440" s="26" t="str" cm="1">
        <f t="array" ref="E440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Task-Based Access Control</v>
      </c>
      <c r="B441" s="3" t="str">
        <f>IF(NodesData[[#This Row],[Group]]="","",NodesData[[#This Row],[Group]])</f>
        <v/>
      </c>
      <c r="C441" s="23" t="str">
        <f>NodesData[[#This Row],[Node ID]]</f>
        <v>n351C03A9_7E95_4292_8F00_0D294823C744</v>
      </c>
      <c r="D441" s="10" t="s">
        <v>1208</v>
      </c>
      <c r="E441" s="26" t="str" cm="1">
        <f t="array" ref="E441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Text Password Authentication</v>
      </c>
      <c r="B442" s="3" t="str">
        <f>IF(NodesData[[#This Row],[Group]]="","",NodesData[[#This Row],[Group]])</f>
        <v/>
      </c>
      <c r="C442" s="23" t="str">
        <f>NodesData[[#This Row],[Node ID]]</f>
        <v>nB34CDBC0_988E_401A_93CC_C6103DC30B68</v>
      </c>
      <c r="D442" s="10" t="s">
        <v>1209</v>
      </c>
      <c r="E442" s="26" t="str" cm="1">
        <f t="array" ref="E442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Threat Agent</v>
      </c>
      <c r="B443" s="3" t="str">
        <f>IF(NodesData[[#This Row],[Group]]="","",NodesData[[#This Row],[Group]])</f>
        <v/>
      </c>
      <c r="C443" s="23" t="str">
        <f>NodesData[[#This Row],[Node ID]]</f>
        <v>n385B2A02_580E_49B6_8C97_A00DC541C516</v>
      </c>
      <c r="D443" s="10" t="s">
        <v>1210</v>
      </c>
      <c r="E443" s="26" t="str" cm="1">
        <f t="array" ref="E443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Time Factor</v>
      </c>
      <c r="B444" s="3" t="str">
        <f>IF(NodesData[[#This Row],[Group]]="","",NodesData[[#This Row],[Group]])</f>
        <v/>
      </c>
      <c r="C444" s="23" t="str">
        <f>NodesData[[#This Row],[Node ID]]</f>
        <v>nF44C30A8_A797_4F0C_9C18_D87E7D5A8B88</v>
      </c>
      <c r="D444" s="10" t="s">
        <v>1212</v>
      </c>
      <c r="E444" s="26" t="str" cm="1">
        <f t="array" ref="E444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Token-Based Authentication</v>
      </c>
      <c r="B445" s="3" t="str">
        <f>IF(NodesData[[#This Row],[Group]]="","",NodesData[[#This Row],[Group]])</f>
        <v/>
      </c>
      <c r="C445" s="23" t="str">
        <f>NodesData[[#This Row],[Node ID]]</f>
        <v>n1A55C21B_DE0A_4FE1_A1DF_11745E5BD4FF</v>
      </c>
      <c r="D445" s="10" t="s">
        <v>1213</v>
      </c>
      <c r="E445" s="26" t="str" cm="1">
        <f t="array" ref="E445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Touchstroke Recognition Authentication</v>
      </c>
      <c r="B446" s="3" t="str">
        <f>IF(NodesData[[#This Row],[Group]]="","",NodesData[[#This Row],[Group]])</f>
        <v/>
      </c>
      <c r="C446" s="23" t="str">
        <f>NodesData[[#This Row],[Node ID]]</f>
        <v>n2F27DDAD_459D_4B06_9152_168BDF5063F5</v>
      </c>
      <c r="D446" s="10" t="s">
        <v>1214</v>
      </c>
      <c r="E446" s="26" t="str" cm="1">
        <f t="array" ref="E446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Toxic Combinations</v>
      </c>
      <c r="B447" s="3" t="str">
        <f>IF(NodesData[[#This Row],[Group]]="","",NodesData[[#This Row],[Group]])</f>
        <v/>
      </c>
      <c r="C447" s="23" t="str">
        <f>NodesData[[#This Row],[Node ID]]</f>
        <v>n88E112AD_03BC_452F_B011_4262CD8C0BF3</v>
      </c>
      <c r="D447" s="10" t="s">
        <v>1216</v>
      </c>
      <c r="E447" s="26" t="str" cm="1">
        <f t="array" ref="E447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Toxic Right Rule (Definition)</v>
      </c>
      <c r="B448" s="3" t="str">
        <f>IF(NodesData[[#This Row],[Group]]="","",NodesData[[#This Row],[Group]])</f>
        <v/>
      </c>
      <c r="C448" s="23" t="str">
        <f>NodesData[[#This Row],[Node ID]]</f>
        <v>n0A784E7B_0620_41F8_886C_EE73E3D5B725</v>
      </c>
      <c r="D448" s="10" t="s">
        <v>1218</v>
      </c>
      <c r="E448" s="26" t="str" cm="1">
        <f t="array" ref="E448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Tranquil</v>
      </c>
      <c r="B449" s="3" t="str">
        <f>IF(NodesData[[#This Row],[Group]]="","",NodesData[[#This Row],[Group]])</f>
        <v/>
      </c>
      <c r="C449" s="23" t="str">
        <f>NodesData[[#This Row],[Node ID]]</f>
        <v>nEA19C95D_BE71_4511_BD9B_2BAB20932E47</v>
      </c>
      <c r="D449" s="10" t="s">
        <v>1220</v>
      </c>
      <c r="E449" s="26" t="str" cm="1">
        <f t="array" ref="E449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Tranquility Principle</v>
      </c>
      <c r="B450" s="3" t="str">
        <f>IF(NodesData[[#This Row],[Group]]="","",NodesData[[#This Row],[Group]])</f>
        <v/>
      </c>
      <c r="C450" s="23" t="str">
        <f>NodesData[[#This Row],[Node ID]]</f>
        <v>nF8EFEF04_B182_49B6_873F_E26615F57EC1</v>
      </c>
      <c r="D450" s="8"/>
      <c r="E450" s="26" t="str" cm="1">
        <f t="array" ref="E450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Principle","group":"","id":"nF8EFEF04_B182_49B6_873F_E26615F57EC1","url":""}</v>
      </c>
    </row>
    <row r="451" spans="1:5" ht="13.9" thickTop="1" thickBot="1" x14ac:dyDescent="0.4">
      <c r="A451" s="3" t="str">
        <f>NodesData[[#This Row],[Common Name]]</f>
        <v>Tranquility Property</v>
      </c>
      <c r="B451" s="3" t="str">
        <f>IF(NodesData[[#This Row],[Group]]="","",NodesData[[#This Row],[Group]])</f>
        <v/>
      </c>
      <c r="C451" s="23" t="str">
        <f>NodesData[[#This Row],[Node ID]]</f>
        <v>nC855E8C7_E00C_40A0_87CC_0A3D02D20B4E</v>
      </c>
      <c r="D451" s="10" t="s">
        <v>1201</v>
      </c>
      <c r="E451" s="26" t="str" cm="1">
        <f t="array" ref="E451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Trust</v>
      </c>
      <c r="B452" s="3" t="str">
        <f>IF(NodesData[[#This Row],[Group]]="","",NodesData[[#This Row],[Group]])</f>
        <v/>
      </c>
      <c r="C452" s="23" t="str">
        <f>NodesData[[#This Row],[Node ID]]</f>
        <v>nB2793506_A460_4407_B469_4566BAD26901</v>
      </c>
      <c r="D452" s="10" t="s">
        <v>1222</v>
      </c>
      <c r="E452" s="26" t="str" cm="1">
        <f t="array" ref="E452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Trust Asymmetry</v>
      </c>
      <c r="B453" s="3" t="str">
        <f>IF(NodesData[[#This Row],[Group]]="","",NodesData[[#This Row],[Group]])</f>
        <v/>
      </c>
      <c r="C453" s="23" t="str">
        <f>NodesData[[#This Row],[Node ID]]</f>
        <v>nC47D35F2_7A1A_41A1_8195_7670F9EF176A</v>
      </c>
      <c r="D453" s="4"/>
      <c r="E453" s="26" t="str" cm="1">
        <f t="array" ref="E453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Asymmetry","group":"","id":"nC47D35F2_7A1A_41A1_8195_7670F9EF176A","url":""}</v>
      </c>
    </row>
    <row r="454" spans="1:5" ht="13.9" thickTop="1" thickBot="1" x14ac:dyDescent="0.4">
      <c r="A454" s="3" t="str">
        <f>NodesData[[#This Row],[Common Name]]</f>
        <v>Trust Composability</v>
      </c>
      <c r="B454" s="3" t="str">
        <f>IF(NodesData[[#This Row],[Group]]="","",NodesData[[#This Row],[Group]])</f>
        <v/>
      </c>
      <c r="C454" s="23" t="str">
        <f>NodesData[[#This Row],[Node ID]]</f>
        <v>n8641763B_1732_427E_AF37_EF5DD6632158</v>
      </c>
      <c r="D454" s="10" t="s">
        <v>1226</v>
      </c>
      <c r="E454" s="26" t="str" cm="1">
        <f t="array" ref="E454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 Personalization</v>
      </c>
      <c r="B455" s="3" t="str">
        <f>IF(NodesData[[#This Row],[Group]]="","",NodesData[[#This Row],[Group]])</f>
        <v/>
      </c>
      <c r="C455" s="23" t="str">
        <f>NodesData[[#This Row],[Node ID]]</f>
        <v>n18083FD1_D5F0_4E0D_A480_197792E123C8</v>
      </c>
      <c r="D455" s="10" t="s">
        <v>1228</v>
      </c>
      <c r="E455" s="26" t="str" cm="1">
        <f t="array" ref="E455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Trust Transitivity</v>
      </c>
      <c r="B456" s="3" t="str">
        <f>IF(NodesData[[#This Row],[Group]]="","",NodesData[[#This Row],[Group]])</f>
        <v/>
      </c>
      <c r="C456" s="23" t="str">
        <f>NodesData[[#This Row],[Node ID]]</f>
        <v>nCD00A5EF_798C_4F7D_9B92_119FBE900ECA</v>
      </c>
      <c r="D456" s="10" t="s">
        <v>1230</v>
      </c>
      <c r="E456" s="26" t="str" cm="1">
        <f t="array" ref="E456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Typing Biometrics</v>
      </c>
      <c r="B457" s="3" t="str">
        <f>IF(NodesData[[#This Row],[Group]]="","",NodesData[[#This Row],[Group]])</f>
        <v/>
      </c>
      <c r="C457" s="23" t="str">
        <f>NodesData[[#This Row],[Node ID]]</f>
        <v>n09F029F1_A06C_4F7F_8CAF_95CAC4F6F97C</v>
      </c>
      <c r="D457" s="10" t="s">
        <v>1232</v>
      </c>
      <c r="E457" s="26" t="str" cm="1">
        <f t="array" ref="E457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Typology</v>
      </c>
      <c r="B458" s="3" t="str">
        <f>IF(NodesData[[#This Row],[Group]]="","",NodesData[[#This Row],[Group]])</f>
        <v/>
      </c>
      <c r="C458" s="23" t="str">
        <f>NodesData[[#This Row],[Node ID]]</f>
        <v>n2E25798C_AEE6_442B_83C3_21A39D1F4E2E</v>
      </c>
      <c r="D458" s="10" t="s">
        <v>1234</v>
      </c>
      <c r="E458" s="26" t="str" cm="1">
        <f t="array" ref="E458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Unanticipated User</v>
      </c>
      <c r="B459" s="3" t="str">
        <f>IF(NodesData[[#This Row],[Group]]="","",NodesData[[#This Row],[Group]])</f>
        <v/>
      </c>
      <c r="C459" s="23" t="str">
        <f>NodesData[[#This Row],[Node ID]]</f>
        <v>n049772BC_8F65_4681_926F_AB741F518CEF</v>
      </c>
      <c r="D459" s="10" t="s">
        <v>1236</v>
      </c>
      <c r="E459" s="26" t="str" cm="1">
        <f t="array" ref="E459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Unauthorized Access</v>
      </c>
      <c r="B460" s="3" t="str">
        <f>IF(NodesData[[#This Row],[Group]]="","",NodesData[[#This Row],[Group]])</f>
        <v/>
      </c>
      <c r="C460" s="23" t="str">
        <f>NodesData[[#This Row],[Node ID]]</f>
        <v>n79D52FB7_6D56_40B0_A404_F332AF6DE5A6</v>
      </c>
      <c r="D460" s="10" t="s">
        <v>1238</v>
      </c>
      <c r="E460" s="26" t="str" cm="1">
        <f t="array" ref="E460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Unique ID Number</v>
      </c>
      <c r="B461" s="3" t="str">
        <f>IF(NodesData[[#This Row],[Group]]="","",NodesData[[#This Row],[Group]])</f>
        <v/>
      </c>
      <c r="C461" s="23" t="str">
        <f>NodesData[[#This Row],[Node ID]]</f>
        <v>nEE2DD2E7_A2A2_44AC_9F06_D2358264FA2D</v>
      </c>
      <c r="D461" s="10" t="s">
        <v>1240</v>
      </c>
      <c r="E461" s="26" t="str" cm="1">
        <f t="array" ref="E461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Unprivileged Insider</v>
      </c>
      <c r="B462" s="3" t="str">
        <f>IF(NodesData[[#This Row],[Group]]="","",NodesData[[#This Row],[Group]])</f>
        <v/>
      </c>
      <c r="C462" s="23" t="str">
        <f>NodesData[[#This Row],[Node ID]]</f>
        <v>n3D40EC0D_C7CE_4C19_B8E2_09518A62B569</v>
      </c>
      <c r="D462" s="10" t="s">
        <v>1242</v>
      </c>
      <c r="E462" s="26" t="str" cm="1">
        <f t="array" ref="E462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User</v>
      </c>
      <c r="B463" s="3" t="str">
        <f>IF(NodesData[[#This Row],[Group]]="","",NodesData[[#This Row],[Group]])</f>
        <v/>
      </c>
      <c r="C463" s="23" t="str">
        <f>NodesData[[#This Row],[Node ID]]</f>
        <v>nA5E34595_12DD_4352_8631_FB7FFCBB533D</v>
      </c>
      <c r="D463" s="10" t="s">
        <v>1244</v>
      </c>
      <c r="E463" s="26" t="str" cm="1">
        <f t="array" ref="E463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User Account</v>
      </c>
      <c r="B464" s="3" t="str">
        <f>IF(NodesData[[#This Row],[Group]]="","",NodesData[[#This Row],[Group]])</f>
        <v/>
      </c>
      <c r="C464" s="23" t="str">
        <f>NodesData[[#This Row],[Node ID]]</f>
        <v>n6B5455A2_414F_4D8D_A36C_895CC996359A</v>
      </c>
      <c r="D464" s="10" t="s">
        <v>1246</v>
      </c>
      <c r="E464" s="26" t="str" cm="1">
        <f t="array" ref="E464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User De-Provisioning</v>
      </c>
      <c r="B465" s="3" t="str">
        <f>IF(NodesData[[#This Row],[Group]]="","",NodesData[[#This Row],[Group]])</f>
        <v/>
      </c>
      <c r="C465" s="23" t="str">
        <f>NodesData[[#This Row],[Node ID]]</f>
        <v>n5BB42061_7CD1_4689_84B8_77016A34CE94</v>
      </c>
      <c r="D465" s="10" t="s">
        <v>1248</v>
      </c>
      <c r="E465" s="26" t="str" cm="1">
        <f t="array" ref="E465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 Entitlement Reviews</v>
      </c>
      <c r="B466" s="3" t="str">
        <f>IF(NodesData[[#This Row],[Group]]="","",NodesData[[#This Row],[Group]])</f>
        <v/>
      </c>
      <c r="C466" s="23" t="str">
        <f>NodesData[[#This Row],[Node ID]]</f>
        <v>n50576DCB_DC90_4189_AEDA_22168AAD0DC2</v>
      </c>
      <c r="D466" s="10" t="s">
        <v>1250</v>
      </c>
      <c r="E466" s="26" t="str" cm="1">
        <f t="array" ref="E466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ID</v>
      </c>
      <c r="B467" s="3" t="str">
        <f>IF(NodesData[[#This Row],[Group]]="","",NodesData[[#This Row],[Group]])</f>
        <v/>
      </c>
      <c r="C467" s="23" t="str">
        <f>NodesData[[#This Row],[Node ID]]</f>
        <v>n1148493D_DE5A_4FAF_941A_234122DBF560</v>
      </c>
      <c r="D467" s="10" t="s">
        <v>1252</v>
      </c>
      <c r="E467" s="26" t="str" cm="1">
        <f t="array" ref="E467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 Provisioning</v>
      </c>
      <c r="B468" s="3" t="str">
        <f>IF(NodesData[[#This Row],[Group]]="","",NodesData[[#This Row],[Group]])</f>
        <v/>
      </c>
      <c r="C468" s="23" t="str">
        <f>NodesData[[#This Row],[Node ID]]</f>
        <v>n67A7DB08_4CCF_4966_AEF4_89B2AC2A297A</v>
      </c>
      <c r="D468" s="10" t="s">
        <v>1254</v>
      </c>
      <c r="E468" s="26" t="str" cm="1">
        <f t="array" ref="E468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User-Centric Identity Management System</v>
      </c>
      <c r="B469" s="3" t="str">
        <f>IF(NodesData[[#This Row],[Group]]="","",NodesData[[#This Row],[Group]])</f>
        <v/>
      </c>
      <c r="C469" s="23" t="str">
        <f>NodesData[[#This Row],[Node ID]]</f>
        <v>nC19BDC8E_5AE1_49EE_B831_B43B924ECC1B</v>
      </c>
      <c r="D469" s="10" t="s">
        <v>1256</v>
      </c>
      <c r="E469" s="26" t="str" cm="1">
        <f t="array" ref="E469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Username</v>
      </c>
      <c r="B470" s="3" t="str">
        <f>IF(NodesData[[#This Row],[Group]]="","",NodesData[[#This Row],[Group]])</f>
        <v/>
      </c>
      <c r="C470" s="23" t="str">
        <f>NodesData[[#This Row],[Node ID]]</f>
        <v>nF75517D5_69C2_4310_B3EF_77311A1A8188</v>
      </c>
      <c r="D470" s="10" t="s">
        <v>1258</v>
      </c>
      <c r="E470" s="26" t="str" cm="1">
        <f t="array" ref="E470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Verifiable Claim</v>
      </c>
      <c r="B471" s="3" t="str">
        <f>IF(NodesData[[#This Row],[Group]]="","",NodesData[[#This Row],[Group]])</f>
        <v/>
      </c>
      <c r="C471" s="23" t="str">
        <f>NodesData[[#This Row],[Node ID]]</f>
        <v>nBAB37068_1EF4_414F_B40B_EB8997E19974</v>
      </c>
      <c r="D471" s="10" t="s">
        <v>1260</v>
      </c>
      <c r="E471" s="26" t="str" cm="1">
        <f t="array" ref="E471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Verification</v>
      </c>
      <c r="B472" s="3" t="str">
        <f>IF(NodesData[[#This Row],[Group]]="","",NodesData[[#This Row],[Group]])</f>
        <v/>
      </c>
      <c r="C472" s="23" t="str">
        <f>NodesData[[#This Row],[Node ID]]</f>
        <v>nB3A3E0DE_D501_4C64_92EE_6EED35F0E8F7</v>
      </c>
      <c r="D472" s="10" t="s">
        <v>1261</v>
      </c>
      <c r="E472" s="26" t="str" cm="1">
        <f t="array" ref="E472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Virtual Directory</v>
      </c>
      <c r="B473" s="3" t="str">
        <f>IF(NodesData[[#This Row],[Group]]="","",NodesData[[#This Row],[Group]])</f>
        <v/>
      </c>
      <c r="C473" s="23" t="str">
        <f>NodesData[[#This Row],[Node ID]]</f>
        <v>n1AA5AE61_B346_43B1_87DF_35A927EA0AED</v>
      </c>
      <c r="D473" s="10" t="s">
        <v>1262</v>
      </c>
      <c r="E473" s="26" t="str" cm="1">
        <f t="array" ref="E473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Virtual Private Network</v>
      </c>
      <c r="B474" s="3" t="str">
        <f>IF(NodesData[[#This Row],[Group]]="","",NodesData[[#This Row],[Group]])</f>
        <v/>
      </c>
      <c r="C474" s="23" t="str">
        <f>NodesData[[#This Row],[Node ID]]</f>
        <v>nF173E0D3_8348_4DCB_B1D7_16C85C1013B0</v>
      </c>
      <c r="D474" s="10" t="s">
        <v>1263</v>
      </c>
      <c r="E474" s="26" t="str" cm="1">
        <f t="array" ref="E474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Virtual Risk and Security Site Review</v>
      </c>
      <c r="B475" s="3" t="str">
        <f>IF(NodesData[[#This Row],[Group]]="","",NodesData[[#This Row],[Group]])</f>
        <v/>
      </c>
      <c r="C475" s="23" t="str">
        <f>NodesData[[#This Row],[Node ID]]</f>
        <v>n5EF5EB18_F868_43E0_BC5D_FB928B82CC59</v>
      </c>
      <c r="D475" s="10" t="s">
        <v>1224</v>
      </c>
      <c r="E475" s="26" t="str" cm="1">
        <f t="array" ref="E475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Voice OTP</v>
      </c>
      <c r="B476" s="8" t="str">
        <f>IF(NodesData[[#This Row],[Group]]="","",NodesData[[#This Row],[Group]])</f>
        <v/>
      </c>
      <c r="C476" s="28" t="str">
        <f>NodesData[[#This Row],[Node ID]]</f>
        <v>nC0D8C0B5_1A70_4CB1_9F83_D00B0375C928</v>
      </c>
      <c r="D476" s="8"/>
      <c r="E476" s="26" t="str" cm="1">
        <f t="array" ref="E476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OTP","group":"","id":"nC0D8C0B5_1A70_4CB1_9F83_D00B0375C928","url":""}</v>
      </c>
      <c r="F476" s="27"/>
    </row>
    <row r="477" spans="1:6" ht="13.9" thickTop="1" thickBot="1" x14ac:dyDescent="0.4">
      <c r="A477" s="8" t="str">
        <f>NodesData[[#This Row],[Common Name]]</f>
        <v>Voice Recognition Authentication</v>
      </c>
      <c r="B477" s="8" t="str">
        <f>IF(NodesData[[#This Row],[Group]]="","",NodesData[[#This Row],[Group]])</f>
        <v/>
      </c>
      <c r="C477" s="28" t="str">
        <f>NodesData[[#This Row],[Node ID]]</f>
        <v>nC196E133_4263_4398_B44A_B3053AC5D0E8</v>
      </c>
      <c r="D477" s="8"/>
      <c r="E477" s="26" t="str" cm="1">
        <f t="array" ref="E477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77" s="27"/>
    </row>
    <row r="478" spans="1:6" ht="13.9" thickTop="1" thickBot="1" x14ac:dyDescent="0.4">
      <c r="A478" s="8" t="str">
        <f>NodesData[[#This Row],[Common Name]]</f>
        <v>VPN</v>
      </c>
      <c r="B478" s="8" t="str">
        <f>IF(NodesData[[#This Row],[Group]]="","",NodesData[[#This Row],[Group]])</f>
        <v/>
      </c>
      <c r="C478" s="28" t="str">
        <f>NodesData[[#This Row],[Node ID]]</f>
        <v>n792AF52F_202C_4B84_9837_C86A7BE5C6D4</v>
      </c>
      <c r="D478" s="8"/>
      <c r="E478" s="26" t="str" cm="1">
        <f t="array" ref="E478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78" s="27"/>
    </row>
    <row r="479" spans="1:6" ht="13.9" thickTop="1" thickBot="1" x14ac:dyDescent="0.4">
      <c r="A479" s="8" t="str">
        <f>NodesData[[#This Row],[Common Name]]</f>
        <v>Weak Authentication</v>
      </c>
      <c r="B479" s="8" t="str">
        <f>IF(NodesData[[#This Row],[Group]]="","",NodesData[[#This Row],[Group]])</f>
        <v/>
      </c>
      <c r="C479" s="28" t="str">
        <f>NodesData[[#This Row],[Node ID]]</f>
        <v>n20C6E76A_E99F_4AC3_B579_997897697AA6</v>
      </c>
      <c r="D479" s="8"/>
      <c r="E479" s="26" t="str" cm="1">
        <f t="array" ref="E479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79" s="27"/>
    </row>
    <row r="480" spans="1:6" ht="13.9" thickTop="1" thickBot="1" x14ac:dyDescent="0.4">
      <c r="A480" s="8" t="str">
        <f>NodesData[[#This Row],[Common Name]]</f>
        <v>Weak Tranquility Property</v>
      </c>
      <c r="B480" s="8" t="str">
        <f>IF(NodesData[[#This Row],[Group]]="","",NodesData[[#This Row],[Group]])</f>
        <v/>
      </c>
      <c r="C480" s="28" t="str">
        <f>NodesData[[#This Row],[Node ID]]</f>
        <v>nE5CAB332_46E5_4872_9347_07D71C60B1DD</v>
      </c>
      <c r="D480" s="8"/>
      <c r="E480" s="26" t="str" cm="1">
        <f t="array" ref="E480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80" s="27"/>
    </row>
    <row r="481" spans="1:6" ht="13.9" thickTop="1" thickBot="1" x14ac:dyDescent="0.4">
      <c r="A481" s="8" t="str">
        <f>NodesData[[#This Row],[Common Name]]</f>
        <v>Web-based Single Sign-On</v>
      </c>
      <c r="B481" s="8" t="str">
        <f>IF(NodesData[[#This Row],[Group]]="","",NodesData[[#This Row],[Group]])</f>
        <v/>
      </c>
      <c r="C481" s="28" t="str">
        <f>NodesData[[#This Row],[Node ID]]</f>
        <v>nA714C34F_E109_4195_A309_62764B001097</v>
      </c>
      <c r="D481" s="8"/>
      <c r="E481" s="26" t="str" cm="1">
        <f t="array" ref="E481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1" s="27"/>
    </row>
    <row r="482" spans="1:6" ht="13.9" thickTop="1" thickBot="1" x14ac:dyDescent="0.4">
      <c r="A482" s="8" t="str">
        <f>NodesData[[#This Row],[Common Name]]</f>
        <v>Windows (Non-Default) Local User Account</v>
      </c>
      <c r="B482" s="8" t="str">
        <f>IF(NodesData[[#This Row],[Group]]="","",NodesData[[#This Row],[Group]])</f>
        <v/>
      </c>
      <c r="C482" s="28" t="str">
        <f>NodesData[[#This Row],[Node ID]]</f>
        <v>nAF6BA4B5_C4EC_4B28_8369_799EADD91BB8</v>
      </c>
      <c r="D482" s="8"/>
      <c r="E482" s="26" t="str" cm="1">
        <f t="array" ref="E482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2" s="27"/>
    </row>
    <row r="483" spans="1:6" ht="13.9" thickTop="1" thickBot="1" x14ac:dyDescent="0.4">
      <c r="A483" s="8" t="str">
        <f>NodesData[[#This Row],[Common Name]]</f>
        <v>Windows Default Local System Account</v>
      </c>
      <c r="B483" s="8" t="str">
        <f>IF(NodesData[[#This Row],[Group]]="","",NodesData[[#This Row],[Group]])</f>
        <v/>
      </c>
      <c r="C483" s="28" t="str">
        <f>NodesData[[#This Row],[Node ID]]</f>
        <v>n30C769A5_3901_4FE2_A484_26752443F078</v>
      </c>
      <c r="D483" s="8"/>
      <c r="E483" s="26" t="str" cm="1">
        <f t="array" ref="E483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3" s="27"/>
    </row>
    <row r="484" spans="1:6" ht="13.9" thickTop="1" thickBot="1" x14ac:dyDescent="0.4">
      <c r="A484" s="8" t="str">
        <f>NodesData[[#This Row],[Common Name]]</f>
        <v>Windows Default Local User Account</v>
      </c>
      <c r="B484" s="8" t="str">
        <f>IF(NodesData[[#This Row],[Group]]="","",NodesData[[#This Row],[Group]])</f>
        <v/>
      </c>
      <c r="C484" s="28" t="str">
        <f>NodesData[[#This Row],[Node ID]]</f>
        <v>n57652DD2_8622_4048_95C6_3D1CA71B338F</v>
      </c>
      <c r="D484" s="8"/>
      <c r="E484" s="26" t="str" cm="1">
        <f t="array" ref="E484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4" s="27"/>
    </row>
    <row r="485" spans="1:6" ht="13.9" thickTop="1" thickBot="1" x14ac:dyDescent="0.4">
      <c r="A485" s="8" t="str">
        <f>NodesData[[#This Row],[Common Name]]</f>
        <v>Windows DefaultAccount Account</v>
      </c>
      <c r="B485" s="8" t="str">
        <f>IF(NodesData[[#This Row],[Group]]="","",NodesData[[#This Row],[Group]])</f>
        <v/>
      </c>
      <c r="C485" s="28" t="str">
        <f>NodesData[[#This Row],[Node ID]]</f>
        <v>nDB980524_D5B2_4D4E_A6E4_3725625E9ED0</v>
      </c>
      <c r="D485" s="8"/>
      <c r="E485" s="26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5" s="27"/>
    </row>
    <row r="486" spans="1:6" ht="13.9" thickTop="1" thickBot="1" x14ac:dyDescent="0.4">
      <c r="A486" s="8" t="str">
        <f>NodesData[[#This Row],[Common Name]]</f>
        <v>Windows Guest Account</v>
      </c>
      <c r="B486" s="8" t="str">
        <f>IF(NodesData[[#This Row],[Group]]="","",NodesData[[#This Row],[Group]])</f>
        <v/>
      </c>
      <c r="C486" s="28" t="str">
        <f>NodesData[[#This Row],[Node ID]]</f>
        <v>n7B6F5266_C940_417B_9FB2_8373338B3D43</v>
      </c>
      <c r="D486" s="8"/>
      <c r="E486" s="26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6" s="27"/>
    </row>
    <row r="487" spans="1:6" ht="13.9" thickTop="1" thickBot="1" x14ac:dyDescent="0.4">
      <c r="A487" s="8" t="str">
        <f>NodesData[[#This Row],[Common Name]]</f>
        <v>Windows HelpAssistant Account</v>
      </c>
      <c r="B487" s="8" t="str">
        <f>IF(NodesData[[#This Row],[Group]]="","",NodesData[[#This Row],[Group]])</f>
        <v/>
      </c>
      <c r="C487" s="28" t="str">
        <f>NodesData[[#This Row],[Node ID]]</f>
        <v>n6E36BCF4_0D2E_423E_A7F2_1859C5F43F22</v>
      </c>
      <c r="D487" s="8"/>
      <c r="E487" s="26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  <c r="F487" s="27"/>
    </row>
    <row r="488" spans="1:6" ht="13.9" thickTop="1" thickBot="1" x14ac:dyDescent="0.4">
      <c r="A488" s="8" t="str">
        <f>NodesData[[#This Row],[Common Name]]</f>
        <v>Windows Local Account</v>
      </c>
      <c r="B488" s="8" t="str">
        <f>IF(NodesData[[#This Row],[Group]]="","",NodesData[[#This Row],[Group]])</f>
        <v/>
      </c>
      <c r="C488" s="28" t="str">
        <f>NodesData[[#This Row],[Node ID]]</f>
        <v>n3B7CBF53_A57C_44ED_AD36_C72517D3DEF6</v>
      </c>
      <c r="D488" s="8"/>
      <c r="E488" s="26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  <c r="F488" s="27"/>
    </row>
    <row r="489" spans="1:6" ht="13.9" thickTop="1" thickBot="1" x14ac:dyDescent="0.4">
      <c r="A489" s="8" t="str">
        <f>NodesData[[#This Row],[Common Name]]</f>
        <v>Windows Local Administrator Account</v>
      </c>
      <c r="B489" s="8" t="str">
        <f>IF(NodesData[[#This Row],[Group]]="","",NodesData[[#This Row],[Group]])</f>
        <v/>
      </c>
      <c r="C489" s="28" t="str">
        <f>NodesData[[#This Row],[Node ID]]</f>
        <v>nCDE26EDC_0440_4B98_9517_E35E3F6BE7DF</v>
      </c>
      <c r="D489" s="8"/>
      <c r="E489" s="26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  <c r="F489" s="27"/>
    </row>
    <row r="490" spans="1:6" ht="13.15" thickTop="1" x14ac:dyDescent="0.3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4"/>
  <sheetViews>
    <sheetView topLeftCell="A46" zoomScale="120" zoomScaleNormal="120" workbookViewId="0">
      <selection activeCell="A67" sqref="A67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9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1911</v>
      </c>
      <c r="B1" s="9"/>
      <c r="C1" s="9"/>
      <c r="D1" s="24"/>
    </row>
    <row r="2" spans="1:5" s="13" customFormat="1" ht="15" thickTop="1" thickBot="1" x14ac:dyDescent="0.5">
      <c r="A2" s="16" t="s">
        <v>1334</v>
      </c>
      <c r="B2" s="16" t="s">
        <v>1353</v>
      </c>
      <c r="C2" s="16" t="s">
        <v>1354</v>
      </c>
      <c r="D2" s="16" t="s">
        <v>1335</v>
      </c>
      <c r="E2" s="25" t="s">
        <v>1333</v>
      </c>
    </row>
    <row r="3" spans="1:5" ht="13.9" thickTop="1" thickBot="1" x14ac:dyDescent="0.4">
      <c r="A3" s="22" t="str">
        <f>EdgesData[[#This Row],[Edge ID]]</f>
        <v>nC9236704_329A_41A4_ABC5_340A92CC3765</v>
      </c>
      <c r="B3" s="22" t="str">
        <f>EdgesData[[#This Row],[Node A ID]]</f>
        <v>nB3F90AFA_FC46_4122_9901_4FF284E9E7EC</v>
      </c>
      <c r="C3" s="22" t="str">
        <f>EdgesData[[#This Row],[Node B ID]]</f>
        <v>nE49F9EAF_3DC5_47FA_9722_CDE0190EAD09</v>
      </c>
      <c r="D3" s="3" t="str">
        <f>EdgesData[[#This Row],[Rel]]</f>
        <v>acronym for</v>
      </c>
      <c r="E3" s="26" t="str" cm="1">
        <f t="array" ref="E3">IF(ROW(EdgesJSON[[#This Row],[id]])&gt;ROW(EdgesJSON[[#Headers],[JSON]])+1,",","") &amp;"{"&amp;twoRangesToJSON(EdgesJSON[[#Headers],[id]:[label]],EdgesJSON[[#This Row],[id]:[label]])&amp;"}"</f>
        <v>{"id":"nC9236704_329A_41A4_ABC5_340A92CC3765","from":"nB3F90AFA_FC46_4122_9901_4FF284E9E7EC","to":"nE49F9EAF_3DC5_47FA_9722_CDE0190EAD09","label":"acronym for"}</v>
      </c>
    </row>
    <row r="4" spans="1:5" ht="13.9" thickTop="1" thickBot="1" x14ac:dyDescent="0.4">
      <c r="A4" s="22" t="str">
        <f>EdgesData[[#This Row],[Edge ID]]</f>
        <v>n96BD0C0B_9A7F_45ED_9519_30416CA253CB</v>
      </c>
      <c r="B4" s="22" t="str">
        <f>EdgesData[[#This Row],[Node A ID]]</f>
        <v>nAC688165_B606_4D82_A016_0263D701EDF2</v>
      </c>
      <c r="C4" s="22" t="str">
        <f>EdgesData[[#This Row],[Node B ID]]</f>
        <v>n53877DB9_77FA_44E9_974A_BE3344133398</v>
      </c>
      <c r="D4" s="3" t="str">
        <f>EdgesData[[#This Row],[Rel]]</f>
        <v>is</v>
      </c>
      <c r="E4" s="26" t="str" cm="1">
        <f t="array" ref="E4">IF(ROW(EdgesJSON[[#This Row],[id]])&gt;ROW(EdgesJSON[[#Headers],[JSON]])+1,",","") &amp;"{"&amp;twoRangesToJSON(EdgesJSON[[#Headers],[id]:[label]],EdgesJSON[[#This Row],[id]:[label]])&amp;"}"</f>
        <v>,{"id":"n96BD0C0B_9A7F_45ED_9519_30416CA253CB","from":"nAC688165_B606_4D82_A016_0263D701EDF2","to":"n53877DB9_77FA_44E9_974A_BE3344133398","label":"is"}</v>
      </c>
    </row>
    <row r="5" spans="1:5" ht="13.9" thickTop="1" thickBot="1" x14ac:dyDescent="0.4">
      <c r="A5" s="22" t="str">
        <f>EdgesData[[#This Row],[Edge ID]]</f>
        <v>nCFA197D3_9344_415D_9209_905E09487E5F</v>
      </c>
      <c r="B5" s="22" t="str">
        <f>EdgesData[[#This Row],[Node A ID]]</f>
        <v>n8B61F4C7_8FA2_43DC_B58C_AB2C5C0A8877</v>
      </c>
      <c r="C5" s="22" t="str">
        <f>EdgesData[[#This Row],[Node B ID]]</f>
        <v>nCEEB6DF9_D56B_4A1B_9B36_35674D25F038</v>
      </c>
      <c r="D5" s="3" t="str">
        <f>EdgesData[[#This Row],[Rel]]</f>
        <v>is</v>
      </c>
      <c r="E5" s="26" t="str" cm="1">
        <f t="array" ref="E5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6" spans="1:5" ht="13.9" thickTop="1" thickBot="1" x14ac:dyDescent="0.4">
      <c r="A6" s="22" t="str">
        <f>EdgesData[[#This Row],[Edge ID]]</f>
        <v>n185B7D84_8C31_44D8_907D_0EEC1E5DC38A</v>
      </c>
      <c r="B6" s="22" t="str">
        <f>EdgesData[[#This Row],[Node A ID]]</f>
        <v>n8B61F4C7_8FA2_43DC_B58C_AB2C5C0A8877</v>
      </c>
      <c r="C6" s="22" t="str">
        <f>EdgesData[[#This Row],[Node B ID]]</f>
        <v>nFC4AFBE3_7D71_456A_AFC1_16F1F34558F5</v>
      </c>
      <c r="D6" s="3" t="str">
        <f>EdgesData[[#This Row],[Rel]]</f>
        <v>protects</v>
      </c>
      <c r="E6" s="26" t="str" cm="1">
        <f t="array" ref="E6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7" spans="1:5" ht="13.9" thickTop="1" thickBot="1" x14ac:dyDescent="0.4">
      <c r="A7" s="22" t="str">
        <f>EdgesData[[#This Row],[Edge ID]]</f>
        <v>n6EA23684_7375_433D_8170_212A6AB58564</v>
      </c>
      <c r="B7" s="22" t="str">
        <f>EdgesData[[#This Row],[Node A ID]]</f>
        <v>n8B61F4C7_8FA2_43DC_B58C_AB2C5C0A8877</v>
      </c>
      <c r="C7" s="22" t="str">
        <f>EdgesData[[#This Row],[Node B ID]]</f>
        <v>n1546AAB1_79BC_427B_AC2C_31B1E8FA4616</v>
      </c>
      <c r="D7" s="3" t="str">
        <f>EdgesData[[#This Row],[Rel]]</f>
        <v>protects from</v>
      </c>
      <c r="E7" s="26" t="str" cm="1">
        <f t="array" ref="E7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8" spans="1:5" ht="13.9" thickTop="1" thickBot="1" x14ac:dyDescent="0.4">
      <c r="A8" s="22" t="str">
        <f>EdgesData[[#This Row],[Edge ID]]</f>
        <v>n7CFCDE36_D268_40C8_9818_5F762B04D5C3</v>
      </c>
      <c r="B8" s="22" t="str">
        <f>EdgesData[[#This Row],[Node A ID]]</f>
        <v>n45A95ED6_6BE9_42DC_8F8E_4940542AA763</v>
      </c>
      <c r="C8" s="22" t="str">
        <f>EdgesData[[#This Row],[Node B ID]]</f>
        <v>n53877DB9_77FA_44E9_974A_BE3344133398</v>
      </c>
      <c r="D8" s="3" t="str">
        <f>EdgesData[[#This Row],[Rel]]</f>
        <v>is</v>
      </c>
      <c r="E8" s="26" t="str" cm="1">
        <f t="array" ref="E8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9" spans="1:5" ht="13.9" thickTop="1" thickBot="1" x14ac:dyDescent="0.4">
      <c r="A9" s="22" t="str">
        <f>EdgesData[[#This Row],[Edge ID]]</f>
        <v>n9E30E2ED_A60B_4197_A894_F66D9251EA8D</v>
      </c>
      <c r="B9" s="22" t="str">
        <f>EdgesData[[#This Row],[Node A ID]]</f>
        <v>n45A95ED6_6BE9_42DC_8F8E_4940542AA763</v>
      </c>
      <c r="C9" s="22" t="str">
        <f>EdgesData[[#This Row],[Node B ID]]</f>
        <v>nAC688165_B606_4D82_A016_0263D701EDF2</v>
      </c>
      <c r="D9" s="3" t="str">
        <f>EdgesData[[#This Row],[Rel]]</f>
        <v>is</v>
      </c>
      <c r="E9" s="26" t="str" cm="1">
        <f t="array" ref="E9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10" spans="1:5" ht="13.9" thickTop="1" thickBot="1" x14ac:dyDescent="0.4">
      <c r="A10" s="22" t="str">
        <f>EdgesData[[#This Row],[Edge ID]]</f>
        <v>n0FA15067_803F_459E_A370_46E2E4164F90</v>
      </c>
      <c r="B10" s="22" t="str">
        <f>EdgesData[[#This Row],[Node A ID]]</f>
        <v>n09E1C4DC_8D91_4A66_9C50_11DCDC2042FD</v>
      </c>
      <c r="C10" s="22" t="str">
        <f>EdgesData[[#This Row],[Node B ID]]</f>
        <v>n80310A12_2F48_48B9_A9C3_E6FADD4B55C9</v>
      </c>
      <c r="D10" s="3" t="str">
        <f>EdgesData[[#This Row],[Rel]]</f>
        <v>is</v>
      </c>
      <c r="E10" s="26" t="str" cm="1">
        <f t="array" ref="E10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1" spans="1:5" ht="13.9" thickTop="1" thickBot="1" x14ac:dyDescent="0.4">
      <c r="A11" s="22" t="str">
        <f>EdgesData[[#This Row],[Edge ID]]</f>
        <v>n16067629_26D5_42A1_BDB2_97473A56EAB7</v>
      </c>
      <c r="B11" s="22" t="str">
        <f>EdgesData[[#This Row],[Node A ID]]</f>
        <v>nEE342468_B7F3_4FB0_BA73_C88BBEA8F59E</v>
      </c>
      <c r="C11" s="22" t="str">
        <f>EdgesData[[#This Row],[Node B ID]]</f>
        <v>n80310A12_2F48_48B9_A9C3_E6FADD4B55C9</v>
      </c>
      <c r="D11" s="3" t="str">
        <f>EdgesData[[#This Row],[Rel]]</f>
        <v>is</v>
      </c>
      <c r="E11" s="26" t="str" cm="1">
        <f t="array" ref="E11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2" spans="1:5" ht="13.9" thickTop="1" thickBot="1" x14ac:dyDescent="0.4">
      <c r="A12" s="22" t="str">
        <f>EdgesData[[#This Row],[Edge ID]]</f>
        <v>n79C52E10_73FE_4CAF_A156_854467FC67DC</v>
      </c>
      <c r="B12" s="22" t="str">
        <f>EdgesData[[#This Row],[Node A ID]]</f>
        <v>n1546AAB1_79BC_427B_AC2C_31B1E8FA4616</v>
      </c>
      <c r="C12" s="22" t="str">
        <f>EdgesData[[#This Row],[Node B ID]]</f>
        <v>n385B2A02_580E_49B6_8C97_A00DC541C516</v>
      </c>
      <c r="D12" s="3" t="str">
        <f>EdgesData[[#This Row],[Rel]]</f>
        <v>is</v>
      </c>
      <c r="E12" s="26" t="str" cm="1">
        <f t="array" ref="E12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3" spans="1:5" ht="13.9" thickTop="1" thickBot="1" x14ac:dyDescent="0.4">
      <c r="A13" s="22" t="str">
        <f>EdgesData[[#This Row],[Edge ID]]</f>
        <v>n74EDF48C_1856_4E54_BBD1_44DC4A97ABCE</v>
      </c>
      <c r="B13" s="22" t="str">
        <f>EdgesData[[#This Row],[Node A ID]]</f>
        <v>nA4759A9D_95C0_47CA_B519_8CEF217B2F74</v>
      </c>
      <c r="C13" s="22" t="str">
        <f>EdgesData[[#This Row],[Node B ID]]</f>
        <v>n53877DB9_77FA_44E9_974A_BE3344133398</v>
      </c>
      <c r="D13" s="3" t="str">
        <f>EdgesData[[#This Row],[Rel]]</f>
        <v>is</v>
      </c>
      <c r="E13" s="26" t="str" cm="1">
        <f t="array" ref="E13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4" spans="1:5" ht="13.9" thickTop="1" thickBot="1" x14ac:dyDescent="0.4">
      <c r="A14" s="22" t="str">
        <f>EdgesData[[#This Row],[Edge ID]]</f>
        <v>n433C0CE8_199B_41A4_BBC0_39E1F2549476</v>
      </c>
      <c r="B14" s="22" t="str">
        <f>EdgesData[[#This Row],[Node A ID]]</f>
        <v>nA4759A9D_95C0_47CA_B519_8CEF217B2F74</v>
      </c>
      <c r="C14" s="22" t="str">
        <f>EdgesData[[#This Row],[Node B ID]]</f>
        <v>nAC688165_B606_4D82_A016_0263D701EDF2</v>
      </c>
      <c r="D14" s="3" t="str">
        <f>EdgesData[[#This Row],[Rel]]</f>
        <v>is</v>
      </c>
      <c r="E14" s="26" t="str" cm="1">
        <f t="array" ref="E14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5" spans="1:5" ht="13.9" thickTop="1" thickBot="1" x14ac:dyDescent="0.4">
      <c r="A15" s="22" t="str">
        <f>EdgesData[[#This Row],[Edge ID]]</f>
        <v>n0C9CFDC8_E9C2_4E79_8947_C460FAB26FA9</v>
      </c>
      <c r="B15" s="22" t="str">
        <f>EdgesData[[#This Row],[Node A ID]]</f>
        <v>nAACCE65E_6554_4FBD_B4D7_A3BA8E3BDB92</v>
      </c>
      <c r="C15" s="22" t="str">
        <f>EdgesData[[#This Row],[Node B ID]]</f>
        <v>n53877DB9_77FA_44E9_974A_BE3344133398</v>
      </c>
      <c r="D15" s="3" t="str">
        <f>EdgesData[[#This Row],[Rel]]</f>
        <v>is</v>
      </c>
      <c r="E15" s="26" t="str" cm="1">
        <f t="array" ref="E15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6" spans="1:5" ht="13.9" thickTop="1" thickBot="1" x14ac:dyDescent="0.4">
      <c r="A16" s="22" t="str">
        <f>EdgesData[[#This Row],[Edge ID]]</f>
        <v>n4AB9C546_49D0_4EA2_8498_0D2C04578B1D</v>
      </c>
      <c r="B16" s="22" t="str">
        <f>EdgesData[[#This Row],[Node A ID]]</f>
        <v>nAACCE65E_6554_4FBD_B4D7_A3BA8E3BDB92</v>
      </c>
      <c r="C16" s="22" t="str">
        <f>EdgesData[[#This Row],[Node B ID]]</f>
        <v>nAC688165_B606_4D82_A016_0263D701EDF2</v>
      </c>
      <c r="D16" s="3" t="str">
        <f>EdgesData[[#This Row],[Rel]]</f>
        <v>is</v>
      </c>
      <c r="E16" s="26" t="str" cm="1">
        <f t="array" ref="E16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7" spans="1:5" ht="13.9" thickTop="1" thickBot="1" x14ac:dyDescent="0.4">
      <c r="A17" s="22" t="str">
        <f>EdgesData[[#This Row],[Edge ID]]</f>
        <v>n1774DB80_05C1_4022_AD00_69849ED81D66</v>
      </c>
      <c r="B17" s="22" t="str">
        <f>EdgesData[[#This Row],[Node A ID]]</f>
        <v>nF5B3A52F_6645_4E18_BE53_3CA330AAEC4A</v>
      </c>
      <c r="C17" s="22" t="str">
        <f>EdgesData[[#This Row],[Node B ID]]</f>
        <v>n53877DB9_77FA_44E9_974A_BE3344133398</v>
      </c>
      <c r="D17" s="3" t="str">
        <f>EdgesData[[#This Row],[Rel]]</f>
        <v>is</v>
      </c>
      <c r="E17" s="26" t="str" cm="1">
        <f t="array" ref="E17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8" spans="1:5" ht="13.9" thickTop="1" thickBot="1" x14ac:dyDescent="0.4">
      <c r="A18" s="22" t="str">
        <f>EdgesData[[#This Row],[Edge ID]]</f>
        <v>n5FE7C068_1E39_497D_A95C_9B7E7A82CB68</v>
      </c>
      <c r="B18" s="22" t="str">
        <f>EdgesData[[#This Row],[Node A ID]]</f>
        <v>nF5B3A52F_6645_4E18_BE53_3CA330AAEC4A</v>
      </c>
      <c r="C18" s="22" t="str">
        <f>EdgesData[[#This Row],[Node B ID]]</f>
        <v>nAC688165_B606_4D82_A016_0263D701EDF2</v>
      </c>
      <c r="D18" s="3" t="str">
        <f>EdgesData[[#This Row],[Rel]]</f>
        <v>is</v>
      </c>
      <c r="E18" s="26" t="str" cm="1">
        <f t="array" ref="E18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9" spans="1:5" ht="13.9" thickTop="1" thickBot="1" x14ac:dyDescent="0.4">
      <c r="A19" s="22" t="str">
        <f>EdgesData[[#This Row],[Edge ID]]</f>
        <v>n1590C804_C1D3_45D7_9BD1_A699E03C4480</v>
      </c>
      <c r="B19" s="22" t="str">
        <f>EdgesData[[#This Row],[Node A ID]]</f>
        <v>nE75296C8_9CA1_417E_B05B_CC1BDF26F9C3</v>
      </c>
      <c r="C19" s="22" t="str">
        <f>EdgesData[[#This Row],[Node B ID]]</f>
        <v>n53877DB9_77FA_44E9_974A_BE3344133398</v>
      </c>
      <c r="D19" s="3" t="str">
        <f>EdgesData[[#This Row],[Rel]]</f>
        <v>is</v>
      </c>
      <c r="E19" s="26" t="str" cm="1">
        <f t="array" ref="E19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20" spans="1:5" ht="13.9" thickTop="1" thickBot="1" x14ac:dyDescent="0.4">
      <c r="A20" s="22" t="str">
        <f>EdgesData[[#This Row],[Edge ID]]</f>
        <v>n1C84502F_9CE4_45AD_8152_4C28CF43CC7A</v>
      </c>
      <c r="B20" s="22" t="str">
        <f>EdgesData[[#This Row],[Node A ID]]</f>
        <v>nE75296C8_9CA1_417E_B05B_CC1BDF26F9C3</v>
      </c>
      <c r="C20" s="22" t="str">
        <f>EdgesData[[#This Row],[Node B ID]]</f>
        <v>nAC688165_B606_4D82_A016_0263D701EDF2</v>
      </c>
      <c r="D20" s="3" t="str">
        <f>EdgesData[[#This Row],[Rel]]</f>
        <v>is</v>
      </c>
      <c r="E20" s="26" t="str" cm="1">
        <f t="array" ref="E20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1" spans="1:5" ht="13.9" thickTop="1" thickBot="1" x14ac:dyDescent="0.4">
      <c r="A21" s="22" t="str">
        <f>EdgesData[[#This Row],[Edge ID]]</f>
        <v>n58FF34AB_C0AD_4329_B54F_8DA88A1CEA2B</v>
      </c>
      <c r="B21" s="22" t="str">
        <f>EdgesData[[#This Row],[Node A ID]]</f>
        <v>n3E35442D_91A0_4B21_B0FC_31EF1D8BC55F</v>
      </c>
      <c r="C21" s="22" t="str">
        <f>EdgesData[[#This Row],[Node B ID]]</f>
        <v>n53877DB9_77FA_44E9_974A_BE3344133398</v>
      </c>
      <c r="D21" s="3" t="str">
        <f>EdgesData[[#This Row],[Rel]]</f>
        <v>is</v>
      </c>
      <c r="E21" s="26" t="str" cm="1">
        <f t="array" ref="E21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2" spans="1:5" ht="13.9" thickTop="1" thickBot="1" x14ac:dyDescent="0.4">
      <c r="A22" s="22" t="str">
        <f>EdgesData[[#This Row],[Edge ID]]</f>
        <v>nC04D4E4C_23D6_4E6A_B5A4_713BF692C4A9</v>
      </c>
      <c r="B22" s="22" t="str">
        <f>EdgesData[[#This Row],[Node A ID]]</f>
        <v>n3E35442D_91A0_4B21_B0FC_31EF1D8BC55F</v>
      </c>
      <c r="C22" s="22" t="str">
        <f>EdgesData[[#This Row],[Node B ID]]</f>
        <v>nAC688165_B606_4D82_A016_0263D701EDF2</v>
      </c>
      <c r="D22" s="3" t="str">
        <f>EdgesData[[#This Row],[Rel]]</f>
        <v>is</v>
      </c>
      <c r="E22" s="26" t="str" cm="1">
        <f t="array" ref="E22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3" spans="1:5" ht="13.9" thickTop="1" thickBot="1" x14ac:dyDescent="0.4">
      <c r="A23" s="22" t="str">
        <f>EdgesData[[#This Row],[Edge ID]]</f>
        <v>nA91494B0_E4BA_4773_AE36_FBC723F16E58</v>
      </c>
      <c r="B23" s="22" t="str">
        <f>EdgesData[[#This Row],[Node A ID]]</f>
        <v>n99E2EC41_CA7B_41FD_8304_3926884533F9</v>
      </c>
      <c r="C23" s="22" t="str">
        <f>EdgesData[[#This Row],[Node B ID]]</f>
        <v>n67C132A3_290E_4750_90DE_11E7C1778537</v>
      </c>
      <c r="D23" s="3" t="str">
        <f>EdgesData[[#This Row],[Rel]]</f>
        <v>is</v>
      </c>
      <c r="E23" s="26" t="str" cm="1">
        <f t="array" ref="E23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4" spans="1:5" ht="13.9" thickTop="1" thickBot="1" x14ac:dyDescent="0.4">
      <c r="A24" s="22" t="str">
        <f>EdgesData[[#This Row],[Edge ID]]</f>
        <v>n2A19C71F_AFEB_4CB7_ABBC_B7834D29F28C</v>
      </c>
      <c r="B24" s="22" t="str">
        <f>EdgesData[[#This Row],[Node A ID]]</f>
        <v>nFF2EA87E_84ED_44A7_83DE_4A3C4C0F01DF</v>
      </c>
      <c r="C24" s="22" t="str">
        <f>EdgesData[[#This Row],[Node B ID]]</f>
        <v>n53877DB9_77FA_44E9_974A_BE3344133398</v>
      </c>
      <c r="D24" s="3" t="str">
        <f>EdgesData[[#This Row],[Rel]]</f>
        <v>is</v>
      </c>
      <c r="E24" s="26" t="str" cm="1">
        <f t="array" ref="E24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5" spans="1:5" ht="13.9" thickTop="1" thickBot="1" x14ac:dyDescent="0.4">
      <c r="A25" s="22" t="str">
        <f>EdgesData[[#This Row],[Edge ID]]</f>
        <v>nD0C6BF06_6975_4E42_948E_4BA9B597C722</v>
      </c>
      <c r="B25" s="22" t="str">
        <f>EdgesData[[#This Row],[Node A ID]]</f>
        <v>nFF2EA87E_84ED_44A7_83DE_4A3C4C0F01DF</v>
      </c>
      <c r="C25" s="22" t="str">
        <f>EdgesData[[#This Row],[Node B ID]]</f>
        <v>nAC688165_B606_4D82_A016_0263D701EDF2</v>
      </c>
      <c r="D25" s="3" t="str">
        <f>EdgesData[[#This Row],[Rel]]</f>
        <v>is</v>
      </c>
      <c r="E25" s="26" t="str" cm="1">
        <f t="array" ref="E25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6" spans="1:5" ht="13.9" thickTop="1" thickBot="1" x14ac:dyDescent="0.4">
      <c r="A26" s="22" t="str">
        <f>EdgesData[[#This Row],[Edge ID]]</f>
        <v>n65CE68B0_0066_483B_B881_3572D2E95D0A</v>
      </c>
      <c r="B26" s="22" t="str">
        <f>EdgesData[[#This Row],[Node A ID]]</f>
        <v>n940256DD_635E_4F4B_91EA_B3366D40E947</v>
      </c>
      <c r="C26" s="22" t="str">
        <f>EdgesData[[#This Row],[Node B ID]]</f>
        <v>n80310A12_2F48_48B9_A9C3_E6FADD4B55C9</v>
      </c>
      <c r="D26" s="3" t="str">
        <f>EdgesData[[#This Row],[Rel]]</f>
        <v>is</v>
      </c>
      <c r="E26" s="26" t="str" cm="1">
        <f t="array" ref="E26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7" spans="1:5" ht="13.9" thickTop="1" thickBot="1" x14ac:dyDescent="0.4">
      <c r="A27" s="22" t="str">
        <f>EdgesData[[#This Row],[Edge ID]]</f>
        <v>nF451769F_A5E2_475A_89F0_5DCF08D27D4F</v>
      </c>
      <c r="B27" s="22" t="str">
        <f>EdgesData[[#This Row],[Node A ID]]</f>
        <v>nBB725018_7327_49FB_A48A_74839D0C04F9</v>
      </c>
      <c r="C27" s="22" t="str">
        <f>EdgesData[[#This Row],[Node B ID]]</f>
        <v>n80310A12_2F48_48B9_A9C3_E6FADD4B55C9</v>
      </c>
      <c r="D27" s="3" t="str">
        <f>EdgesData[[#This Row],[Rel]]</f>
        <v>is</v>
      </c>
      <c r="E27" s="26" t="str" cm="1">
        <f t="array" ref="E27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8" spans="1:5" ht="13.9" thickTop="1" thickBot="1" x14ac:dyDescent="0.4">
      <c r="A28" s="22" t="str">
        <f>EdgesData[[#This Row],[Edge ID]]</f>
        <v>n73EBE6B5_2ED2_404F_A9CE_C06A461A9CF9</v>
      </c>
      <c r="B28" s="22" t="str">
        <f>EdgesData[[#This Row],[Node A ID]]</f>
        <v>nC607594D_D597_4C8E_9605_EED87566C2FD</v>
      </c>
      <c r="C28" s="22" t="str">
        <f>EdgesData[[#This Row],[Node B ID]]</f>
        <v>n80310A12_2F48_48B9_A9C3_E6FADD4B55C9</v>
      </c>
      <c r="D28" s="3" t="str">
        <f>EdgesData[[#This Row],[Rel]]</f>
        <v>composed of</v>
      </c>
      <c r="E28" s="26" t="str" cm="1">
        <f t="array" ref="E28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9" spans="1:5" ht="13.9" thickTop="1" thickBot="1" x14ac:dyDescent="0.4">
      <c r="A29" s="22" t="str">
        <f>EdgesData[[#This Row],[Edge ID]]</f>
        <v>n9CA40070_6FEB_4067_8535_532D52F5CC18</v>
      </c>
      <c r="B29" s="22" t="str">
        <f>EdgesData[[#This Row],[Node A ID]]</f>
        <v>nC607594D_D597_4C8E_9605_EED87566C2FD</v>
      </c>
      <c r="C29" s="22" t="str">
        <f>EdgesData[[#This Row],[Node B ID]]</f>
        <v>nFB32F479_4EF7_409C_900B_EE48AA0DE846</v>
      </c>
      <c r="D29" s="3" t="str">
        <f>EdgesData[[#This Row],[Rel]]</f>
        <v>may have</v>
      </c>
      <c r="E29" s="26" t="str" cm="1">
        <f t="array" ref="E29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30" spans="1:5" ht="13.9" thickTop="1" thickBot="1" x14ac:dyDescent="0.4">
      <c r="A30" s="22" t="str">
        <f>EdgesData[[#This Row],[Edge ID]]</f>
        <v>n87E71156_879E_4B20_B1C3_DA6DCBD5E697</v>
      </c>
      <c r="B30" s="22" t="str">
        <f>EdgesData[[#This Row],[Node A ID]]</f>
        <v>nC607594D_D597_4C8E_9605_EED87566C2FD</v>
      </c>
      <c r="C30" s="22" t="str">
        <f>EdgesData[[#This Row],[Node B ID]]</f>
        <v>nFA6C8A63_7071_4E20_BB02_F78403869E0B</v>
      </c>
      <c r="D30" s="3" t="str">
        <f>EdgesData[[#This Row],[Rel]]</f>
        <v>may have</v>
      </c>
      <c r="E30" s="26" t="str" cm="1">
        <f t="array" ref="E30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1" spans="1:5" ht="13.9" thickTop="1" thickBot="1" x14ac:dyDescent="0.4">
      <c r="A31" s="22" t="str">
        <f>EdgesData[[#This Row],[Edge ID]]</f>
        <v>n27C3DAA7_18CE_4679_BFDF_AE332BA90AF5</v>
      </c>
      <c r="B31" s="22" t="str">
        <f>EdgesData[[#This Row],[Node A ID]]</f>
        <v>nC607594D_D597_4C8E_9605_EED87566C2FD</v>
      </c>
      <c r="C31" s="22" t="str">
        <f>EdgesData[[#This Row],[Node B ID]]</f>
        <v>nAC062A15_C72B_42D8_BBDF_C7EB64B35F26</v>
      </c>
      <c r="D31" s="3" t="str">
        <f>EdgesData[[#This Row],[Rel]]</f>
        <v>may have</v>
      </c>
      <c r="E31" s="26" t="str" cm="1">
        <f t="array" ref="E31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2" spans="1:5" ht="13.9" thickTop="1" thickBot="1" x14ac:dyDescent="0.4">
      <c r="A32" s="22" t="str">
        <f>EdgesData[[#This Row],[Edge ID]]</f>
        <v>n0CBC93F4_6EAE_4195_8F35_23C763EA6BED</v>
      </c>
      <c r="B32" s="22" t="str">
        <f>EdgesData[[#This Row],[Node A ID]]</f>
        <v>nC607594D_D597_4C8E_9605_EED87566C2FD</v>
      </c>
      <c r="C32" s="22" t="str">
        <f>EdgesData[[#This Row],[Node B ID]]</f>
        <v>nF3A221C8_C126_458E_818C_DAE6B57CD442</v>
      </c>
      <c r="D32" s="3" t="str">
        <f>EdgesData[[#This Row],[Rel]]</f>
        <v>may have</v>
      </c>
      <c r="E32" s="26" t="str" cm="1">
        <f t="array" ref="E32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3" spans="1:5" ht="13.9" thickTop="1" thickBot="1" x14ac:dyDescent="0.4">
      <c r="A33" s="22" t="str">
        <f>EdgesData[[#This Row],[Edge ID]]</f>
        <v>nD167F915_A861_4436_9497_FFE4AB13F611</v>
      </c>
      <c r="B33" s="22" t="str">
        <f>EdgesData[[#This Row],[Node A ID]]</f>
        <v>nC607594D_D597_4C8E_9605_EED87566C2FD</v>
      </c>
      <c r="C33" s="22" t="str">
        <f>EdgesData[[#This Row],[Node B ID]]</f>
        <v>n2E4A35A7_53BB_4F4B_8554_B6584F77D71D</v>
      </c>
      <c r="D33" s="3" t="str">
        <f>EdgesData[[#This Row],[Rel]]</f>
        <v>regarded as</v>
      </c>
      <c r="E33" s="26" t="str" cm="1">
        <f t="array" ref="E33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4" spans="1:5" ht="13.9" thickTop="1" thickBot="1" x14ac:dyDescent="0.4">
      <c r="A34" s="22" t="str">
        <f>EdgesData[[#This Row],[Edge ID]]</f>
        <v>nD1A0D0FD_3118_45AC_BAD3_26E89DBD57DC</v>
      </c>
      <c r="B34" s="22" t="str">
        <f>EdgesData[[#This Row],[Node A ID]]</f>
        <v>n35F5759D_AAFF_439C_A04E_623AA07EE4D9</v>
      </c>
      <c r="C34" s="22" t="str">
        <f>EdgesData[[#This Row],[Node B ID]]</f>
        <v>n2F27DDAD_459D_4B06_9152_168BDF5063F5</v>
      </c>
      <c r="D34" s="3" t="str">
        <f>EdgesData[[#This Row],[Rel]]</f>
        <v>synonym for</v>
      </c>
      <c r="E34" s="26" t="str" cm="1">
        <f t="array" ref="E34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5" spans="1:5" ht="13.9" thickTop="1" thickBot="1" x14ac:dyDescent="0.4">
      <c r="A35" s="22" t="str">
        <f>EdgesData[[#This Row],[Edge ID]]</f>
        <v>n2B5ADEF6_C211_4176_ACE9_EC6BB881B4B9</v>
      </c>
      <c r="B35" s="22" t="str">
        <f>EdgesData[[#This Row],[Node A ID]]</f>
        <v>n35F5759D_AAFF_439C_A04E_623AA07EE4D9</v>
      </c>
      <c r="C35" s="22" t="str">
        <f>EdgesData[[#This Row],[Node B ID]]</f>
        <v>n53877DB9_77FA_44E9_974A_BE3344133398</v>
      </c>
      <c r="D35" s="3" t="str">
        <f>EdgesData[[#This Row],[Rel]]</f>
        <v>is</v>
      </c>
      <c r="E35" s="26" t="str" cm="1">
        <f t="array" ref="E35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6" spans="1:5" ht="13.9" thickTop="1" thickBot="1" x14ac:dyDescent="0.4">
      <c r="A36" s="22" t="str">
        <f>EdgesData[[#This Row],[Edge ID]]</f>
        <v>n11F85AC2_D11B_452F_BF41_FAA417F534DE</v>
      </c>
      <c r="B36" s="22" t="str">
        <f>EdgesData[[#This Row],[Node A ID]]</f>
        <v>n35F5759D_AAFF_439C_A04E_623AA07EE4D9</v>
      </c>
      <c r="C36" s="22" t="str">
        <f>EdgesData[[#This Row],[Node B ID]]</f>
        <v>nAC688165_B606_4D82_A016_0263D701EDF2</v>
      </c>
      <c r="D36" s="3" t="str">
        <f>EdgesData[[#This Row],[Rel]]</f>
        <v>is</v>
      </c>
      <c r="E36" s="26" t="str" cm="1">
        <f t="array" ref="E36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7" spans="1:5" ht="13.9" thickTop="1" thickBot="1" x14ac:dyDescent="0.4">
      <c r="A37" s="22" t="str">
        <f>EdgesData[[#This Row],[Edge ID]]</f>
        <v>n001F8278_2466_4E46_AF78_4E1474840B61</v>
      </c>
      <c r="B37" s="22" t="str">
        <f>EdgesData[[#This Row],[Node A ID]]</f>
        <v>n63EDDBAD_A168_4974_B9D5_9B90FB3F688E</v>
      </c>
      <c r="C37" s="22" t="str">
        <f>EdgesData[[#This Row],[Node B ID]]</f>
        <v>n67C132A3_290E_4750_90DE_11E7C1778537</v>
      </c>
      <c r="D37" s="3" t="str">
        <f>EdgesData[[#This Row],[Rel]]</f>
        <v>is</v>
      </c>
      <c r="E37" s="26" t="str" cm="1">
        <f t="array" ref="E37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8" spans="1:5" ht="13.9" thickTop="1" thickBot="1" x14ac:dyDescent="0.4">
      <c r="A38" s="22" t="str">
        <f>EdgesData[[#This Row],[Edge ID]]</f>
        <v>nEDB85302_2B45_41AE_A687_7FC6755CC78A</v>
      </c>
      <c r="B38" s="22" t="str">
        <f>EdgesData[[#This Row],[Node A ID]]</f>
        <v>nC63D5B91_5DF9_4B35_856B_670E59CF1CA0</v>
      </c>
      <c r="C38" s="22" t="str">
        <f>EdgesData[[#This Row],[Node B ID]]</f>
        <v>n53877DB9_77FA_44E9_974A_BE3344133398</v>
      </c>
      <c r="D38" s="3" t="str">
        <f>EdgesData[[#This Row],[Rel]]</f>
        <v>is</v>
      </c>
      <c r="E38" s="26" t="str" cm="1">
        <f t="array" ref="E38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9" spans="1:5" ht="13.9" thickTop="1" thickBot="1" x14ac:dyDescent="0.4">
      <c r="A39" s="22" t="str">
        <f>EdgesData[[#This Row],[Edge ID]]</f>
        <v>n70FF5999_70A6_4341_A798_FF05730D05E4</v>
      </c>
      <c r="B39" s="22" t="str">
        <f>EdgesData[[#This Row],[Node A ID]]</f>
        <v>nC63D5B91_5DF9_4B35_856B_670E59CF1CA0</v>
      </c>
      <c r="C39" s="22" t="str">
        <f>EdgesData[[#This Row],[Node B ID]]</f>
        <v>nAC688165_B606_4D82_A016_0263D701EDF2</v>
      </c>
      <c r="D39" s="3" t="str">
        <f>EdgesData[[#This Row],[Rel]]</f>
        <v>is</v>
      </c>
      <c r="E39" s="26" t="str" cm="1">
        <f t="array" ref="E39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40" spans="1:5" ht="13.9" thickTop="1" thickBot="1" x14ac:dyDescent="0.4">
      <c r="A40" s="22" t="str">
        <f>EdgesData[[#This Row],[Edge ID]]</f>
        <v>n15F3F73F_656D_4BBB_9AC3_F84EFC304F9B</v>
      </c>
      <c r="B40" s="22" t="str">
        <f>EdgesData[[#This Row],[Node A ID]]</f>
        <v>nE61E61F3_D210_49D4_9FB5_8E7744490C9D</v>
      </c>
      <c r="C40" s="22" t="str">
        <f>EdgesData[[#This Row],[Node B ID]]</f>
        <v>n67C132A3_290E_4750_90DE_11E7C1778537</v>
      </c>
      <c r="D40" s="3" t="str">
        <f>EdgesData[[#This Row],[Rel]]</f>
        <v>is</v>
      </c>
      <c r="E40" s="26" t="str" cm="1">
        <f t="array" ref="E40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1" spans="1:5" ht="13.9" thickTop="1" thickBot="1" x14ac:dyDescent="0.4">
      <c r="A41" s="22" t="str">
        <f>EdgesData[[#This Row],[Edge ID]]</f>
        <v>nFD6CE81D_6B06_469F_A64B_3ECF2578FB31</v>
      </c>
      <c r="B41" s="22" t="str">
        <f>EdgesData[[#This Row],[Node A ID]]</f>
        <v>nF4329B4E_89AE_4B13_8BA2_B6BEFB931A12</v>
      </c>
      <c r="C41" s="22" t="str">
        <f>EdgesData[[#This Row],[Node B ID]]</f>
        <v>n53877DB9_77FA_44E9_974A_BE3344133398</v>
      </c>
      <c r="D41" s="3" t="str">
        <f>EdgesData[[#This Row],[Rel]]</f>
        <v>is</v>
      </c>
      <c r="E41" s="26" t="str" cm="1">
        <f t="array" ref="E41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2" spans="1:5" ht="13.9" thickTop="1" thickBot="1" x14ac:dyDescent="0.4">
      <c r="A42" s="22" t="str">
        <f>EdgesData[[#This Row],[Edge ID]]</f>
        <v>n6D604365_C71A_4947_B0C6_C3C723101DA5</v>
      </c>
      <c r="B42" s="22" t="str">
        <f>EdgesData[[#This Row],[Node A ID]]</f>
        <v>nF4329B4E_89AE_4B13_8BA2_B6BEFB931A12</v>
      </c>
      <c r="C42" s="22" t="str">
        <f>EdgesData[[#This Row],[Node B ID]]</f>
        <v>nAC688165_B606_4D82_A016_0263D701EDF2</v>
      </c>
      <c r="D42" s="3" t="str">
        <f>EdgesData[[#This Row],[Rel]]</f>
        <v>is</v>
      </c>
      <c r="E42" s="26" t="str" cm="1">
        <f t="array" ref="E42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3" spans="1:5" ht="13.9" thickTop="1" thickBot="1" x14ac:dyDescent="0.4">
      <c r="A43" s="22" t="str">
        <f>EdgesData[[#This Row],[Edge ID]]</f>
        <v>n4884F8ED_EB06_4C77_8CB8_03E3BD0B0DF6</v>
      </c>
      <c r="B43" s="22" t="str">
        <f>EdgesData[[#This Row],[Node A ID]]</f>
        <v>nD67337C3_82D6_4A00_9312_77ECF955E4EE</v>
      </c>
      <c r="C43" s="22" t="str">
        <f>EdgesData[[#This Row],[Node B ID]]</f>
        <v>n53877DB9_77FA_44E9_974A_BE3344133398</v>
      </c>
      <c r="D43" s="3" t="str">
        <f>EdgesData[[#This Row],[Rel]]</f>
        <v>is</v>
      </c>
      <c r="E43" s="26" t="str" cm="1">
        <f t="array" ref="E43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4" spans="1:5" ht="13.9" thickTop="1" thickBot="1" x14ac:dyDescent="0.4">
      <c r="A44" s="22" t="str">
        <f>EdgesData[[#This Row],[Edge ID]]</f>
        <v>n59BAA06D_2BF6_4A51_B53B_A8361236B480</v>
      </c>
      <c r="B44" s="22" t="str">
        <f>EdgesData[[#This Row],[Node A ID]]</f>
        <v>nD67337C3_82D6_4A00_9312_77ECF955E4EE</v>
      </c>
      <c r="C44" s="22" t="str">
        <f>EdgesData[[#This Row],[Node B ID]]</f>
        <v>nAC688165_B606_4D82_A016_0263D701EDF2</v>
      </c>
      <c r="D44" s="3" t="str">
        <f>EdgesData[[#This Row],[Rel]]</f>
        <v>is</v>
      </c>
      <c r="E44" s="26" t="str" cm="1">
        <f t="array" ref="E44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5" spans="1:5" ht="13.9" thickTop="1" thickBot="1" x14ac:dyDescent="0.4">
      <c r="A45" s="22" t="str">
        <f>EdgesData[[#This Row],[Edge ID]]</f>
        <v>n1077CFA1_7D9B_4396_844D_B149B6ABF35D</v>
      </c>
      <c r="B45" s="22" t="str">
        <f>EdgesData[[#This Row],[Node A ID]]</f>
        <v>n8B4BB7FC_2E2A_4C1A_8657_58EEC2DF8A9A</v>
      </c>
      <c r="C45" s="22" t="str">
        <f>EdgesData[[#This Row],[Node B ID]]</f>
        <v>n67C132A3_290E_4750_90DE_11E7C1778537</v>
      </c>
      <c r="D45" s="3" t="str">
        <f>EdgesData[[#This Row],[Rel]]</f>
        <v>is</v>
      </c>
      <c r="E45" s="26" t="str" cm="1">
        <f t="array" ref="E45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6" spans="1:5" ht="13.9" thickTop="1" thickBot="1" x14ac:dyDescent="0.4">
      <c r="A46" s="22" t="str">
        <f>EdgesData[[#This Row],[Edge ID]]</f>
        <v>nE94E97D6_EDA3_48F8_B3A2_FF2D38612803</v>
      </c>
      <c r="B46" s="22" t="str">
        <f>EdgesData[[#This Row],[Node A ID]]</f>
        <v>nF44C30A8_A797_4F0C_9C18_D87E7D5A8B88</v>
      </c>
      <c r="C46" s="22" t="str">
        <f>EdgesData[[#This Row],[Node B ID]]</f>
        <v>n67C132A3_290E_4750_90DE_11E7C1778537</v>
      </c>
      <c r="D46" s="3" t="str">
        <f>EdgesData[[#This Row],[Rel]]</f>
        <v>is</v>
      </c>
      <c r="E46" s="26" t="str" cm="1">
        <f t="array" ref="E46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7" spans="1:5" ht="13.9" thickTop="1" thickBot="1" x14ac:dyDescent="0.4">
      <c r="A47" s="22" t="str">
        <f>EdgesData[[#This Row],[Edge ID]]</f>
        <v>n54777CBB_23A1_4D88_9399_8132024209B6</v>
      </c>
      <c r="B47" s="22" t="str">
        <f>EdgesData[[#This Row],[Node A ID]]</f>
        <v>n2F27DDAD_459D_4B06_9152_168BDF5063F5</v>
      </c>
      <c r="C47" s="22" t="str">
        <f>EdgesData[[#This Row],[Node B ID]]</f>
        <v>n53877DB9_77FA_44E9_974A_BE3344133398</v>
      </c>
      <c r="D47" s="3" t="str">
        <f>EdgesData[[#This Row],[Rel]]</f>
        <v>is</v>
      </c>
      <c r="E47" s="26" t="str" cm="1">
        <f t="array" ref="E47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8" spans="1:5" ht="13.9" thickTop="1" thickBot="1" x14ac:dyDescent="0.4">
      <c r="A48" s="22" t="str">
        <f>EdgesData[[#This Row],[Edge ID]]</f>
        <v>n08F36C07_95CB_4A9F_8AF7_DA92D0D85FAD</v>
      </c>
      <c r="B48" s="22" t="str">
        <f>EdgesData[[#This Row],[Node A ID]]</f>
        <v>n2F27DDAD_459D_4B06_9152_168BDF5063F5</v>
      </c>
      <c r="C48" s="22" t="str">
        <f>EdgesData[[#This Row],[Node B ID]]</f>
        <v>nAC688165_B606_4D82_A016_0263D701EDF2</v>
      </c>
      <c r="D48" s="3" t="str">
        <f>EdgesData[[#This Row],[Rel]]</f>
        <v>is</v>
      </c>
      <c r="E48" s="26" t="str" cm="1">
        <f t="array" ref="E48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9" spans="1:5" ht="13.9" thickTop="1" thickBot="1" x14ac:dyDescent="0.4">
      <c r="A49" s="22" t="str">
        <f>EdgesData[[#This Row],[Edge ID]]</f>
        <v>nA8B2A66F_C080_41DF_B473_E0485D490580</v>
      </c>
      <c r="B49" s="22" t="str">
        <f>EdgesData[[#This Row],[Node A ID]]</f>
        <v>nC196E133_4263_4398_B44A_B3053AC5D0E8</v>
      </c>
      <c r="C49" s="22" t="str">
        <f>EdgesData[[#This Row],[Node B ID]]</f>
        <v>n53877DB9_77FA_44E9_974A_BE3344133398</v>
      </c>
      <c r="D49" s="3" t="str">
        <f>EdgesData[[#This Row],[Rel]]</f>
        <v>is</v>
      </c>
      <c r="E49" s="26" t="str" cm="1">
        <f t="array" ref="E49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50" spans="1:5" ht="13.9" thickTop="1" thickBot="1" x14ac:dyDescent="0.4">
      <c r="A50" s="22" t="str">
        <f>EdgesData[[#This Row],[Edge ID]]</f>
        <v>nE1568646_8A29_4498_8C6C_7219DE88E7DA</v>
      </c>
      <c r="B50" s="22" t="str">
        <f>EdgesData[[#This Row],[Node A ID]]</f>
        <v>nC196E133_4263_4398_B44A_B3053AC5D0E8</v>
      </c>
      <c r="C50" s="22" t="str">
        <f>EdgesData[[#This Row],[Node B ID]]</f>
        <v>nAC688165_B606_4D82_A016_0263D701EDF2</v>
      </c>
      <c r="D50" s="3" t="str">
        <f>EdgesData[[#This Row],[Rel]]</f>
        <v>is</v>
      </c>
      <c r="E50" s="26" t="str" cm="1">
        <f t="array" ref="E50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1" spans="1:5" ht="13.9" thickTop="1" thickBot="1" x14ac:dyDescent="0.4">
      <c r="A51" s="28" t="str">
        <f>EdgesData[[#This Row],[Edge ID]]</f>
        <v>n0A451CF0_22E0_44D3_AB03_3E608F7531FA</v>
      </c>
      <c r="B51" s="28" t="str">
        <f>EdgesData[[#This Row],[Node A ID]]</f>
        <v>nE9C9661B_8C28_413E_A8E3_A720E03C04B7</v>
      </c>
      <c r="C51" s="28" t="str">
        <f>EdgesData[[#This Row],[Node B ID]]</f>
        <v>n23656C0A_A156_405F_9FF8_7AE62FD6FB07</v>
      </c>
      <c r="D51" s="4" t="str">
        <f>EdgesData[[#This Row],[Rel]]</f>
        <v>is</v>
      </c>
      <c r="E51" s="26" t="str" cm="1">
        <f t="array" ref="E51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2" spans="1:5" ht="13.9" thickTop="1" thickBot="1" x14ac:dyDescent="0.4">
      <c r="A52" s="28" t="str">
        <f>EdgesData[[#This Row],[Edge ID]]</f>
        <v>nE8DE4BFE_8184_4CDB_AB2B_F5BBB01DDEC9</v>
      </c>
      <c r="B52" s="28" t="str">
        <f>EdgesData[[#This Row],[Node A ID]]</f>
        <v>n23656C0A_A156_405F_9FF8_7AE62FD6FB07</v>
      </c>
      <c r="C52" s="28" t="str">
        <f>EdgesData[[#This Row],[Node B ID]]</f>
        <v>nBC613B66_5F94_4F48_91BD_5F6BBA766E79</v>
      </c>
      <c r="D52" s="4" t="str">
        <f>EdgesData[[#This Row],[Rel]]</f>
        <v>is</v>
      </c>
      <c r="E52" s="26" t="str" cm="1">
        <f t="array" ref="E52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3" spans="1:5" ht="13.9" thickTop="1" thickBot="1" x14ac:dyDescent="0.4">
      <c r="A53" s="28" t="str">
        <f>EdgesData[[#This Row],[Edge ID]]</f>
        <v>n4DCA1FCE_1B55_469F_A7BE_191D25CCF3FD</v>
      </c>
      <c r="B53" s="28" t="str">
        <f>EdgesData[[#This Row],[Node A ID]]</f>
        <v>nE9C9661B_8C28_413E_A8E3_A720E03C04B7</v>
      </c>
      <c r="C53" s="28" t="str">
        <f>EdgesData[[#This Row],[Node B ID]]</f>
        <v>n02B81E29_1266_4611_897E_FD90C5DD5788</v>
      </c>
      <c r="D53" s="4" t="str">
        <f>EdgesData[[#This Row],[Rel]]</f>
        <v>committed by</v>
      </c>
      <c r="E53" s="26" t="str" cm="1">
        <f t="array" ref="E53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4" spans="1:5" ht="13.9" thickTop="1" thickBot="1" x14ac:dyDescent="0.4">
      <c r="A54" s="28" t="str">
        <f>EdgesData[[#This Row],[Edge ID]]</f>
        <v>n13EF72AA_08CA_410B_B24C_89AAA3D27701</v>
      </c>
      <c r="B54" s="28" t="str">
        <f>EdgesData[[#This Row],[Node A ID]]</f>
        <v>nE9C9661B_8C28_413E_A8E3_A720E03C04B7</v>
      </c>
      <c r="C54" s="28" t="str">
        <f>EdgesData[[#This Row],[Node B ID]]</f>
        <v>n89FBB4A6_DF18_465F_9DA3_BD367759F09E</v>
      </c>
      <c r="D54" s="4" t="str">
        <f>EdgesData[[#This Row],[Rel]]</f>
        <v>victimize</v>
      </c>
      <c r="E54" s="26" t="str" cm="1">
        <f t="array" ref="E54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5" spans="1:5" ht="13.9" thickTop="1" thickBot="1" x14ac:dyDescent="0.4">
      <c r="A55" s="28" t="str">
        <f>EdgesData[[#This Row],[Edge ID]]</f>
        <v>nB26195B6_F9CB_4615_844F_03A801F54319</v>
      </c>
      <c r="B55" s="28" t="str">
        <f>EdgesData[[#This Row],[Node A ID]]</f>
        <v>n02B81E29_1266_4611_897E_FD90C5DD5788</v>
      </c>
      <c r="C55" s="28" t="str">
        <f>EdgesData[[#This Row],[Node B ID]]</f>
        <v>nF28EF766_A810_4024_A03F_F62A899E2EE6</v>
      </c>
      <c r="D55" s="4" t="str">
        <f>EdgesData[[#This Row],[Rel]]</f>
        <v>control</v>
      </c>
      <c r="E55" s="26" t="str" cm="1">
        <f t="array" ref="E55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,{"id":"nB26195B6_F9CB_4615_844F_03A801F54319","from":"n02B81E29_1266_4611_897E_FD90C5DD5788","to":"nF28EF766_A810_4024_A03F_F62A899E2EE6","label":"control"}</v>
      </c>
    </row>
    <row r="56" spans="1:5" ht="13.9" thickTop="1" thickBot="1" x14ac:dyDescent="0.4">
      <c r="A56" s="28" t="str">
        <f>EdgesData[[#This Row],[Edge ID]]</f>
        <v>n7E6F3531_1C90_4207_87E3_03DC75297CD1</v>
      </c>
      <c r="B56" s="28" t="str">
        <f>EdgesData[[#This Row],[Node A ID]]</f>
        <v>n89FBB4A6_DF18_465F_9DA3_BD367759F09E</v>
      </c>
      <c r="C56" s="28" t="str">
        <f>EdgesData[[#This Row],[Node B ID]]</f>
        <v>nF28EF766_A810_4024_A03F_F62A899E2EE6</v>
      </c>
      <c r="D56" s="4" t="str">
        <f>EdgesData[[#This Row],[Rel]]</f>
        <v>owns</v>
      </c>
      <c r="E56" s="26" t="str" cm="1">
        <f t="array" ref="E56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,{"id":"n7E6F3531_1C90_4207_87E3_03DC75297CD1","from":"n89FBB4A6_DF18_465F_9DA3_BD367759F09E","to":"nF28EF766_A810_4024_A03F_F62A899E2EE6","label":"owns"}</v>
      </c>
    </row>
    <row r="57" spans="1:5" ht="13.9" thickTop="1" thickBot="1" x14ac:dyDescent="0.4">
      <c r="A57" s="28" t="str">
        <f>EdgesData[[#This Row],[Edge ID]]</f>
        <v>n486B9FB2_ED32_4106_B93F_8269064F6641</v>
      </c>
      <c r="B57" s="28" t="str">
        <f>EdgesData[[#This Row],[Node A ID]]</f>
        <v>n02B81E29_1266_4611_897E_FD90C5DD5788</v>
      </c>
      <c r="C57" s="28" t="str">
        <f>EdgesData[[#This Row],[Node B ID]]</f>
        <v>n89FBB4A6_DF18_465F_9DA3_BD367759F09E</v>
      </c>
      <c r="D57" s="4" t="str">
        <f>EdgesData[[#This Row],[Rel]]</f>
        <v>distinct from</v>
      </c>
      <c r="E57" s="26" t="str" cm="1">
        <f t="array" ref="E57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8" spans="1:5" ht="13.9" thickTop="1" thickBot="1" x14ac:dyDescent="0.4">
      <c r="A58" s="28" t="str">
        <f>EdgesData[[#This Row],[Edge ID]]</f>
        <v>nB02D7F5B_26E1_4631_97FB_9B92CB3DD9A1</v>
      </c>
      <c r="B58" s="28" t="str">
        <f>EdgesData[[#This Row],[Node A ID]]</f>
        <v>n02B81E29_1266_4611_897E_FD90C5DD5788</v>
      </c>
      <c r="C58" s="28" t="str">
        <f>EdgesData[[#This Row],[Node B ID]]</f>
        <v>n52564682_5FAD_48CB_A320_6CFE17950D03</v>
      </c>
      <c r="D58" s="4" t="str">
        <f>EdgesData[[#This Row],[Rel]]</f>
        <v>may be motivated by</v>
      </c>
      <c r="E58" s="26" t="str" cm="1">
        <f t="array" ref="E58">IF(ROW(EdgesJSON[[#This Row],[id]])&gt;ROW(EdgesJSON[[#Headers],[JSON]])+1,",","") &amp;"{"&amp;twoRangesToJSON(EdgesJSON[[#Headers],[id]:[label]],EdgesJSON[[#This Row],[id]:[label]])&amp;"}"</f>
        <v>,{"id":"nB02D7F5B_26E1_4631_97FB_9B92CB3DD9A1","from":"n02B81E29_1266_4611_897E_FD90C5DD5788","to":"n52564682_5FAD_48CB_A320_6CFE17950D03","label":"may be motivated by"}</v>
      </c>
    </row>
    <row r="59" spans="1:5" ht="13.9" thickTop="1" thickBot="1" x14ac:dyDescent="0.4">
      <c r="A59" s="28" t="str">
        <f>EdgesData[[#This Row],[Edge ID]]</f>
        <v>nD595CAD7_ED6F_44F0_86BB_0C88B965A46D</v>
      </c>
      <c r="B59" s="28" t="str">
        <f>EdgesData[[#This Row],[Node A ID]]</f>
        <v>n02B81E29_1266_4611_897E_FD90C5DD5788</v>
      </c>
      <c r="C59" s="28" t="str">
        <f>EdgesData[[#This Row],[Node B ID]]</f>
        <v>nA59D49F8_3819_4341_A310_19C77AB08AAB</v>
      </c>
      <c r="D59" s="4" t="str">
        <f>EdgesData[[#This Row],[Rel]]</f>
        <v>may be motivated by</v>
      </c>
      <c r="E59" s="26" t="str" cm="1">
        <f t="array" ref="E59">IF(ROW(EdgesJSON[[#This Row],[id]])&gt;ROW(EdgesJSON[[#Headers],[JSON]])+1,",","") &amp;"{"&amp;twoRangesToJSON(EdgesJSON[[#Headers],[id]:[label]],EdgesJSON[[#This Row],[id]:[label]])&amp;"}"</f>
        <v>,{"id":"nD595CAD7_ED6F_44F0_86BB_0C88B965A46D","from":"n02B81E29_1266_4611_897E_FD90C5DD5788","to":"nA59D49F8_3819_4341_A310_19C77AB08AAB","label":"may be motivated by"}</v>
      </c>
    </row>
    <row r="60" spans="1:5" ht="13.9" thickTop="1" thickBot="1" x14ac:dyDescent="0.4">
      <c r="A60" s="28" t="str">
        <f>EdgesData[[#This Row],[Edge ID]]</f>
        <v>n0D36835E_CF22_467A_933C_A4A55A23D57C</v>
      </c>
      <c r="B60" s="28" t="str">
        <f>EdgesData[[#This Row],[Node A ID]]</f>
        <v>n02B81E29_1266_4611_897E_FD90C5DD5788</v>
      </c>
      <c r="C60" s="28" t="str">
        <f>EdgesData[[#This Row],[Node B ID]]</f>
        <v>nC0AF8721_A868_4A4D_9F85_3A6D9B88B489</v>
      </c>
      <c r="D60" s="4" t="str">
        <f>EdgesData[[#This Row],[Rel]]</f>
        <v>may be motivated by</v>
      </c>
      <c r="E60" s="26" t="str" cm="1">
        <f t="array" ref="E60">IF(ROW(EdgesJSON[[#This Row],[id]])&gt;ROW(EdgesJSON[[#Headers],[JSON]])+1,",","") &amp;"{"&amp;twoRangesToJSON(EdgesJSON[[#Headers],[id]:[label]],EdgesJSON[[#This Row],[id]:[label]])&amp;"}"</f>
        <v>,{"id":"n0D36835E_CF22_467A_933C_A4A55A23D57C","from":"n02B81E29_1266_4611_897E_FD90C5DD5788","to":"nC0AF8721_A868_4A4D_9F85_3A6D9B88B489","label":"may be motivated by"}</v>
      </c>
    </row>
    <row r="61" spans="1:5" ht="13.9" thickTop="1" thickBot="1" x14ac:dyDescent="0.4">
      <c r="A61" s="28" t="str">
        <f>EdgesData[[#This Row],[Edge ID]]</f>
        <v>nCB175E38_E6C9_499C_9540_9A5CB69E8E36</v>
      </c>
      <c r="B61" s="28" t="str">
        <f>EdgesData[[#This Row],[Node A ID]]</f>
        <v>n02B81E29_1266_4611_897E_FD90C5DD5788</v>
      </c>
      <c r="C61" s="28" t="str">
        <f>EdgesData[[#This Row],[Node B ID]]</f>
        <v>n4E7B27FA_8562_4EC8_869A_378A5937334A</v>
      </c>
      <c r="D61" s="4" t="str">
        <f>EdgesData[[#This Row],[Rel]]</f>
        <v>has not</v>
      </c>
      <c r="E61" s="26" t="str" cm="1">
        <f t="array" ref="E61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2" spans="1:5" ht="13.9" thickTop="1" thickBot="1" x14ac:dyDescent="0.4">
      <c r="A62" s="28" t="str">
        <f>EdgesData[[#This Row],[Edge ID]]</f>
        <v>n17260B5F_F54A_4609_A340_8AF19FDCD912</v>
      </c>
      <c r="B62" s="28" t="str">
        <f>EdgesData[[#This Row],[Node A ID]]</f>
        <v>n89FBB4A6_DF18_465F_9DA3_BD367759F09E</v>
      </c>
      <c r="C62" s="28" t="str">
        <f>EdgesData[[#This Row],[Node B ID]]</f>
        <v>n4E7B27FA_8562_4EC8_869A_378A5937334A</v>
      </c>
      <c r="D62" s="4" t="str">
        <f>EdgesData[[#This Row],[Rel]]</f>
        <v>has not</v>
      </c>
      <c r="E62" s="26" t="str" cm="1">
        <f t="array" ref="E62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 not"}</v>
      </c>
    </row>
    <row r="63" spans="1:5" ht="13.9" thickTop="1" thickBot="1" x14ac:dyDescent="0.4">
      <c r="A63" s="28" t="str">
        <f>EdgesData[[#This Row],[Edge ID]]</f>
        <v>n0C8BC5FF_37C2_4FD1_990A_A9B822774FB2</v>
      </c>
      <c r="B63" s="28" t="str">
        <f>EdgesData[[#This Row],[Node A ID]]</f>
        <v>nE9C9661B_8C28_413E_A8E3_A720E03C04B7</v>
      </c>
      <c r="C63" s="28" t="str">
        <f>EdgesData[[#This Row],[Node B ID]]</f>
        <v>nE0352234_7814_467F_8B8B_EF900BACC357</v>
      </c>
      <c r="D63" s="4" t="str">
        <f>EdgesData[[#This Row],[Rel]]</f>
        <v>is</v>
      </c>
      <c r="E63" s="26" t="str" cm="1">
        <f t="array" ref="E63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4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2021-07-11T04:32:36Z</dcterms:modified>
</cp:coreProperties>
</file>