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858EFD15-7A0A-4FA1-B868-A21DA8ED7EF6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91" i="3" l="1"/>
  <c r="D492" i="3"/>
  <c r="D493" i="3"/>
  <c r="D494" i="3"/>
  <c r="D495" i="3"/>
  <c r="D496" i="3"/>
  <c r="D497" i="3"/>
  <c r="D498" i="3"/>
  <c r="D499" i="3"/>
  <c r="D490" i="3"/>
  <c r="A69" i="14"/>
  <c r="B69" i="14"/>
  <c r="C69" i="14"/>
  <c r="D69" i="14"/>
  <c r="A68" i="14"/>
  <c r="B68" i="14"/>
  <c r="C68" i="14"/>
  <c r="D68" i="14"/>
  <c r="A67" i="14"/>
  <c r="B67" i="14"/>
  <c r="C67" i="14"/>
  <c r="D67" i="14"/>
  <c r="A66" i="14"/>
  <c r="B66" i="14"/>
  <c r="C66" i="14"/>
  <c r="D66" i="14"/>
  <c r="A65" i="14"/>
  <c r="B65" i="14"/>
  <c r="C65" i="14"/>
  <c r="D65" i="14"/>
  <c r="A64" i="14"/>
  <c r="B64" i="14"/>
  <c r="C64" i="14"/>
  <c r="D64" i="14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B63" i="13"/>
  <c r="B63" i="14" s="1"/>
  <c r="G63" i="13"/>
  <c r="C63" i="14" s="1"/>
  <c r="B62" i="13"/>
  <c r="B62" i="14" s="1"/>
  <c r="G62" i="13"/>
  <c r="C62" i="14" s="1"/>
  <c r="B61" i="13"/>
  <c r="B61" i="14" s="1"/>
  <c r="G61" i="13"/>
  <c r="C61" i="14" s="1"/>
  <c r="B60" i="13"/>
  <c r="B60" i="14" s="1"/>
  <c r="G60" i="13"/>
  <c r="C60" i="14" s="1"/>
  <c r="B59" i="13"/>
  <c r="B59" i="14" s="1"/>
  <c r="G59" i="13"/>
  <c r="C59" i="14" s="1"/>
  <c r="B58" i="13"/>
  <c r="B58" i="14" s="1"/>
  <c r="G58" i="13"/>
  <c r="C58" i="14" s="1"/>
  <c r="B57" i="13"/>
  <c r="B57" i="14" s="1"/>
  <c r="G57" i="13"/>
  <c r="C57" i="14" s="1"/>
  <c r="B56" i="13"/>
  <c r="B56" i="14" s="1"/>
  <c r="G56" i="13"/>
  <c r="C56" i="14" s="1"/>
  <c r="B55" i="13"/>
  <c r="B55" i="14" s="1"/>
  <c r="G55" i="13"/>
  <c r="C55" i="14" s="1"/>
  <c r="B54" i="13"/>
  <c r="B54" i="14" s="1"/>
  <c r="G54" i="13"/>
  <c r="C54" i="14" s="1"/>
  <c r="B53" i="13"/>
  <c r="B53" i="14" s="1"/>
  <c r="G53" i="13"/>
  <c r="C53" i="14" s="1"/>
  <c r="B52" i="13"/>
  <c r="B52" i="14" s="1"/>
  <c r="G52" i="13"/>
  <c r="C52" i="14" s="1"/>
  <c r="B51" i="13"/>
  <c r="B51" i="14" s="1"/>
  <c r="G51" i="13"/>
  <c r="C51" i="14" s="1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B489" i="12"/>
  <c r="A488" i="12"/>
  <c r="B488" i="12"/>
  <c r="A487" i="12"/>
  <c r="B487" i="12"/>
  <c r="A486" i="12"/>
  <c r="B486" i="12"/>
  <c r="A485" i="12"/>
  <c r="B485" i="12"/>
  <c r="D94" i="3"/>
  <c r="D78" i="3"/>
  <c r="D77" i="3"/>
  <c r="D76" i="3"/>
  <c r="D75" i="3"/>
  <c r="A484" i="12"/>
  <c r="B484" i="12"/>
  <c r="A483" i="12"/>
  <c r="B483" i="12"/>
  <c r="A482" i="12"/>
  <c r="B482" i="12"/>
  <c r="A481" i="12"/>
  <c r="B481" i="12"/>
  <c r="A480" i="12"/>
  <c r="B480" i="12"/>
  <c r="A479" i="12"/>
  <c r="B479" i="12"/>
  <c r="A478" i="12"/>
  <c r="B478" i="12"/>
  <c r="A477" i="12"/>
  <c r="B477" i="12"/>
  <c r="A476" i="12"/>
  <c r="B476" i="12"/>
  <c r="D3" i="14"/>
  <c r="A3" i="14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D99" i="3"/>
  <c r="D432" i="3"/>
  <c r="D124" i="3"/>
  <c r="D246" i="3"/>
  <c r="D247" i="3"/>
  <c r="D161" i="3"/>
  <c r="D119" i="3"/>
  <c r="D245" i="3"/>
  <c r="G3" i="13"/>
  <c r="G34" i="13"/>
  <c r="C34" i="14" s="1"/>
  <c r="G5" i="13"/>
  <c r="C5" i="14" s="1"/>
  <c r="G6" i="13"/>
  <c r="C6" i="14" s="1"/>
  <c r="G7" i="13"/>
  <c r="C7" i="14" s="1"/>
  <c r="G12" i="13"/>
  <c r="C12" i="14" s="1"/>
  <c r="G32" i="13"/>
  <c r="C32" i="14" s="1"/>
  <c r="G29" i="13"/>
  <c r="C29" i="14" s="1"/>
  <c r="G30" i="13"/>
  <c r="C30" i="14" s="1"/>
  <c r="G31" i="13"/>
  <c r="C31" i="14" s="1"/>
  <c r="G33" i="13"/>
  <c r="C33" i="14" s="1"/>
  <c r="G4" i="13"/>
  <c r="C4" i="14" s="1"/>
  <c r="G8" i="13"/>
  <c r="C8" i="14" s="1"/>
  <c r="G9" i="13"/>
  <c r="C9" i="14" s="1"/>
  <c r="G13" i="13"/>
  <c r="C13" i="14" s="1"/>
  <c r="G14" i="13"/>
  <c r="C14" i="14" s="1"/>
  <c r="G15" i="13"/>
  <c r="C15" i="14" s="1"/>
  <c r="G16" i="13"/>
  <c r="C16" i="14" s="1"/>
  <c r="G17" i="13"/>
  <c r="C17" i="14" s="1"/>
  <c r="G18" i="13"/>
  <c r="C18" i="14" s="1"/>
  <c r="G19" i="13"/>
  <c r="C19" i="14" s="1"/>
  <c r="G20" i="13"/>
  <c r="C20" i="14" s="1"/>
  <c r="G21" i="13"/>
  <c r="C21" i="14" s="1"/>
  <c r="G22" i="13"/>
  <c r="C22" i="14" s="1"/>
  <c r="G23" i="13"/>
  <c r="C23" i="14" s="1"/>
  <c r="G24" i="13"/>
  <c r="C24" i="14" s="1"/>
  <c r="G25" i="13"/>
  <c r="C25" i="14" s="1"/>
  <c r="G35" i="13"/>
  <c r="C35" i="14" s="1"/>
  <c r="G36" i="13"/>
  <c r="C36" i="14" s="1"/>
  <c r="G37" i="13"/>
  <c r="C37" i="14" s="1"/>
  <c r="G38" i="13"/>
  <c r="C38" i="14" s="1"/>
  <c r="G39" i="13"/>
  <c r="C39" i="14" s="1"/>
  <c r="G40" i="13"/>
  <c r="C40" i="14" s="1"/>
  <c r="G41" i="13"/>
  <c r="C41" i="14" s="1"/>
  <c r="G42" i="13"/>
  <c r="C42" i="14" s="1"/>
  <c r="G43" i="13"/>
  <c r="C43" i="14" s="1"/>
  <c r="G44" i="13"/>
  <c r="C44" i="14" s="1"/>
  <c r="G45" i="13"/>
  <c r="C45" i="14" s="1"/>
  <c r="G46" i="13"/>
  <c r="C46" i="14" s="1"/>
  <c r="G47" i="13"/>
  <c r="C47" i="14" s="1"/>
  <c r="G48" i="13"/>
  <c r="C48" i="14" s="1"/>
  <c r="G49" i="13"/>
  <c r="C49" i="14" s="1"/>
  <c r="G50" i="13"/>
  <c r="C50" i="14" s="1"/>
  <c r="B50" i="13"/>
  <c r="B50" i="14" s="1"/>
  <c r="B49" i="13"/>
  <c r="B49" i="14" s="1"/>
  <c r="B48" i="13"/>
  <c r="B48" i="14" s="1"/>
  <c r="B47" i="13"/>
  <c r="B47" i="14" s="1"/>
  <c r="B46" i="13"/>
  <c r="B46" i="14" s="1"/>
  <c r="B45" i="13"/>
  <c r="B45" i="14" s="1"/>
  <c r="B44" i="13"/>
  <c r="B44" i="14" s="1"/>
  <c r="B43" i="13"/>
  <c r="B43" i="14" s="1"/>
  <c r="B42" i="13"/>
  <c r="B42" i="14" s="1"/>
  <c r="B41" i="13"/>
  <c r="B41" i="14" s="1"/>
  <c r="B40" i="13"/>
  <c r="B40" i="14" s="1"/>
  <c r="B39" i="13"/>
  <c r="B39" i="14" s="1"/>
  <c r="B38" i="13"/>
  <c r="B38" i="14" s="1"/>
  <c r="B37" i="13"/>
  <c r="B37" i="14" s="1"/>
  <c r="B36" i="13"/>
  <c r="B36" i="14" s="1"/>
  <c r="B35" i="13"/>
  <c r="B35" i="14" s="1"/>
  <c r="B25" i="13"/>
  <c r="B25" i="14" s="1"/>
  <c r="B24" i="13"/>
  <c r="B24" i="14" s="1"/>
  <c r="B23" i="13"/>
  <c r="B23" i="14" s="1"/>
  <c r="B22" i="13"/>
  <c r="B22" i="14" s="1"/>
  <c r="B21" i="13"/>
  <c r="B21" i="14" s="1"/>
  <c r="B20" i="13"/>
  <c r="B20" i="14" s="1"/>
  <c r="B19" i="13"/>
  <c r="B19" i="14" s="1"/>
  <c r="B18" i="13"/>
  <c r="B18" i="14" s="1"/>
  <c r="B17" i="13"/>
  <c r="B17" i="14" s="1"/>
  <c r="B16" i="13"/>
  <c r="B16" i="14" s="1"/>
  <c r="B15" i="13"/>
  <c r="B15" i="14" s="1"/>
  <c r="B14" i="13"/>
  <c r="B14" i="14" s="1"/>
  <c r="B13" i="13"/>
  <c r="B13" i="14" s="1"/>
  <c r="B9" i="13"/>
  <c r="B9" i="14" s="1"/>
  <c r="B8" i="13"/>
  <c r="B8" i="14" s="1"/>
  <c r="B4" i="13"/>
  <c r="B4" i="14" s="1"/>
  <c r="B33" i="13"/>
  <c r="B33" i="14" s="1"/>
  <c r="B31" i="13"/>
  <c r="B31" i="14" s="1"/>
  <c r="B30" i="13"/>
  <c r="B30" i="14" s="1"/>
  <c r="B29" i="13"/>
  <c r="B29" i="14" s="1"/>
  <c r="B32" i="13"/>
  <c r="B32" i="14" s="1"/>
  <c r="B11" i="13"/>
  <c r="B11" i="14" s="1"/>
  <c r="B10" i="13"/>
  <c r="B10" i="14" s="1"/>
  <c r="B27" i="13"/>
  <c r="B27" i="14" s="1"/>
  <c r="B26" i="13"/>
  <c r="B26" i="14" s="1"/>
  <c r="B28" i="13"/>
  <c r="B12" i="13"/>
  <c r="B12" i="14" s="1"/>
  <c r="B7" i="13"/>
  <c r="B7" i="14" s="1"/>
  <c r="B6" i="13"/>
  <c r="B6" i="14" s="1"/>
  <c r="B5" i="13"/>
  <c r="B5" i="14" s="1"/>
  <c r="B34" i="13"/>
  <c r="B34" i="14" s="1"/>
  <c r="B3" i="13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D3" i="3"/>
  <c r="D468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6" i="3"/>
  <c r="D467" i="3"/>
  <c r="D449" i="3"/>
  <c r="D465" i="3"/>
  <c r="D464" i="3"/>
  <c r="D463" i="3"/>
  <c r="D462" i="3"/>
  <c r="D461" i="3"/>
  <c r="D460" i="3"/>
  <c r="D459" i="3"/>
  <c r="D457" i="3"/>
  <c r="D456" i="3"/>
  <c r="D455" i="3"/>
  <c r="D454" i="3"/>
  <c r="D458" i="3"/>
  <c r="D453" i="3"/>
  <c r="D452" i="3"/>
  <c r="D451" i="3"/>
  <c r="D450" i="3"/>
  <c r="D435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4" i="3"/>
  <c r="D431" i="3"/>
  <c r="D433" i="3"/>
  <c r="D417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4" i="3"/>
  <c r="D416" i="3"/>
  <c r="D415" i="3"/>
  <c r="D401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396" i="3"/>
  <c r="D400" i="3"/>
  <c r="D399" i="3"/>
  <c r="D398" i="3"/>
  <c r="D397" i="3"/>
  <c r="D389" i="3"/>
  <c r="D395" i="3"/>
  <c r="D394" i="3"/>
  <c r="D393" i="3"/>
  <c r="D392" i="3"/>
  <c r="D391" i="3"/>
  <c r="D390" i="3"/>
  <c r="D362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69" i="3"/>
  <c r="D368" i="3"/>
  <c r="D367" i="3"/>
  <c r="D366" i="3"/>
  <c r="D365" i="3"/>
  <c r="D364" i="3"/>
  <c r="D370" i="3"/>
  <c r="D363" i="3"/>
  <c r="D353" i="3"/>
  <c r="D361" i="3"/>
  <c r="D360" i="3"/>
  <c r="D359" i="3"/>
  <c r="D358" i="3"/>
  <c r="D357" i="3"/>
  <c r="D356" i="3"/>
  <c r="D355" i="3"/>
  <c r="D354" i="3"/>
  <c r="D350" i="3"/>
  <c r="D352" i="3"/>
  <c r="D351" i="3"/>
  <c r="D345" i="3"/>
  <c r="D349" i="3"/>
  <c r="D348" i="3"/>
  <c r="D347" i="3"/>
  <c r="D346" i="3"/>
  <c r="D324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0" i="3"/>
  <c r="D323" i="3"/>
  <c r="D322" i="3"/>
  <c r="D321" i="3"/>
  <c r="D319" i="3"/>
  <c r="D318" i="3"/>
  <c r="D317" i="3"/>
  <c r="D316" i="3"/>
  <c r="D315" i="3"/>
  <c r="D313" i="3"/>
  <c r="D314" i="3"/>
  <c r="D311" i="3"/>
  <c r="D312" i="3"/>
  <c r="D294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1" i="3"/>
  <c r="D293" i="3"/>
  <c r="D292" i="3"/>
  <c r="D285" i="3"/>
  <c r="D290" i="3"/>
  <c r="D289" i="3"/>
  <c r="D288" i="3"/>
  <c r="D287" i="3"/>
  <c r="D286" i="3"/>
  <c r="D283" i="3"/>
  <c r="D284" i="3"/>
  <c r="D282" i="3"/>
  <c r="D281" i="3"/>
  <c r="D260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58" i="3"/>
  <c r="D259" i="3"/>
  <c r="D242" i="3"/>
  <c r="D257" i="3"/>
  <c r="D256" i="3"/>
  <c r="D255" i="3"/>
  <c r="D254" i="3"/>
  <c r="D253" i="3"/>
  <c r="D252" i="3"/>
  <c r="D251" i="3"/>
  <c r="D250" i="3"/>
  <c r="D249" i="3"/>
  <c r="D248" i="3"/>
  <c r="D244" i="3"/>
  <c r="D243" i="3"/>
  <c r="D224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186" i="3"/>
  <c r="D223" i="3"/>
  <c r="D222" i="3"/>
  <c r="D221" i="3"/>
  <c r="D220" i="3"/>
  <c r="D217" i="3"/>
  <c r="D216" i="3"/>
  <c r="D215" i="3"/>
  <c r="D214" i="3"/>
  <c r="D213" i="3"/>
  <c r="D212" i="3"/>
  <c r="D211" i="3"/>
  <c r="D210" i="3"/>
  <c r="D209" i="3"/>
  <c r="D208" i="3"/>
  <c r="D207" i="3"/>
  <c r="D219" i="3"/>
  <c r="D206" i="3"/>
  <c r="D205" i="3"/>
  <c r="D218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5" i="3"/>
  <c r="D183" i="3"/>
  <c r="D184" i="3"/>
  <c r="D182" i="3"/>
  <c r="D181" i="3"/>
  <c r="D178" i="3"/>
  <c r="D180" i="3"/>
  <c r="D179" i="3"/>
  <c r="D171" i="3"/>
  <c r="D177" i="3"/>
  <c r="D176" i="3"/>
  <c r="D175" i="3"/>
  <c r="D174" i="3"/>
  <c r="D173" i="3"/>
  <c r="D172" i="3"/>
  <c r="D162" i="3"/>
  <c r="D170" i="3"/>
  <c r="D169" i="3"/>
  <c r="D168" i="3"/>
  <c r="D167" i="3"/>
  <c r="D166" i="3"/>
  <c r="D165" i="3"/>
  <c r="D164" i="3"/>
  <c r="D163" i="3"/>
  <c r="D140" i="3"/>
  <c r="D160" i="3"/>
  <c r="D159" i="3"/>
  <c r="D158" i="3"/>
  <c r="D157" i="3"/>
  <c r="D156" i="3"/>
  <c r="D155" i="3"/>
  <c r="D154" i="3"/>
  <c r="D152" i="3"/>
  <c r="D151" i="3"/>
  <c r="D150" i="3"/>
  <c r="D153" i="3"/>
  <c r="D149" i="3"/>
  <c r="D148" i="3"/>
  <c r="D147" i="3"/>
  <c r="D146" i="3"/>
  <c r="D145" i="3"/>
  <c r="D144" i="3"/>
  <c r="D143" i="3"/>
  <c r="D141" i="3"/>
  <c r="D142" i="3"/>
  <c r="D135" i="3"/>
  <c r="D139" i="3"/>
  <c r="D138" i="3"/>
  <c r="D137" i="3"/>
  <c r="D136" i="3"/>
  <c r="D98" i="3"/>
  <c r="D134" i="3"/>
  <c r="D133" i="3"/>
  <c r="D132" i="3"/>
  <c r="D131" i="3"/>
  <c r="D130" i="3"/>
  <c r="D128" i="3"/>
  <c r="D127" i="3"/>
  <c r="D129" i="3"/>
  <c r="D125" i="3"/>
  <c r="D123" i="3"/>
  <c r="D122" i="3"/>
  <c r="D126" i="3"/>
  <c r="D121" i="3"/>
  <c r="D120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88" i="3"/>
  <c r="D97" i="3"/>
  <c r="D96" i="3"/>
  <c r="D95" i="3"/>
  <c r="D93" i="3"/>
  <c r="D92" i="3"/>
  <c r="D91" i="3"/>
  <c r="D90" i="3"/>
  <c r="D89" i="3"/>
  <c r="D81" i="3"/>
  <c r="D87" i="3"/>
  <c r="D86" i="3"/>
  <c r="D85" i="3"/>
  <c r="D84" i="3"/>
  <c r="D83" i="3"/>
  <c r="D82" i="3"/>
  <c r="D69" i="3"/>
  <c r="D80" i="3"/>
  <c r="D79" i="3"/>
  <c r="D74" i="3"/>
  <c r="D73" i="3"/>
  <c r="D72" i="3"/>
  <c r="D71" i="3"/>
  <c r="D70" i="3"/>
  <c r="D63" i="3"/>
  <c r="D68" i="3"/>
  <c r="D67" i="3"/>
  <c r="D66" i="3"/>
  <c r="D65" i="3"/>
  <c r="D64" i="3"/>
  <c r="D61" i="3"/>
  <c r="D62" i="3"/>
  <c r="D58" i="3"/>
  <c r="D60" i="3"/>
  <c r="D59" i="3"/>
  <c r="D47" i="3"/>
  <c r="D57" i="3"/>
  <c r="D56" i="3"/>
  <c r="D55" i="3"/>
  <c r="D54" i="3"/>
  <c r="D53" i="3"/>
  <c r="D52" i="3"/>
  <c r="D51" i="3"/>
  <c r="D50" i="3"/>
  <c r="D49" i="3"/>
  <c r="D48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2" i="3"/>
  <c r="D31" i="3"/>
  <c r="D30" i="3"/>
  <c r="D33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D489" i="12" a="1"/>
  <c r="D488" i="12" a="1"/>
  <c r="D487" i="12" a="1"/>
  <c r="D486" i="12" a="1"/>
  <c r="D485" i="12" a="1"/>
  <c r="F78" i="3" a="1"/>
  <c r="F94" i="3" a="1"/>
  <c r="F77" i="3" a="1"/>
  <c r="F75" i="3" a="1"/>
  <c r="F76" i="3" a="1"/>
  <c r="D484" i="12" a="1"/>
  <c r="D483" i="12" a="1"/>
  <c r="D482" i="12" a="1"/>
  <c r="D481" i="12" a="1"/>
  <c r="D480" i="12" a="1"/>
  <c r="D479" i="12" a="1"/>
  <c r="D478" i="12" a="1"/>
  <c r="D477" i="12" a="1"/>
  <c r="D476" i="12" a="1"/>
  <c r="F432" i="3" a="1"/>
  <c r="F99" i="3" a="1"/>
  <c r="F124" i="3" a="1"/>
  <c r="F247" i="3" a="1"/>
  <c r="F246" i="3" a="1"/>
  <c r="F161" i="3" a="1"/>
  <c r="F3" i="3" a="1"/>
  <c r="F7" i="3" a="1"/>
  <c r="F11" i="3" a="1"/>
  <c r="F15" i="3" a="1"/>
  <c r="F19" i="3" a="1"/>
  <c r="F23" i="3" a="1"/>
  <c r="F27" i="3" a="1"/>
  <c r="F30" i="3" a="1"/>
  <c r="F35" i="3" a="1"/>
  <c r="F39" i="3" a="1"/>
  <c r="F43" i="3" a="1"/>
  <c r="F48" i="3" a="1"/>
  <c r="F52" i="3" a="1"/>
  <c r="F56" i="3" a="1"/>
  <c r="F60" i="3" a="1"/>
  <c r="F64" i="3" a="1"/>
  <c r="F68" i="3" a="1"/>
  <c r="F72" i="3" a="1"/>
  <c r="F80" i="3" a="1"/>
  <c r="F84" i="3" a="1"/>
  <c r="F81" i="3" a="1"/>
  <c r="F92" i="3" a="1"/>
  <c r="F97" i="3" a="1"/>
  <c r="F102" i="3" a="1"/>
  <c r="F106" i="3" a="1"/>
  <c r="F110" i="3" a="1"/>
  <c r="F114" i="3" a="1"/>
  <c r="F118" i="3" a="1"/>
  <c r="F122" i="3" a="1"/>
  <c r="F127" i="3" a="1"/>
  <c r="F132" i="3" a="1"/>
  <c r="F136" i="3" a="1"/>
  <c r="F135" i="3" a="1"/>
  <c r="F144" i="3" a="1"/>
  <c r="F148" i="3" a="1"/>
  <c r="F151" i="3" a="1"/>
  <c r="F156" i="3" a="1"/>
  <c r="F160" i="3" a="1"/>
  <c r="F165" i="3" a="1"/>
  <c r="F169" i="3" a="1"/>
  <c r="F173" i="3" a="1"/>
  <c r="F177" i="3" a="1"/>
  <c r="F178" i="3" a="1"/>
  <c r="F184" i="3" a="1"/>
  <c r="F185" i="3" a="1"/>
  <c r="F188" i="3" a="1"/>
  <c r="F190" i="3" a="1"/>
  <c r="F192" i="3" a="1"/>
  <c r="F194" i="3" a="1"/>
  <c r="F196" i="3" a="1"/>
  <c r="F198" i="3" a="1"/>
  <c r="F200" i="3" a="1"/>
  <c r="F202" i="3" a="1"/>
  <c r="F204" i="3" a="1"/>
  <c r="F205" i="3" a="1"/>
  <c r="F219" i="3" a="1"/>
  <c r="F208" i="3" a="1"/>
  <c r="F210" i="3" a="1"/>
  <c r="F212" i="3" a="1"/>
  <c r="F214" i="3" a="1"/>
  <c r="F216" i="3" a="1"/>
  <c r="F220" i="3" a="1"/>
  <c r="F222" i="3" a="1"/>
  <c r="F186" i="3" a="1"/>
  <c r="F226" i="3" a="1"/>
  <c r="F228" i="3" a="1"/>
  <c r="F230" i="3" a="1"/>
  <c r="F232" i="3" a="1"/>
  <c r="F234" i="3" a="1"/>
  <c r="F236" i="3" a="1"/>
  <c r="F238" i="3" a="1"/>
  <c r="F240" i="3" a="1"/>
  <c r="F224" i="3" a="1"/>
  <c r="F244" i="3" a="1"/>
  <c r="F249" i="3" a="1"/>
  <c r="F251" i="3" a="1"/>
  <c r="F253" i="3" a="1"/>
  <c r="F255" i="3" a="1"/>
  <c r="F257" i="3" a="1"/>
  <c r="F259" i="3" a="1"/>
  <c r="F261" i="3" a="1"/>
  <c r="F263" i="3" a="1"/>
  <c r="F265" i="3" a="1"/>
  <c r="F267" i="3" a="1"/>
  <c r="F269" i="3" a="1"/>
  <c r="F271" i="3" a="1"/>
  <c r="F273" i="3" a="1"/>
  <c r="F275" i="3" a="1"/>
  <c r="F277" i="3" a="1"/>
  <c r="F279" i="3" a="1"/>
  <c r="F260" i="3" a="1"/>
  <c r="F282" i="3" a="1"/>
  <c r="F283" i="3" a="1"/>
  <c r="F287" i="3" a="1"/>
  <c r="F289" i="3" a="1"/>
  <c r="F285" i="3" a="1"/>
  <c r="F293" i="3" a="1"/>
  <c r="F295" i="3" a="1"/>
  <c r="F297" i="3" a="1"/>
  <c r="F299" i="3" a="1"/>
  <c r="F301" i="3" a="1"/>
  <c r="F303" i="3" a="1"/>
  <c r="F305" i="3" a="1"/>
  <c r="F307" i="3" a="1"/>
  <c r="F309" i="3" a="1"/>
  <c r="F294" i="3" a="1"/>
  <c r="F311" i="3" a="1"/>
  <c r="F313" i="3" a="1"/>
  <c r="F316" i="3" a="1"/>
  <c r="F318" i="3" a="1"/>
  <c r="F321" i="3" a="1"/>
  <c r="F323" i="3" a="1"/>
  <c r="F325" i="3" a="1"/>
  <c r="F327" i="3" a="1"/>
  <c r="F329" i="3" a="1"/>
  <c r="F331" i="3" a="1"/>
  <c r="F333" i="3" a="1"/>
  <c r="F335" i="3" a="1"/>
  <c r="F337" i="3" a="1"/>
  <c r="F339" i="3" a="1"/>
  <c r="F341" i="3" a="1"/>
  <c r="F343" i="3" a="1"/>
  <c r="F324" i="3" a="1"/>
  <c r="F347" i="3" a="1"/>
  <c r="F349" i="3" a="1"/>
  <c r="F351" i="3" a="1"/>
  <c r="F350" i="3" a="1"/>
  <c r="F4" i="3" a="1"/>
  <c r="F8" i="3" a="1"/>
  <c r="F12" i="3" a="1"/>
  <c r="F16" i="3" a="1"/>
  <c r="F20" i="3" a="1"/>
  <c r="F24" i="3" a="1"/>
  <c r="F28" i="3" a="1"/>
  <c r="F31" i="3" a="1"/>
  <c r="F36" i="3" a="1"/>
  <c r="F40" i="3" a="1"/>
  <c r="F44" i="3" a="1"/>
  <c r="F49" i="3" a="1"/>
  <c r="F53" i="3" a="1"/>
  <c r="F57" i="3" a="1"/>
  <c r="F58" i="3" a="1"/>
  <c r="F65" i="3" a="1"/>
  <c r="F63" i="3" a="1"/>
  <c r="F73" i="3" a="1"/>
  <c r="F69" i="3" a="1"/>
  <c r="F85" i="3" a="1"/>
  <c r="F89" i="3" a="1"/>
  <c r="F93" i="3" a="1"/>
  <c r="F88" i="3" a="1"/>
  <c r="F103" i="3" a="1"/>
  <c r="F107" i="3" a="1"/>
  <c r="F111" i="3" a="1"/>
  <c r="F115" i="3" a="1"/>
  <c r="F120" i="3" a="1"/>
  <c r="F123" i="3" a="1"/>
  <c r="F128" i="3" a="1"/>
  <c r="F133" i="3" a="1"/>
  <c r="F137" i="3" a="1"/>
  <c r="F142" i="3" a="1"/>
  <c r="F145" i="3" a="1"/>
  <c r="F149" i="3" a="1"/>
  <c r="F152" i="3" a="1"/>
  <c r="F157" i="3" a="1"/>
  <c r="F140" i="3" a="1"/>
  <c r="F166" i="3" a="1"/>
  <c r="F170" i="3" a="1"/>
  <c r="F174" i="3" a="1"/>
  <c r="F171" i="3" a="1"/>
  <c r="F181" i="3" a="1"/>
  <c r="F5" i="3" a="1"/>
  <c r="F9" i="3" a="1"/>
  <c r="F13" i="3" a="1"/>
  <c r="F17" i="3" a="1"/>
  <c r="F21" i="3" a="1"/>
  <c r="F25" i="3" a="1"/>
  <c r="F29" i="3" a="1"/>
  <c r="F32" i="3" a="1"/>
  <c r="F37" i="3" a="1"/>
  <c r="F41" i="3" a="1"/>
  <c r="F45" i="3" a="1"/>
  <c r="F50" i="3" a="1"/>
  <c r="F54" i="3" a="1"/>
  <c r="F47" i="3" a="1"/>
  <c r="F62" i="3" a="1"/>
  <c r="F66" i="3" a="1"/>
  <c r="F70" i="3" a="1"/>
  <c r="F74" i="3" a="1"/>
  <c r="F82" i="3" a="1"/>
  <c r="F86" i="3" a="1"/>
  <c r="F90" i="3" a="1"/>
  <c r="F95" i="3" a="1"/>
  <c r="F100" i="3" a="1"/>
  <c r="F104" i="3" a="1"/>
  <c r="F108" i="3" a="1"/>
  <c r="F112" i="3" a="1"/>
  <c r="F116" i="3" a="1"/>
  <c r="F121" i="3" a="1"/>
  <c r="F125" i="3" a="1"/>
  <c r="F130" i="3" a="1"/>
  <c r="F134" i="3" a="1"/>
  <c r="F138" i="3" a="1"/>
  <c r="F141" i="3" a="1"/>
  <c r="F146" i="3" a="1"/>
  <c r="F153" i="3" a="1"/>
  <c r="F154" i="3" a="1"/>
  <c r="F158" i="3" a="1"/>
  <c r="F163" i="3" a="1"/>
  <c r="F167" i="3" a="1"/>
  <c r="F162" i="3" a="1"/>
  <c r="F175" i="3" a="1"/>
  <c r="F179" i="3" a="1"/>
  <c r="F182" i="3" a="1"/>
  <c r="F183" i="3" a="1"/>
  <c r="F187" i="3" a="1"/>
  <c r="F189" i="3" a="1"/>
  <c r="F191" i="3" a="1"/>
  <c r="F193" i="3" a="1"/>
  <c r="F195" i="3" a="1"/>
  <c r="F197" i="3" a="1"/>
  <c r="F199" i="3" a="1"/>
  <c r="F201" i="3" a="1"/>
  <c r="F203" i="3" a="1"/>
  <c r="F218" i="3" a="1"/>
  <c r="F206" i="3" a="1"/>
  <c r="F207" i="3" a="1"/>
  <c r="F209" i="3" a="1"/>
  <c r="F211" i="3" a="1"/>
  <c r="F213" i="3" a="1"/>
  <c r="F215" i="3" a="1"/>
  <c r="F217" i="3" a="1"/>
  <c r="F221" i="3" a="1"/>
  <c r="F223" i="3" a="1"/>
  <c r="F225" i="3" a="1"/>
  <c r="F227" i="3" a="1"/>
  <c r="F229" i="3" a="1"/>
  <c r="F231" i="3" a="1"/>
  <c r="F233" i="3" a="1"/>
  <c r="F235" i="3" a="1"/>
  <c r="F237" i="3" a="1"/>
  <c r="F239" i="3" a="1"/>
  <c r="F241" i="3" a="1"/>
  <c r="F243" i="3" a="1"/>
  <c r="F248" i="3" a="1"/>
  <c r="F250" i="3" a="1"/>
  <c r="F252" i="3" a="1"/>
  <c r="F254" i="3" a="1"/>
  <c r="F256" i="3" a="1"/>
  <c r="F242" i="3" a="1"/>
  <c r="F258" i="3" a="1"/>
  <c r="F262" i="3" a="1"/>
  <c r="F264" i="3" a="1"/>
  <c r="F266" i="3" a="1"/>
  <c r="F268" i="3" a="1"/>
  <c r="F270" i="3" a="1"/>
  <c r="F272" i="3" a="1"/>
  <c r="F274" i="3" a="1"/>
  <c r="F276" i="3" a="1"/>
  <c r="F278" i="3" a="1"/>
  <c r="F280" i="3" a="1"/>
  <c r="F281" i="3" a="1"/>
  <c r="F284" i="3" a="1"/>
  <c r="F286" i="3" a="1"/>
  <c r="F288" i="3" a="1"/>
  <c r="F290" i="3" a="1"/>
  <c r="F292" i="3" a="1"/>
  <c r="F291" i="3" a="1"/>
  <c r="F296" i="3" a="1"/>
  <c r="F298" i="3" a="1"/>
  <c r="F300" i="3" a="1"/>
  <c r="F302" i="3" a="1"/>
  <c r="F304" i="3" a="1"/>
  <c r="F306" i="3" a="1"/>
  <c r="F308" i="3" a="1"/>
  <c r="F310" i="3" a="1"/>
  <c r="F312" i="3" a="1"/>
  <c r="F314" i="3" a="1"/>
  <c r="F315" i="3" a="1"/>
  <c r="F317" i="3" a="1"/>
  <c r="F319" i="3" a="1"/>
  <c r="F322" i="3" a="1"/>
  <c r="F320" i="3" a="1"/>
  <c r="F326" i="3" a="1"/>
  <c r="F328" i="3" a="1"/>
  <c r="F330" i="3" a="1"/>
  <c r="F332" i="3" a="1"/>
  <c r="F334" i="3" a="1"/>
  <c r="F336" i="3" a="1"/>
  <c r="F338" i="3" a="1"/>
  <c r="F340" i="3" a="1"/>
  <c r="F342" i="3" a="1"/>
  <c r="F344" i="3" a="1"/>
  <c r="F346" i="3" a="1"/>
  <c r="F348" i="3" a="1"/>
  <c r="F345" i="3" a="1"/>
  <c r="F352" i="3" a="1"/>
  <c r="F354" i="3" a="1"/>
  <c r="F6" i="3" a="1"/>
  <c r="F22" i="3" a="1"/>
  <c r="F38" i="3" a="1"/>
  <c r="F55" i="3" a="1"/>
  <c r="F71" i="3" a="1"/>
  <c r="F91" i="3" a="1"/>
  <c r="F109" i="3" a="1"/>
  <c r="F129" i="3" a="1"/>
  <c r="F143" i="3" a="1"/>
  <c r="F159" i="3" a="1"/>
  <c r="F176" i="3" a="1"/>
  <c r="F10" i="3" a="1"/>
  <c r="F26" i="3" a="1"/>
  <c r="F42" i="3" a="1"/>
  <c r="F59" i="3" a="1"/>
  <c r="F79" i="3" a="1"/>
  <c r="F96" i="3" a="1"/>
  <c r="F113" i="3" a="1"/>
  <c r="F131" i="3" a="1"/>
  <c r="F147" i="3" a="1"/>
  <c r="F164" i="3" a="1"/>
  <c r="F180" i="3" a="1"/>
  <c r="F355" i="3" a="1"/>
  <c r="F357" i="3" a="1"/>
  <c r="F359" i="3" a="1"/>
  <c r="F361" i="3" a="1"/>
  <c r="F363" i="3" a="1"/>
  <c r="F364" i="3" a="1"/>
  <c r="F366" i="3" a="1"/>
  <c r="F368" i="3" a="1"/>
  <c r="F371" i="3" a="1"/>
  <c r="F373" i="3" a="1"/>
  <c r="F375" i="3" a="1"/>
  <c r="F377" i="3" a="1"/>
  <c r="F379" i="3" a="1"/>
  <c r="F381" i="3" a="1"/>
  <c r="F383" i="3" a="1"/>
  <c r="F385" i="3" a="1"/>
  <c r="F387" i="3" a="1"/>
  <c r="F362" i="3" a="1"/>
  <c r="F391" i="3" a="1"/>
  <c r="F393" i="3" a="1"/>
  <c r="F395" i="3" a="1"/>
  <c r="F397" i="3" a="1"/>
  <c r="F399" i="3" a="1"/>
  <c r="F396" i="3" a="1"/>
  <c r="F403" i="3" a="1"/>
  <c r="F405" i="3" a="1"/>
  <c r="F407" i="3" a="1"/>
  <c r="F409" i="3" a="1"/>
  <c r="F14" i="3" a="1"/>
  <c r="F33" i="3" a="1"/>
  <c r="F46" i="3" a="1"/>
  <c r="F61" i="3" a="1"/>
  <c r="F83" i="3" a="1"/>
  <c r="F101" i="3" a="1"/>
  <c r="F117" i="3" a="1"/>
  <c r="F98" i="3" a="1"/>
  <c r="F150" i="3" a="1"/>
  <c r="F168" i="3" a="1"/>
  <c r="F18" i="3" a="1"/>
  <c r="F87" i="3" a="1"/>
  <c r="F155" i="3" a="1"/>
  <c r="F360" i="3" a="1"/>
  <c r="F367" i="3" a="1"/>
  <c r="F376" i="3" a="1"/>
  <c r="F384" i="3" a="1"/>
  <c r="F392" i="3" a="1"/>
  <c r="F400" i="3" a="1"/>
  <c r="F408" i="3" a="1"/>
  <c r="F413" i="3" a="1"/>
  <c r="F414" i="3" a="1"/>
  <c r="F421" i="3" a="1"/>
  <c r="F425" i="3" a="1"/>
  <c r="F429" i="3" a="1"/>
  <c r="F431" i="3" a="1"/>
  <c r="F438" i="3" a="1"/>
  <c r="F442" i="3" a="1"/>
  <c r="F446" i="3" a="1"/>
  <c r="F450" i="3" a="1"/>
  <c r="F458" i="3" a="1"/>
  <c r="F457" i="3" a="1"/>
  <c r="F462" i="3" a="1"/>
  <c r="F465" i="3" a="1"/>
  <c r="F466" i="3" a="1"/>
  <c r="F473" i="3" a="1"/>
  <c r="F476" i="3" a="1"/>
  <c r="F481" i="3" a="1"/>
  <c r="F484" i="3" a="1"/>
  <c r="F489" i="3" a="1"/>
  <c r="F119" i="3" a="1"/>
  <c r="F34" i="3" a="1"/>
  <c r="F105" i="3" a="1"/>
  <c r="F172" i="3" a="1"/>
  <c r="F353" i="3" a="1"/>
  <c r="F369" i="3" a="1"/>
  <c r="F378" i="3" a="1"/>
  <c r="F386" i="3" a="1"/>
  <c r="F394" i="3" a="1"/>
  <c r="F402" i="3" a="1"/>
  <c r="F410" i="3" a="1"/>
  <c r="F401" i="3" a="1"/>
  <c r="F418" i="3" a="1"/>
  <c r="F422" i="3" a="1"/>
  <c r="F426" i="3" a="1"/>
  <c r="F430" i="3" a="1"/>
  <c r="F434" i="3" a="1"/>
  <c r="F439" i="3" a="1"/>
  <c r="F443" i="3" a="1"/>
  <c r="F447" i="3" a="1"/>
  <c r="F451" i="3" a="1"/>
  <c r="F454" i="3" a="1"/>
  <c r="F459" i="3" a="1"/>
  <c r="F463" i="3" a="1"/>
  <c r="F449" i="3" a="1"/>
  <c r="F471" i="3" a="1"/>
  <c r="F474" i="3" a="1"/>
  <c r="F479" i="3" a="1"/>
  <c r="F482" i="3" a="1"/>
  <c r="F487" i="3" a="1"/>
  <c r="F468" i="3" a="1"/>
  <c r="F51" i="3" a="1"/>
  <c r="F126" i="3" a="1"/>
  <c r="F356" i="3" a="1"/>
  <c r="F370" i="3" a="1"/>
  <c r="F372" i="3" a="1"/>
  <c r="F380" i="3" a="1"/>
  <c r="F388" i="3" a="1"/>
  <c r="F389" i="3" a="1"/>
  <c r="F404" i="3" a="1"/>
  <c r="F411" i="3" a="1"/>
  <c r="F415" i="3" a="1"/>
  <c r="F419" i="3" a="1"/>
  <c r="F423" i="3" a="1"/>
  <c r="F427" i="3" a="1"/>
  <c r="F417" i="3" a="1"/>
  <c r="F436" i="3" a="1"/>
  <c r="F440" i="3" a="1"/>
  <c r="F444" i="3" a="1"/>
  <c r="F448" i="3" a="1"/>
  <c r="F452" i="3" a="1"/>
  <c r="F455" i="3" a="1"/>
  <c r="F460" i="3" a="1"/>
  <c r="F464" i="3" a="1"/>
  <c r="F469" i="3" a="1"/>
  <c r="F472" i="3" a="1"/>
  <c r="F477" i="3" a="1"/>
  <c r="F480" i="3" a="1"/>
  <c r="F485" i="3" a="1"/>
  <c r="F488" i="3" a="1"/>
  <c r="F67" i="3" a="1"/>
  <c r="F139" i="3" a="1"/>
  <c r="F358" i="3" a="1"/>
  <c r="F365" i="3" a="1"/>
  <c r="F374" i="3" a="1"/>
  <c r="F382" i="3" a="1"/>
  <c r="F390" i="3" a="1"/>
  <c r="F398" i="3" a="1"/>
  <c r="F406" i="3" a="1"/>
  <c r="F412" i="3" a="1"/>
  <c r="F416" i="3" a="1"/>
  <c r="F420" i="3" a="1"/>
  <c r="F424" i="3" a="1"/>
  <c r="F428" i="3" a="1"/>
  <c r="F433" i="3" a="1"/>
  <c r="F437" i="3" a="1"/>
  <c r="F441" i="3" a="1"/>
  <c r="F445" i="3" a="1"/>
  <c r="F435" i="3" a="1"/>
  <c r="F453" i="3" a="1"/>
  <c r="F456" i="3" a="1"/>
  <c r="F461" i="3" a="1"/>
  <c r="F467" i="3" a="1"/>
  <c r="F470" i="3" a="1"/>
  <c r="F475" i="3" a="1"/>
  <c r="F478" i="3" a="1"/>
  <c r="F483" i="3" a="1"/>
  <c r="F486" i="3" a="1"/>
  <c r="F245" i="3" a="1"/>
  <c r="H12" i="13" a="1"/>
  <c r="H33" i="13" a="1"/>
  <c r="H16" i="13" a="1"/>
  <c r="H24" i="13" a="1"/>
  <c r="H41" i="13" a="1"/>
  <c r="H49" i="13" a="1"/>
  <c r="H3" i="13" a="1"/>
  <c r="H34" i="13" a="1"/>
  <c r="H17" i="13" a="1"/>
  <c r="H25" i="13" a="1"/>
  <c r="H42" i="13" a="1"/>
  <c r="H50" i="13" a="1"/>
  <c r="H29" i="13" a="1"/>
  <c r="H30" i="13" a="1"/>
  <c r="H36" i="13" a="1"/>
  <c r="H10" i="13" a="1"/>
  <c r="H31" i="13" a="1"/>
  <c r="H9" i="13" a="1"/>
  <c r="H20" i="13" a="1"/>
  <c r="H37" i="13" a="1"/>
  <c r="H45" i="13" a="1"/>
  <c r="H11" i="13" a="1"/>
  <c r="H32" i="13" a="1"/>
  <c r="H13" i="13" a="1"/>
  <c r="H21" i="13" a="1"/>
  <c r="H38" i="13" a="1"/>
  <c r="H46" i="13" a="1"/>
  <c r="H26" i="13" a="1"/>
  <c r="H6" i="13" a="1"/>
  <c r="H14" i="13" a="1"/>
  <c r="H22" i="13" a="1"/>
  <c r="H39" i="13" a="1"/>
  <c r="H47" i="13" a="1"/>
  <c r="H27" i="13" a="1"/>
  <c r="H7" i="13" a="1"/>
  <c r="H15" i="13" a="1"/>
  <c r="H23" i="13" a="1"/>
  <c r="H40" i="13" a="1"/>
  <c r="H28" i="13" a="1"/>
  <c r="H4" i="13" a="1"/>
  <c r="H18" i="13" a="1"/>
  <c r="H35" i="13" a="1"/>
  <c r="H43" i="13" a="1"/>
  <c r="H5" i="13" a="1"/>
  <c r="H8" i="13" a="1"/>
  <c r="H19" i="13" a="1"/>
  <c r="H44" i="13" a="1"/>
  <c r="H48" i="13" a="1"/>
  <c r="F491" i="3" a="1"/>
  <c r="F493" i="3" a="1"/>
  <c r="F495" i="3" a="1"/>
  <c r="F497" i="3" a="1"/>
  <c r="F499" i="3" a="1"/>
  <c r="F492" i="3" a="1"/>
  <c r="F494" i="3" a="1"/>
  <c r="F496" i="3" a="1"/>
  <c r="F498" i="3" a="1"/>
  <c r="F490" i="3" a="1"/>
  <c r="D474" i="12" a="1"/>
  <c r="D458" i="12" a="1"/>
  <c r="D442" i="12" a="1"/>
  <c r="D426" i="12" a="1"/>
  <c r="D410" i="12" a="1"/>
  <c r="D394" i="12" a="1"/>
  <c r="D378" i="12" a="1"/>
  <c r="D362" i="12" a="1"/>
  <c r="D346" i="12" a="1"/>
  <c r="D330" i="12" a="1"/>
  <c r="D314" i="12" a="1"/>
  <c r="D302" i="12" a="1"/>
  <c r="D294" i="12" a="1"/>
  <c r="D286" i="12" a="1"/>
  <c r="D278" i="12" a="1"/>
  <c r="D270" i="12" a="1"/>
  <c r="D262" i="12" a="1"/>
  <c r="D254" i="12" a="1"/>
  <c r="D246" i="12" a="1"/>
  <c r="D238" i="12" a="1"/>
  <c r="D230" i="12" a="1"/>
  <c r="D222" i="12" a="1"/>
  <c r="D214" i="12" a="1"/>
  <c r="D206" i="12" a="1"/>
  <c r="D198" i="12" a="1"/>
  <c r="D190" i="12" a="1"/>
  <c r="D182" i="12" a="1"/>
  <c r="D174" i="12" a="1"/>
  <c r="D166" i="12" a="1"/>
  <c r="D158" i="12" a="1"/>
  <c r="D150" i="12" a="1"/>
  <c r="D142" i="12" a="1"/>
  <c r="D134" i="12" a="1"/>
  <c r="D126" i="12" a="1"/>
  <c r="D469" i="12" a="1"/>
  <c r="D453" i="12" a="1"/>
  <c r="D437" i="12" a="1"/>
  <c r="D421" i="12" a="1"/>
  <c r="D405" i="12" a="1"/>
  <c r="D389" i="12" a="1"/>
  <c r="D373" i="12" a="1"/>
  <c r="D357" i="12" a="1"/>
  <c r="D341" i="12" a="1"/>
  <c r="D325" i="12" a="1"/>
  <c r="D309" i="12" a="1"/>
  <c r="D460" i="12" a="1"/>
  <c r="D444" i="12" a="1"/>
  <c r="D428" i="12" a="1"/>
  <c r="D412" i="12" a="1"/>
  <c r="D396" i="12" a="1"/>
  <c r="D380" i="12" a="1"/>
  <c r="D364" i="12" a="1"/>
  <c r="D348" i="12" a="1"/>
  <c r="D332" i="12" a="1"/>
  <c r="D316" i="12" a="1"/>
  <c r="D303" i="12" a="1"/>
  <c r="D295" i="12" a="1"/>
  <c r="D287" i="12" a="1"/>
  <c r="D279" i="12" a="1"/>
  <c r="D271" i="12" a="1"/>
  <c r="D263" i="12" a="1"/>
  <c r="D255" i="12" a="1"/>
  <c r="D247" i="12" a="1"/>
  <c r="D239" i="12" a="1"/>
  <c r="D231" i="12" a="1"/>
  <c r="D223" i="12" a="1"/>
  <c r="D215" i="12" a="1"/>
  <c r="D207" i="12" a="1"/>
  <c r="D199" i="12" a="1"/>
  <c r="D191" i="12" a="1"/>
  <c r="D183" i="12" a="1"/>
  <c r="D175" i="12" a="1"/>
  <c r="D431" i="12" a="1"/>
  <c r="D367" i="12" a="1"/>
  <c r="D173" i="12" a="1"/>
  <c r="D141" i="12" a="1"/>
  <c r="D118" i="12" a="1"/>
  <c r="D427" i="12" a="1"/>
  <c r="D363" i="12" a="1"/>
  <c r="D167" i="12" a="1"/>
  <c r="D135" i="12" a="1"/>
  <c r="D403" i="12" a="1"/>
  <c r="D171" i="12" a="1"/>
  <c r="D112" i="12" a="1"/>
  <c r="D96" i="12" a="1"/>
  <c r="D80" i="12" a="1"/>
  <c r="D64" i="12" a="1"/>
  <c r="D48" i="12" a="1"/>
  <c r="D423" i="12" a="1"/>
  <c r="D169" i="12" a="1"/>
  <c r="D117" i="12" a="1"/>
  <c r="D103" i="12" a="1"/>
  <c r="D87" i="12" a="1"/>
  <c r="D71" i="12" a="1"/>
  <c r="D55" i="12" a="1"/>
  <c r="D39" i="12" a="1"/>
  <c r="D31" i="12" a="1"/>
  <c r="D23" i="12" a="1"/>
  <c r="D15" i="12" a="1"/>
  <c r="D7" i="12" a="1"/>
  <c r="D387" i="12" a="1"/>
  <c r="D147" i="12" a="1"/>
  <c r="D105" i="12" a="1"/>
  <c r="D89" i="12" a="1"/>
  <c r="D73" i="12" a="1"/>
  <c r="D57" i="12" a="1"/>
  <c r="D41" i="12" a="1"/>
  <c r="D470" i="12" a="1"/>
  <c r="D454" i="12" a="1"/>
  <c r="D438" i="12" a="1"/>
  <c r="D422" i="12" a="1"/>
  <c r="D406" i="12" a="1"/>
  <c r="D390" i="12" a="1"/>
  <c r="D374" i="12" a="1"/>
  <c r="D358" i="12" a="1"/>
  <c r="D342" i="12" a="1"/>
  <c r="D326" i="12" a="1"/>
  <c r="D310" i="12" a="1"/>
  <c r="D300" i="12" a="1"/>
  <c r="D292" i="12" a="1"/>
  <c r="D284" i="12" a="1"/>
  <c r="D276" i="12" a="1"/>
  <c r="D268" i="12" a="1"/>
  <c r="D260" i="12" a="1"/>
  <c r="D252" i="12" a="1"/>
  <c r="D244" i="12" a="1"/>
  <c r="D236" i="12" a="1"/>
  <c r="D228" i="12" a="1"/>
  <c r="D220" i="12" a="1"/>
  <c r="D212" i="12" a="1"/>
  <c r="D204" i="12" a="1"/>
  <c r="D196" i="12" a="1"/>
  <c r="D188" i="12" a="1"/>
  <c r="D180" i="12" a="1"/>
  <c r="D172" i="12" a="1"/>
  <c r="D164" i="12" a="1"/>
  <c r="D156" i="12" a="1"/>
  <c r="D148" i="12" a="1"/>
  <c r="D140" i="12" a="1"/>
  <c r="D132" i="12" a="1"/>
  <c r="D124" i="12" a="1"/>
  <c r="D465" i="12" a="1"/>
  <c r="D449" i="12" a="1"/>
  <c r="D433" i="12" a="1"/>
  <c r="D417" i="12" a="1"/>
  <c r="D466" i="12" a="1"/>
  <c r="D450" i="12" a="1"/>
  <c r="D434" i="12" a="1"/>
  <c r="D418" i="12" a="1"/>
  <c r="D402" i="12" a="1"/>
  <c r="D386" i="12" a="1"/>
  <c r="D370" i="12" a="1"/>
  <c r="D354" i="12" a="1"/>
  <c r="D338" i="12" a="1"/>
  <c r="D322" i="12" a="1"/>
  <c r="D306" i="12" a="1"/>
  <c r="D298" i="12" a="1"/>
  <c r="D290" i="12" a="1"/>
  <c r="D282" i="12" a="1"/>
  <c r="D274" i="12" a="1"/>
  <c r="D266" i="12" a="1"/>
  <c r="D258" i="12" a="1"/>
  <c r="D250" i="12" a="1"/>
  <c r="D242" i="12" a="1"/>
  <c r="D234" i="12" a="1"/>
  <c r="D226" i="12" a="1"/>
  <c r="D218" i="12" a="1"/>
  <c r="D210" i="12" a="1"/>
  <c r="D202" i="12" a="1"/>
  <c r="D194" i="12" a="1"/>
  <c r="D186" i="12" a="1"/>
  <c r="D178" i="12" a="1"/>
  <c r="D170" i="12" a="1"/>
  <c r="D162" i="12" a="1"/>
  <c r="D154" i="12" a="1"/>
  <c r="D146" i="12" a="1"/>
  <c r="D138" i="12" a="1"/>
  <c r="D130" i="12" a="1"/>
  <c r="D122" i="12" a="1"/>
  <c r="D461" i="12" a="1"/>
  <c r="D445" i="12" a="1"/>
  <c r="D429" i="12" a="1"/>
  <c r="D413" i="12" a="1"/>
  <c r="D397" i="12" a="1"/>
  <c r="D381" i="12" a="1"/>
  <c r="D365" i="12" a="1"/>
  <c r="D349" i="12" a="1"/>
  <c r="D333" i="12" a="1"/>
  <c r="D317" i="12" a="1"/>
  <c r="D468" i="12" a="1"/>
  <c r="D452" i="12" a="1"/>
  <c r="D436" i="12" a="1"/>
  <c r="D420" i="12" a="1"/>
  <c r="D404" i="12" a="1"/>
  <c r="D388" i="12" a="1"/>
  <c r="D372" i="12" a="1"/>
  <c r="D356" i="12" a="1"/>
  <c r="D340" i="12" a="1"/>
  <c r="D324" i="12" a="1"/>
  <c r="D308" i="12" a="1"/>
  <c r="D299" i="12" a="1"/>
  <c r="D291" i="12" a="1"/>
  <c r="D283" i="12" a="1"/>
  <c r="D275" i="12" a="1"/>
  <c r="D267" i="12" a="1"/>
  <c r="D259" i="12" a="1"/>
  <c r="D251" i="12" a="1"/>
  <c r="D243" i="12" a="1"/>
  <c r="D235" i="12" a="1"/>
  <c r="D227" i="12" a="1"/>
  <c r="D219" i="12" a="1"/>
  <c r="D211" i="12" a="1"/>
  <c r="D203" i="12" a="1"/>
  <c r="D195" i="12" a="1"/>
  <c r="D187" i="12" a="1"/>
  <c r="D179" i="12" a="1"/>
  <c r="D430" i="12" a="1"/>
  <c r="D366" i="12" a="1"/>
  <c r="D304" i="12" a="1"/>
  <c r="D272" i="12" a="1"/>
  <c r="D240" i="12" a="1"/>
  <c r="D208" i="12" a="1"/>
  <c r="D176" i="12" a="1"/>
  <c r="D144" i="12" a="1"/>
  <c r="D457" i="12" a="1"/>
  <c r="D401" i="12" a="1"/>
  <c r="D369" i="12" a="1"/>
  <c r="D337" i="12" a="1"/>
  <c r="D472" i="12" a="1"/>
  <c r="D440" i="12" a="1"/>
  <c r="D408" i="12" a="1"/>
  <c r="D376" i="12" a="1"/>
  <c r="D344" i="12" a="1"/>
  <c r="D312" i="12" a="1"/>
  <c r="D293" i="12" a="1"/>
  <c r="D277" i="12" a="1"/>
  <c r="D261" i="12" a="1"/>
  <c r="D245" i="12" a="1"/>
  <c r="D229" i="12" a="1"/>
  <c r="D213" i="12" a="1"/>
  <c r="D197" i="12" a="1"/>
  <c r="D181" i="12" a="1"/>
  <c r="D447" i="12" a="1"/>
  <c r="D351" i="12" a="1"/>
  <c r="D157" i="12" a="1"/>
  <c r="D120" i="12" a="1"/>
  <c r="D411" i="12" a="1"/>
  <c r="D331" i="12" a="1"/>
  <c r="D143" i="12" a="1"/>
  <c r="D371" i="12" a="1"/>
  <c r="D139" i="12" a="1"/>
  <c r="D101" i="12" a="1"/>
  <c r="D77" i="12" a="1"/>
  <c r="D56" i="12" a="1"/>
  <c r="D455" i="12" a="1"/>
  <c r="D153" i="12" a="1"/>
  <c r="D111" i="12" a="1"/>
  <c r="D90" i="12" a="1"/>
  <c r="D66" i="12" a="1"/>
  <c r="D47" i="12" a="1"/>
  <c r="D33" i="12" a="1"/>
  <c r="D21" i="12" a="1"/>
  <c r="D11" i="12" a="1"/>
  <c r="D419" i="12" a="1"/>
  <c r="D131" i="12" a="1"/>
  <c r="D97" i="12" a="1"/>
  <c r="D76" i="12" a="1"/>
  <c r="D52" i="12" a="1"/>
  <c r="D110" i="12" a="1"/>
  <c r="D78" i="12" a="1"/>
  <c r="D43" i="12" a="1"/>
  <c r="D26" i="12" a="1"/>
  <c r="D10" i="12" a="1"/>
  <c r="D343" i="12" a="1"/>
  <c r="D129" i="12" a="1"/>
  <c r="D99" i="12" a="1"/>
  <c r="D70" i="12" a="1"/>
  <c r="D36" i="12" a="1"/>
  <c r="D4" i="12" a="1"/>
  <c r="D296" i="12" a="1"/>
  <c r="D232" i="12" a="1"/>
  <c r="D136" i="12" a="1"/>
  <c r="D361" i="12" a="1"/>
  <c r="D432" i="12" a="1"/>
  <c r="D368" i="12" a="1"/>
  <c r="D273" i="12" a="1"/>
  <c r="D209" i="12" a="1"/>
  <c r="D149" i="12" a="1"/>
  <c r="D127" i="12" a="1"/>
  <c r="D93" i="12" a="1"/>
  <c r="D106" i="12" a="1"/>
  <c r="D19" i="12" a="1"/>
  <c r="D92" i="12" a="1"/>
  <c r="D67" i="12" a="1"/>
  <c r="D311" i="12" a="1"/>
  <c r="D32" i="12" a="1"/>
  <c r="D475" i="12" a="1"/>
  <c r="D305" i="12" a="1"/>
  <c r="D225" i="12" a="1"/>
  <c r="D415" i="12" a="1"/>
  <c r="D116" i="12" a="1"/>
  <c r="D123" i="12" a="1"/>
  <c r="D53" i="12" a="1"/>
  <c r="D137" i="12" a="1"/>
  <c r="D42" i="12" a="1"/>
  <c r="D113" i="12" a="1"/>
  <c r="D102" i="12" a="1"/>
  <c r="D6" i="12" a="1"/>
  <c r="D59" i="12" a="1"/>
  <c r="D462" i="12" a="1"/>
  <c r="D398" i="12" a="1"/>
  <c r="D334" i="12" a="1"/>
  <c r="D288" i="12" a="1"/>
  <c r="D256" i="12" a="1"/>
  <c r="D224" i="12" a="1"/>
  <c r="D192" i="12" a="1"/>
  <c r="D160" i="12" a="1"/>
  <c r="D128" i="12" a="1"/>
  <c r="D425" i="12" a="1"/>
  <c r="D385" i="12" a="1"/>
  <c r="D353" i="12" a="1"/>
  <c r="D321" i="12" a="1"/>
  <c r="D456" i="12" a="1"/>
  <c r="D424" i="12" a="1"/>
  <c r="D392" i="12" a="1"/>
  <c r="D360" i="12" a="1"/>
  <c r="D328" i="12" a="1"/>
  <c r="D301" i="12" a="1"/>
  <c r="D285" i="12" a="1"/>
  <c r="D269" i="12" a="1"/>
  <c r="D253" i="12" a="1"/>
  <c r="D237" i="12" a="1"/>
  <c r="D221" i="12" a="1"/>
  <c r="D205" i="12" a="1"/>
  <c r="D189" i="12" a="1"/>
  <c r="D471" i="12" a="1"/>
  <c r="D399" i="12" a="1"/>
  <c r="D319" i="12" a="1"/>
  <c r="D133" i="12" a="1"/>
  <c r="D459" i="12" a="1"/>
  <c r="D379" i="12" a="1"/>
  <c r="D159" i="12" a="1"/>
  <c r="D467" i="12" a="1"/>
  <c r="D307" i="12" a="1"/>
  <c r="D109" i="12" a="1"/>
  <c r="D88" i="12" a="1"/>
  <c r="D69" i="12" a="1"/>
  <c r="D45" i="12" a="1"/>
  <c r="D359" i="12" a="1"/>
  <c r="D121" i="12" a="1"/>
  <c r="D98" i="12" a="1"/>
  <c r="D79" i="12" a="1"/>
  <c r="D58" i="12" a="1"/>
  <c r="D37" i="12" a="1"/>
  <c r="D27" i="12" a="1"/>
  <c r="D17" i="12" a="1"/>
  <c r="D5" i="12" a="1"/>
  <c r="D323" i="12" a="1"/>
  <c r="D108" i="12" a="1"/>
  <c r="D84" i="12" a="1"/>
  <c r="D65" i="12" a="1"/>
  <c r="D44" i="12" a="1"/>
  <c r="D94" i="12" a="1"/>
  <c r="D62" i="12" a="1"/>
  <c r="D34" i="12" a="1"/>
  <c r="D18" i="12" a="1"/>
  <c r="D439" i="12" a="1"/>
  <c r="D161" i="12" a="1"/>
  <c r="D115" i="12" a="1"/>
  <c r="D83" i="12" a="1"/>
  <c r="D54" i="12" a="1"/>
  <c r="D28" i="12" a="1"/>
  <c r="D12" i="12" a="1"/>
  <c r="D414" i="12" a="1"/>
  <c r="D200" i="12" a="1"/>
  <c r="D441" i="12" a="1"/>
  <c r="D329" i="12" a="1"/>
  <c r="D400" i="12" a="1"/>
  <c r="D336" i="12" a="1"/>
  <c r="D257" i="12" a="1"/>
  <c r="D193" i="12" a="1"/>
  <c r="D335" i="12" a="1"/>
  <c r="D315" i="12" a="1"/>
  <c r="D391" i="12" a="1"/>
  <c r="D63" i="12" a="1"/>
  <c r="D9" i="12" a="1"/>
  <c r="D68" i="12" a="1"/>
  <c r="D38" i="12" a="1"/>
  <c r="D119" i="12" a="1"/>
  <c r="D16" i="12" a="1"/>
  <c r="D446" i="12" a="1"/>
  <c r="D382" i="12" a="1"/>
  <c r="D318" i="12" a="1"/>
  <c r="D280" i="12" a="1"/>
  <c r="D248" i="12" a="1"/>
  <c r="D216" i="12" a="1"/>
  <c r="D184" i="12" a="1"/>
  <c r="D152" i="12" a="1"/>
  <c r="D473" i="12" a="1"/>
  <c r="D409" i="12" a="1"/>
  <c r="D377" i="12" a="1"/>
  <c r="D345" i="12" a="1"/>
  <c r="D313" i="12" a="1"/>
  <c r="D448" i="12" a="1"/>
  <c r="D416" i="12" a="1"/>
  <c r="D384" i="12" a="1"/>
  <c r="D352" i="12" a="1"/>
  <c r="D320" i="12" a="1"/>
  <c r="D297" i="12" a="1"/>
  <c r="D281" i="12" a="1"/>
  <c r="D265" i="12" a="1"/>
  <c r="D249" i="12" a="1"/>
  <c r="D233" i="12" a="1"/>
  <c r="D217" i="12" a="1"/>
  <c r="D201" i="12" a="1"/>
  <c r="D185" i="12" a="1"/>
  <c r="D463" i="12" a="1"/>
  <c r="D383" i="12" a="1"/>
  <c r="D165" i="12" a="1"/>
  <c r="D125" i="12" a="1"/>
  <c r="D443" i="12" a="1"/>
  <c r="D347" i="12" a="1"/>
  <c r="D151" i="12" a="1"/>
  <c r="D435" i="12" a="1"/>
  <c r="D155" i="12" a="1"/>
  <c r="D104" i="12" a="1"/>
  <c r="D85" i="12" a="1"/>
  <c r="D61" i="12" a="1"/>
  <c r="D40" i="12" a="1"/>
  <c r="D327" i="12" a="1"/>
  <c r="D114" i="12" a="1"/>
  <c r="D95" i="12" a="1"/>
  <c r="D74" i="12" a="1"/>
  <c r="D50" i="12" a="1"/>
  <c r="D35" i="12" a="1"/>
  <c r="D25" i="12" a="1"/>
  <c r="D13" i="12" a="1"/>
  <c r="D451" i="12" a="1"/>
  <c r="D163" i="12" a="1"/>
  <c r="D100" i="12" a="1"/>
  <c r="D81" i="12" a="1"/>
  <c r="D60" i="12" a="1"/>
  <c r="D407" i="12" a="1"/>
  <c r="D86" i="12" a="1"/>
  <c r="D51" i="12" a="1"/>
  <c r="D30" i="12" a="1"/>
  <c r="D14" i="12" a="1"/>
  <c r="D375" i="12" a="1"/>
  <c r="D145" i="12" a="1"/>
  <c r="D107" i="12" a="1"/>
  <c r="D75" i="12" a="1"/>
  <c r="D46" i="12" a="1"/>
  <c r="D24" i="12" a="1"/>
  <c r="D8" i="12" a="1"/>
  <c r="D20" i="12" a="1"/>
  <c r="D350" i="12" a="1"/>
  <c r="D264" i="12" a="1"/>
  <c r="D168" i="12" a="1"/>
  <c r="D393" i="12" a="1"/>
  <c r="D464" i="12" a="1"/>
  <c r="D289" i="12" a="1"/>
  <c r="D241" i="12" a="1"/>
  <c r="D177" i="12" a="1"/>
  <c r="D395" i="12" a="1"/>
  <c r="D339" i="12" a="1"/>
  <c r="D72" i="12" a="1"/>
  <c r="D82" i="12" a="1"/>
  <c r="D29" i="12" a="1"/>
  <c r="D355" i="12" a="1"/>
  <c r="D49" i="12" a="1"/>
  <c r="D22" i="12" a="1"/>
  <c r="D91" i="12" a="1"/>
  <c r="D3" i="12" a="1"/>
  <c r="E69" i="14" a="1"/>
  <c r="E67" i="14" a="1"/>
  <c r="E68" i="14" a="1"/>
  <c r="E66" i="14" a="1"/>
  <c r="E65" i="14" a="1"/>
  <c r="E64" i="14" a="1"/>
  <c r="E63" i="14" a="1"/>
  <c r="E61" i="14" a="1"/>
  <c r="E59" i="14" a="1"/>
  <c r="E62" i="14" a="1"/>
  <c r="E60" i="14" a="1"/>
  <c r="E58" i="14" a="1"/>
  <c r="E57" i="14" a="1"/>
  <c r="E56" i="14" a="1"/>
  <c r="E55" i="14" a="1"/>
  <c r="E54" i="14" a="1"/>
  <c r="E53" i="14" a="1"/>
  <c r="E51" i="14" a="1"/>
  <c r="E52" i="14" a="1"/>
  <c r="H63" i="13" a="1"/>
  <c r="H62" i="13" a="1"/>
  <c r="H61" i="13" a="1"/>
  <c r="H60" i="13" a="1"/>
  <c r="H59" i="13" a="1"/>
  <c r="H58" i="13" a="1"/>
  <c r="H57" i="13" a="1"/>
  <c r="H56" i="13" a="1"/>
  <c r="H55" i="13" a="1"/>
  <c r="H54" i="13" a="1"/>
  <c r="H53" i="13" a="1"/>
  <c r="H52" i="13" a="1"/>
  <c r="E44" i="14" a="1"/>
  <c r="E43" i="14" a="1"/>
  <c r="E47" i="14" a="1"/>
  <c r="E48" i="14" a="1"/>
  <c r="E41" i="14" a="1"/>
  <c r="E38" i="14" a="1"/>
  <c r="E42" i="14" a="1"/>
  <c r="E45" i="14" a="1"/>
  <c r="H51" i="13" a="1"/>
  <c r="E36" i="14" a="1"/>
  <c r="E35" i="14" a="1"/>
  <c r="E39" i="14" a="1"/>
  <c r="E40" i="14" a="1"/>
  <c r="E37" i="14" a="1"/>
  <c r="E49" i="14" a="1"/>
  <c r="E46" i="14" a="1"/>
  <c r="E50" i="14" a="1"/>
  <c r="E15" i="14" a="1"/>
  <c r="F498" i="3" l="1"/>
  <c r="F496" i="3"/>
  <c r="F494" i="3"/>
  <c r="F492" i="3"/>
  <c r="F499" i="3"/>
  <c r="F497" i="3"/>
  <c r="F495" i="3"/>
  <c r="F493" i="3"/>
  <c r="F491" i="3"/>
  <c r="F490" i="3"/>
  <c r="E66" i="14"/>
  <c r="E68" i="14"/>
  <c r="E67" i="14"/>
  <c r="E69" i="14"/>
  <c r="E65" i="14"/>
  <c r="E64" i="14"/>
  <c r="E60" i="14"/>
  <c r="E62" i="14"/>
  <c r="E59" i="14"/>
  <c r="E61" i="14"/>
  <c r="E63" i="14"/>
  <c r="E58" i="14"/>
  <c r="E57" i="14"/>
  <c r="E55" i="14"/>
  <c r="E56" i="14"/>
  <c r="E54" i="14"/>
  <c r="E52" i="14"/>
  <c r="E51" i="14"/>
  <c r="E53" i="14"/>
  <c r="H63" i="13"/>
  <c r="H62" i="13"/>
  <c r="H60" i="13"/>
  <c r="H61" i="13"/>
  <c r="H59" i="13"/>
  <c r="H58" i="13"/>
  <c r="H57" i="13"/>
  <c r="H56" i="13"/>
  <c r="H55" i="13"/>
  <c r="H54" i="13"/>
  <c r="H53" i="13"/>
  <c r="B3" i="14"/>
  <c r="H52" i="13"/>
  <c r="H51" i="13"/>
  <c r="B28" i="14"/>
  <c r="D486" i="12"/>
  <c r="D487" i="12"/>
  <c r="D488" i="12"/>
  <c r="D489" i="12"/>
  <c r="D485" i="12"/>
  <c r="F77" i="3"/>
  <c r="F94" i="3"/>
  <c r="F78" i="3"/>
  <c r="F76" i="3"/>
  <c r="F75" i="3"/>
  <c r="D482" i="12"/>
  <c r="D483" i="12"/>
  <c r="D484" i="12"/>
  <c r="D479" i="12"/>
  <c r="D480" i="12"/>
  <c r="D481" i="12"/>
  <c r="D477" i="12"/>
  <c r="D478" i="12"/>
  <c r="D476" i="12"/>
  <c r="E37" i="14"/>
  <c r="E40" i="14"/>
  <c r="E45" i="14"/>
  <c r="E48" i="14"/>
  <c r="E15" i="14"/>
  <c r="E39" i="14"/>
  <c r="E42" i="14"/>
  <c r="E47" i="14"/>
  <c r="E50" i="14"/>
  <c r="E35" i="14"/>
  <c r="E38" i="14"/>
  <c r="E43" i="14"/>
  <c r="E46" i="14"/>
  <c r="E36" i="14"/>
  <c r="E41" i="14"/>
  <c r="E44" i="14"/>
  <c r="E49" i="14"/>
  <c r="D8" i="12"/>
  <c r="D12" i="12"/>
  <c r="D16" i="12"/>
  <c r="D20" i="12"/>
  <c r="D24" i="12"/>
  <c r="D28" i="12"/>
  <c r="D32" i="12"/>
  <c r="D36" i="12"/>
  <c r="D46" i="12"/>
  <c r="D54" i="12"/>
  <c r="D59" i="12"/>
  <c r="D70" i="12"/>
  <c r="D75" i="12"/>
  <c r="D83" i="12"/>
  <c r="D91" i="12"/>
  <c r="D99" i="12"/>
  <c r="D107" i="12"/>
  <c r="D115" i="12"/>
  <c r="D119" i="12"/>
  <c r="D129" i="12"/>
  <c r="D145" i="12"/>
  <c r="D161" i="12"/>
  <c r="D311" i="12"/>
  <c r="D343" i="12"/>
  <c r="D375" i="12"/>
  <c r="D439" i="12"/>
  <c r="D6" i="12"/>
  <c r="D10" i="12"/>
  <c r="D14" i="12"/>
  <c r="D18" i="12"/>
  <c r="D22" i="12"/>
  <c r="D26" i="12"/>
  <c r="D30" i="12"/>
  <c r="D34" i="12"/>
  <c r="D38" i="12"/>
  <c r="D43" i="12"/>
  <c r="D51" i="12"/>
  <c r="D62" i="12"/>
  <c r="D67" i="12"/>
  <c r="D78" i="12"/>
  <c r="D86" i="12"/>
  <c r="D94" i="12"/>
  <c r="D102" i="12"/>
  <c r="D110" i="12"/>
  <c r="D407" i="12"/>
  <c r="D41" i="12"/>
  <c r="D44" i="12"/>
  <c r="D49" i="12"/>
  <c r="D52" i="12"/>
  <c r="D57" i="12"/>
  <c r="D60" i="12"/>
  <c r="D65" i="12"/>
  <c r="D68" i="12"/>
  <c r="D73" i="12"/>
  <c r="D76" i="12"/>
  <c r="D81" i="12"/>
  <c r="D84" i="12"/>
  <c r="D89" i="12"/>
  <c r="D92" i="12"/>
  <c r="D97" i="12"/>
  <c r="D100" i="12"/>
  <c r="D105" i="12"/>
  <c r="D108" i="12"/>
  <c r="D113" i="12"/>
  <c r="D131" i="12"/>
  <c r="D147" i="12"/>
  <c r="D163" i="12"/>
  <c r="D323" i="12"/>
  <c r="D355" i="12"/>
  <c r="D387" i="12"/>
  <c r="D419" i="12"/>
  <c r="D451" i="12"/>
  <c r="D5" i="12"/>
  <c r="D7" i="12"/>
  <c r="D9" i="12"/>
  <c r="D11" i="12"/>
  <c r="D13" i="12"/>
  <c r="D15" i="12"/>
  <c r="D17" i="12"/>
  <c r="D19" i="12"/>
  <c r="D21" i="12"/>
  <c r="D23" i="12"/>
  <c r="D25" i="12"/>
  <c r="D27" i="12"/>
  <c r="D29" i="12"/>
  <c r="D31" i="12"/>
  <c r="D33" i="12"/>
  <c r="D35" i="12"/>
  <c r="D37" i="12"/>
  <c r="D39" i="12"/>
  <c r="D42" i="12"/>
  <c r="D47" i="12"/>
  <c r="D50" i="12"/>
  <c r="D55" i="12"/>
  <c r="D58" i="12"/>
  <c r="D63" i="12"/>
  <c r="D66" i="12"/>
  <c r="D71" i="12"/>
  <c r="D74" i="12"/>
  <c r="D79" i="12"/>
  <c r="D82" i="12"/>
  <c r="D87" i="12"/>
  <c r="D90" i="12"/>
  <c r="D95" i="12"/>
  <c r="D98" i="12"/>
  <c r="D103" i="12"/>
  <c r="D106" i="12"/>
  <c r="D111" i="12"/>
  <c r="D114" i="12"/>
  <c r="D117" i="12"/>
  <c r="D121" i="12"/>
  <c r="D137" i="12"/>
  <c r="D153" i="12"/>
  <c r="D169" i="12"/>
  <c r="D327" i="12"/>
  <c r="D359" i="12"/>
  <c r="D391" i="12"/>
  <c r="D423" i="12"/>
  <c r="D455" i="12"/>
  <c r="D40" i="12"/>
  <c r="D45" i="12"/>
  <c r="D48" i="12"/>
  <c r="D53" i="12"/>
  <c r="D56" i="12"/>
  <c r="D61" i="12"/>
  <c r="D64" i="12"/>
  <c r="D69" i="12"/>
  <c r="D72" i="12"/>
  <c r="D77" i="12"/>
  <c r="D80" i="12"/>
  <c r="D85" i="12"/>
  <c r="D88" i="12"/>
  <c r="D93" i="12"/>
  <c r="D96" i="12"/>
  <c r="D101" i="12"/>
  <c r="D104" i="12"/>
  <c r="D109" i="12"/>
  <c r="D112" i="12"/>
  <c r="D123" i="12"/>
  <c r="D139" i="12"/>
  <c r="D155" i="12"/>
  <c r="D171" i="12"/>
  <c r="D307" i="12"/>
  <c r="D339" i="12"/>
  <c r="D371" i="12"/>
  <c r="D403" i="12"/>
  <c r="D435" i="12"/>
  <c r="D467" i="12"/>
  <c r="D127" i="12"/>
  <c r="D135" i="12"/>
  <c r="D143" i="12"/>
  <c r="D151" i="12"/>
  <c r="D159" i="12"/>
  <c r="D167" i="12"/>
  <c r="D315" i="12"/>
  <c r="D331" i="12"/>
  <c r="D347" i="12"/>
  <c r="D363" i="12"/>
  <c r="D379" i="12"/>
  <c r="D395" i="12"/>
  <c r="D411" i="12"/>
  <c r="D427" i="12"/>
  <c r="D443" i="12"/>
  <c r="D459" i="12"/>
  <c r="D116" i="12"/>
  <c r="D118" i="12"/>
  <c r="D120" i="12"/>
  <c r="D125" i="12"/>
  <c r="D133" i="12"/>
  <c r="D141" i="12"/>
  <c r="D149" i="12"/>
  <c r="D157" i="12"/>
  <c r="D165" i="12"/>
  <c r="D173" i="12"/>
  <c r="D319" i="12"/>
  <c r="D335" i="12"/>
  <c r="D351" i="12"/>
  <c r="D367" i="12"/>
  <c r="D383" i="12"/>
  <c r="D399" i="12"/>
  <c r="D415" i="12"/>
  <c r="D431" i="12"/>
  <c r="D447" i="12"/>
  <c r="D463" i="12"/>
  <c r="D471" i="12"/>
  <c r="D175" i="12"/>
  <c r="D177" i="12"/>
  <c r="D179" i="12"/>
  <c r="D181" i="12"/>
  <c r="D183" i="12"/>
  <c r="D185" i="12"/>
  <c r="D187" i="12"/>
  <c r="D189" i="12"/>
  <c r="D191" i="12"/>
  <c r="D193" i="12"/>
  <c r="D195" i="12"/>
  <c r="D197" i="12"/>
  <c r="D199" i="12"/>
  <c r="D201" i="12"/>
  <c r="D203" i="12"/>
  <c r="D205" i="12"/>
  <c r="D207" i="12"/>
  <c r="D209" i="12"/>
  <c r="D211" i="12"/>
  <c r="D213" i="12"/>
  <c r="D215" i="12"/>
  <c r="D217" i="12"/>
  <c r="D219" i="12"/>
  <c r="D221" i="12"/>
  <c r="D223" i="12"/>
  <c r="D225" i="12"/>
  <c r="D227" i="12"/>
  <c r="D229" i="12"/>
  <c r="D231" i="12"/>
  <c r="D233" i="12"/>
  <c r="D235" i="12"/>
  <c r="D237" i="12"/>
  <c r="D239" i="12"/>
  <c r="D241" i="12"/>
  <c r="D243" i="12"/>
  <c r="D245" i="12"/>
  <c r="D247" i="12"/>
  <c r="D249" i="12"/>
  <c r="D251" i="12"/>
  <c r="D253" i="12"/>
  <c r="D255" i="12"/>
  <c r="D257" i="12"/>
  <c r="D259" i="12"/>
  <c r="D261" i="12"/>
  <c r="D263" i="12"/>
  <c r="D265" i="12"/>
  <c r="D267" i="12"/>
  <c r="D269" i="12"/>
  <c r="D271" i="12"/>
  <c r="D273" i="12"/>
  <c r="D275" i="12"/>
  <c r="D277" i="12"/>
  <c r="D279" i="12"/>
  <c r="D281" i="12"/>
  <c r="D283" i="12"/>
  <c r="D285" i="12"/>
  <c r="D287" i="12"/>
  <c r="D289" i="12"/>
  <c r="D291" i="12"/>
  <c r="D293" i="12"/>
  <c r="D295" i="12"/>
  <c r="D297" i="12"/>
  <c r="D299" i="12"/>
  <c r="D301" i="12"/>
  <c r="D303" i="12"/>
  <c r="D305" i="12"/>
  <c r="D308" i="12"/>
  <c r="D312" i="12"/>
  <c r="D316" i="12"/>
  <c r="D320" i="12"/>
  <c r="D324" i="12"/>
  <c r="D328" i="12"/>
  <c r="D332" i="12"/>
  <c r="D336" i="12"/>
  <c r="D340" i="12"/>
  <c r="D344" i="12"/>
  <c r="D348" i="12"/>
  <c r="D352" i="12"/>
  <c r="D356" i="12"/>
  <c r="D360" i="12"/>
  <c r="D364" i="12"/>
  <c r="D368" i="12"/>
  <c r="D372" i="12"/>
  <c r="D376" i="12"/>
  <c r="D380" i="12"/>
  <c r="D384" i="12"/>
  <c r="D388" i="12"/>
  <c r="D392" i="12"/>
  <c r="D396" i="12"/>
  <c r="D400" i="12"/>
  <c r="D404" i="12"/>
  <c r="D408" i="12"/>
  <c r="D412" i="12"/>
  <c r="D416" i="12"/>
  <c r="D420" i="12"/>
  <c r="D424" i="12"/>
  <c r="D428" i="12"/>
  <c r="D432" i="12"/>
  <c r="D436" i="12"/>
  <c r="D440" i="12"/>
  <c r="D444" i="12"/>
  <c r="D448" i="12"/>
  <c r="D452" i="12"/>
  <c r="D456" i="12"/>
  <c r="D460" i="12"/>
  <c r="D464" i="12"/>
  <c r="D468" i="12"/>
  <c r="D472" i="12"/>
  <c r="D309" i="12"/>
  <c r="D313" i="12"/>
  <c r="D317" i="12"/>
  <c r="D321" i="12"/>
  <c r="D325" i="12"/>
  <c r="D329" i="12"/>
  <c r="D333" i="12"/>
  <c r="D337" i="12"/>
  <c r="D341" i="12"/>
  <c r="D345" i="12"/>
  <c r="D349" i="12"/>
  <c r="D353" i="12"/>
  <c r="D357" i="12"/>
  <c r="D361" i="12"/>
  <c r="D365" i="12"/>
  <c r="D369" i="12"/>
  <c r="D373" i="12"/>
  <c r="D377" i="12"/>
  <c r="D381" i="12"/>
  <c r="D385" i="12"/>
  <c r="D389" i="12"/>
  <c r="D393" i="12"/>
  <c r="D397" i="12"/>
  <c r="D401" i="12"/>
  <c r="D405" i="12"/>
  <c r="D409" i="12"/>
  <c r="D413" i="12"/>
  <c r="D417" i="12"/>
  <c r="D421" i="12"/>
  <c r="D425" i="12"/>
  <c r="D429" i="12"/>
  <c r="D433" i="12"/>
  <c r="D437" i="12"/>
  <c r="D441" i="12"/>
  <c r="D445" i="12"/>
  <c r="D449" i="12"/>
  <c r="D453" i="12"/>
  <c r="D457" i="12"/>
  <c r="D461" i="12"/>
  <c r="D465" i="12"/>
  <c r="D469" i="12"/>
  <c r="D473" i="12"/>
  <c r="D122" i="12"/>
  <c r="D124" i="12"/>
  <c r="D126" i="12"/>
  <c r="D128" i="12"/>
  <c r="D130" i="12"/>
  <c r="D132" i="12"/>
  <c r="D134" i="12"/>
  <c r="D136" i="12"/>
  <c r="D138" i="12"/>
  <c r="D140" i="12"/>
  <c r="D142" i="12"/>
  <c r="D144" i="12"/>
  <c r="D146" i="12"/>
  <c r="D148" i="12"/>
  <c r="D150" i="12"/>
  <c r="D152" i="12"/>
  <c r="D154" i="12"/>
  <c r="D156" i="12"/>
  <c r="D158" i="12"/>
  <c r="D160" i="12"/>
  <c r="D162" i="12"/>
  <c r="D164" i="12"/>
  <c r="D166" i="12"/>
  <c r="D168" i="12"/>
  <c r="D170" i="12"/>
  <c r="D172" i="12"/>
  <c r="D174" i="12"/>
  <c r="D176" i="12"/>
  <c r="D178" i="12"/>
  <c r="D180" i="12"/>
  <c r="D182" i="12"/>
  <c r="D184" i="12"/>
  <c r="D186" i="12"/>
  <c r="D188" i="12"/>
  <c r="D190" i="12"/>
  <c r="D192" i="12"/>
  <c r="D194" i="12"/>
  <c r="D196" i="12"/>
  <c r="D198" i="12"/>
  <c r="D200" i="12"/>
  <c r="D202" i="12"/>
  <c r="D204" i="12"/>
  <c r="D206" i="12"/>
  <c r="D208" i="12"/>
  <c r="D210" i="12"/>
  <c r="D212" i="12"/>
  <c r="D214" i="12"/>
  <c r="D216" i="12"/>
  <c r="D218" i="12"/>
  <c r="D220" i="12"/>
  <c r="D222" i="12"/>
  <c r="D224" i="12"/>
  <c r="D226" i="12"/>
  <c r="D228" i="12"/>
  <c r="D230" i="12"/>
  <c r="D232" i="12"/>
  <c r="D234" i="12"/>
  <c r="D236" i="12"/>
  <c r="D238" i="12"/>
  <c r="D240" i="12"/>
  <c r="D242" i="12"/>
  <c r="D244" i="12"/>
  <c r="D246" i="12"/>
  <c r="D248" i="12"/>
  <c r="D250" i="12"/>
  <c r="D252" i="12"/>
  <c r="D254" i="12"/>
  <c r="D256" i="12"/>
  <c r="D258" i="12"/>
  <c r="D260" i="12"/>
  <c r="D262" i="12"/>
  <c r="D264" i="12"/>
  <c r="D266" i="12"/>
  <c r="D268" i="12"/>
  <c r="D270" i="12"/>
  <c r="D272" i="12"/>
  <c r="D274" i="12"/>
  <c r="D276" i="12"/>
  <c r="D278" i="12"/>
  <c r="D280" i="12"/>
  <c r="D282" i="12"/>
  <c r="D284" i="12"/>
  <c r="D286" i="12"/>
  <c r="D288" i="12"/>
  <c r="D290" i="12"/>
  <c r="D292" i="12"/>
  <c r="D294" i="12"/>
  <c r="D296" i="12"/>
  <c r="D298" i="12"/>
  <c r="D300" i="12"/>
  <c r="D302" i="12"/>
  <c r="D304" i="12"/>
  <c r="D306" i="12"/>
  <c r="D310" i="12"/>
  <c r="D314" i="12"/>
  <c r="D318" i="12"/>
  <c r="D322" i="12"/>
  <c r="D326" i="12"/>
  <c r="D330" i="12"/>
  <c r="D334" i="12"/>
  <c r="D338" i="12"/>
  <c r="D342" i="12"/>
  <c r="D346" i="12"/>
  <c r="D350" i="12"/>
  <c r="D354" i="12"/>
  <c r="D358" i="12"/>
  <c r="D362" i="12"/>
  <c r="D366" i="12"/>
  <c r="D370" i="12"/>
  <c r="D374" i="12"/>
  <c r="D378" i="12"/>
  <c r="D382" i="12"/>
  <c r="D386" i="12"/>
  <c r="D390" i="12"/>
  <c r="D394" i="12"/>
  <c r="D398" i="12"/>
  <c r="D402" i="12"/>
  <c r="D406" i="12"/>
  <c r="D410" i="12"/>
  <c r="D414" i="12"/>
  <c r="D418" i="12"/>
  <c r="D422" i="12"/>
  <c r="D426" i="12"/>
  <c r="D430" i="12"/>
  <c r="D434" i="12"/>
  <c r="D438" i="12"/>
  <c r="D442" i="12"/>
  <c r="D446" i="12"/>
  <c r="D450" i="12"/>
  <c r="D454" i="12"/>
  <c r="D458" i="12"/>
  <c r="D462" i="12"/>
  <c r="D466" i="12"/>
  <c r="D470" i="12"/>
  <c r="D474" i="12"/>
  <c r="D475" i="12"/>
  <c r="D4" i="12"/>
  <c r="D3" i="12"/>
  <c r="H50" i="13"/>
  <c r="H48" i="13"/>
  <c r="H46" i="13"/>
  <c r="H44" i="13"/>
  <c r="H42" i="13"/>
  <c r="H40" i="13"/>
  <c r="H38" i="13"/>
  <c r="H36" i="13"/>
  <c r="H25" i="13"/>
  <c r="H23" i="13"/>
  <c r="H21" i="13"/>
  <c r="H19" i="13"/>
  <c r="H17" i="13"/>
  <c r="H15" i="13"/>
  <c r="H13" i="13"/>
  <c r="H8" i="13"/>
  <c r="H34" i="13"/>
  <c r="H7" i="13"/>
  <c r="H32" i="13"/>
  <c r="H30" i="13"/>
  <c r="H3" i="13"/>
  <c r="H27" i="13"/>
  <c r="H11" i="13"/>
  <c r="H5" i="1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9" i="13"/>
  <c r="H4" i="13"/>
  <c r="H33" i="13"/>
  <c r="H6" i="13"/>
  <c r="H31" i="13"/>
  <c r="H29" i="13"/>
  <c r="H12" i="13"/>
  <c r="H26" i="13"/>
  <c r="H10" i="13"/>
  <c r="H28" i="13"/>
  <c r="F99" i="3"/>
  <c r="F432" i="3"/>
  <c r="F161" i="3"/>
  <c r="F246" i="3"/>
  <c r="F247" i="3"/>
  <c r="F124" i="3"/>
  <c r="F245" i="3"/>
  <c r="F486" i="3"/>
  <c r="F483" i="3"/>
  <c r="F478" i="3"/>
  <c r="F475" i="3"/>
  <c r="F470" i="3"/>
  <c r="F467" i="3"/>
  <c r="F461" i="3"/>
  <c r="F456" i="3"/>
  <c r="F453" i="3"/>
  <c r="F435" i="3"/>
  <c r="F445" i="3"/>
  <c r="F441" i="3"/>
  <c r="F437" i="3"/>
  <c r="F433" i="3"/>
  <c r="F428" i="3"/>
  <c r="F424" i="3"/>
  <c r="F420" i="3"/>
  <c r="F416" i="3"/>
  <c r="F412" i="3"/>
  <c r="F406" i="3"/>
  <c r="F398" i="3"/>
  <c r="F390" i="3"/>
  <c r="F382" i="3"/>
  <c r="F374" i="3"/>
  <c r="F365" i="3"/>
  <c r="F358" i="3"/>
  <c r="F139" i="3"/>
  <c r="F67" i="3"/>
  <c r="F488" i="3"/>
  <c r="F485" i="3"/>
  <c r="F480" i="3"/>
  <c r="F477" i="3"/>
  <c r="F472" i="3"/>
  <c r="F469" i="3"/>
  <c r="F464" i="3"/>
  <c r="F460" i="3"/>
  <c r="F455" i="3"/>
  <c r="F452" i="3"/>
  <c r="F448" i="3"/>
  <c r="F444" i="3"/>
  <c r="F440" i="3"/>
  <c r="F436" i="3"/>
  <c r="F417" i="3"/>
  <c r="F427" i="3"/>
  <c r="F423" i="3"/>
  <c r="F419" i="3"/>
  <c r="F415" i="3"/>
  <c r="F411" i="3"/>
  <c r="F404" i="3"/>
  <c r="F389" i="3"/>
  <c r="F388" i="3"/>
  <c r="F380" i="3"/>
  <c r="F372" i="3"/>
  <c r="F370" i="3"/>
  <c r="F356" i="3"/>
  <c r="F126" i="3"/>
  <c r="F51" i="3"/>
  <c r="F468" i="3"/>
  <c r="F487" i="3"/>
  <c r="F482" i="3"/>
  <c r="F479" i="3"/>
  <c r="F474" i="3"/>
  <c r="F471" i="3"/>
  <c r="F449" i="3"/>
  <c r="F463" i="3"/>
  <c r="F459" i="3"/>
  <c r="F454" i="3"/>
  <c r="F451" i="3"/>
  <c r="F447" i="3"/>
  <c r="F443" i="3"/>
  <c r="F439" i="3"/>
  <c r="F434" i="3"/>
  <c r="F430" i="3"/>
  <c r="F426" i="3"/>
  <c r="F422" i="3"/>
  <c r="F418" i="3"/>
  <c r="F401" i="3"/>
  <c r="F410" i="3"/>
  <c r="F402" i="3"/>
  <c r="F394" i="3"/>
  <c r="F386" i="3"/>
  <c r="F378" i="3"/>
  <c r="F369" i="3"/>
  <c r="F353" i="3"/>
  <c r="F172" i="3"/>
  <c r="F105" i="3"/>
  <c r="F34" i="3"/>
  <c r="F119" i="3"/>
  <c r="F489" i="3"/>
  <c r="F484" i="3"/>
  <c r="F481" i="3"/>
  <c r="F476" i="3"/>
  <c r="F473" i="3"/>
  <c r="F466" i="3"/>
  <c r="F465" i="3"/>
  <c r="F462" i="3"/>
  <c r="F457" i="3"/>
  <c r="F458" i="3"/>
  <c r="F450" i="3"/>
  <c r="F446" i="3"/>
  <c r="F442" i="3"/>
  <c r="F438" i="3"/>
  <c r="F431" i="3"/>
  <c r="F429" i="3"/>
  <c r="F425" i="3"/>
  <c r="F421" i="3"/>
  <c r="F414" i="3"/>
  <c r="F413" i="3"/>
  <c r="F408" i="3"/>
  <c r="F400" i="3"/>
  <c r="F392" i="3"/>
  <c r="F384" i="3"/>
  <c r="F376" i="3"/>
  <c r="F367" i="3"/>
  <c r="F360" i="3"/>
  <c r="F155" i="3"/>
  <c r="F87" i="3"/>
  <c r="F18" i="3"/>
  <c r="F168" i="3"/>
  <c r="F150" i="3"/>
  <c r="F98" i="3"/>
  <c r="F117" i="3"/>
  <c r="F101" i="3"/>
  <c r="F83" i="3"/>
  <c r="F61" i="3"/>
  <c r="F46" i="3"/>
  <c r="F33" i="3"/>
  <c r="F14" i="3"/>
  <c r="F409" i="3"/>
  <c r="F407" i="3"/>
  <c r="F405" i="3"/>
  <c r="F403" i="3"/>
  <c r="F396" i="3"/>
  <c r="F399" i="3"/>
  <c r="F397" i="3"/>
  <c r="F395" i="3"/>
  <c r="F393" i="3"/>
  <c r="F391" i="3"/>
  <c r="F362" i="3"/>
  <c r="F387" i="3"/>
  <c r="F385" i="3"/>
  <c r="F383" i="3"/>
  <c r="F381" i="3"/>
  <c r="F379" i="3"/>
  <c r="F377" i="3"/>
  <c r="F375" i="3"/>
  <c r="F373" i="3"/>
  <c r="F371" i="3"/>
  <c r="F368" i="3"/>
  <c r="F366" i="3"/>
  <c r="F364" i="3"/>
  <c r="F363" i="3"/>
  <c r="F361" i="3"/>
  <c r="F359" i="3"/>
  <c r="F357" i="3"/>
  <c r="F355" i="3"/>
  <c r="F180" i="3"/>
  <c r="F164" i="3"/>
  <c r="F147" i="3"/>
  <c r="F131" i="3"/>
  <c r="F113" i="3"/>
  <c r="F96" i="3"/>
  <c r="F79" i="3"/>
  <c r="F59" i="3"/>
  <c r="F42" i="3"/>
  <c r="F26" i="3"/>
  <c r="F10" i="3"/>
  <c r="F176" i="3"/>
  <c r="F159" i="3"/>
  <c r="F143" i="3"/>
  <c r="F129" i="3"/>
  <c r="F109" i="3"/>
  <c r="F91" i="3"/>
  <c r="F71" i="3"/>
  <c r="F55" i="3"/>
  <c r="F38" i="3"/>
  <c r="F22" i="3"/>
  <c r="F6" i="3"/>
  <c r="F354" i="3"/>
  <c r="F352" i="3"/>
  <c r="F345" i="3"/>
  <c r="F348" i="3"/>
  <c r="F346" i="3"/>
  <c r="F344" i="3"/>
  <c r="F342" i="3"/>
  <c r="F340" i="3"/>
  <c r="F338" i="3"/>
  <c r="F336" i="3"/>
  <c r="F334" i="3"/>
  <c r="F332" i="3"/>
  <c r="F330" i="3"/>
  <c r="F328" i="3"/>
  <c r="F326" i="3"/>
  <c r="F320" i="3"/>
  <c r="F322" i="3"/>
  <c r="F319" i="3"/>
  <c r="F317" i="3"/>
  <c r="F315" i="3"/>
  <c r="F314" i="3"/>
  <c r="F312" i="3"/>
  <c r="F310" i="3"/>
  <c r="F308" i="3"/>
  <c r="F306" i="3"/>
  <c r="F304" i="3"/>
  <c r="F302" i="3"/>
  <c r="F300" i="3"/>
  <c r="F298" i="3"/>
  <c r="F296" i="3"/>
  <c r="F291" i="3"/>
  <c r="F292" i="3"/>
  <c r="F290" i="3"/>
  <c r="F288" i="3"/>
  <c r="F286" i="3"/>
  <c r="F284" i="3"/>
  <c r="F281" i="3"/>
  <c r="F280" i="3"/>
  <c r="F278" i="3"/>
  <c r="F276" i="3"/>
  <c r="F274" i="3"/>
  <c r="F272" i="3"/>
  <c r="F270" i="3"/>
  <c r="F268" i="3"/>
  <c r="F266" i="3"/>
  <c r="F264" i="3"/>
  <c r="F262" i="3"/>
  <c r="F258" i="3"/>
  <c r="F242" i="3"/>
  <c r="F256" i="3"/>
  <c r="F254" i="3"/>
  <c r="F252" i="3"/>
  <c r="F250" i="3"/>
  <c r="F248" i="3"/>
  <c r="F243" i="3"/>
  <c r="F241" i="3"/>
  <c r="F239" i="3"/>
  <c r="F237" i="3"/>
  <c r="F235" i="3"/>
  <c r="F233" i="3"/>
  <c r="F231" i="3"/>
  <c r="F229" i="3"/>
  <c r="F227" i="3"/>
  <c r="F225" i="3"/>
  <c r="F223" i="3"/>
  <c r="F221" i="3"/>
  <c r="F217" i="3"/>
  <c r="F215" i="3"/>
  <c r="F213" i="3"/>
  <c r="F211" i="3"/>
  <c r="F209" i="3"/>
  <c r="F207" i="3"/>
  <c r="F206" i="3"/>
  <c r="F218" i="3"/>
  <c r="F203" i="3"/>
  <c r="F201" i="3"/>
  <c r="F199" i="3"/>
  <c r="F197" i="3"/>
  <c r="F195" i="3"/>
  <c r="F193" i="3"/>
  <c r="F191" i="3"/>
  <c r="F189" i="3"/>
  <c r="F187" i="3"/>
  <c r="F183" i="3"/>
  <c r="F182" i="3"/>
  <c r="F179" i="3"/>
  <c r="F175" i="3"/>
  <c r="F162" i="3"/>
  <c r="F167" i="3"/>
  <c r="F163" i="3"/>
  <c r="F158" i="3"/>
  <c r="F154" i="3"/>
  <c r="F153" i="3"/>
  <c r="F146" i="3"/>
  <c r="F141" i="3"/>
  <c r="F138" i="3"/>
  <c r="F134" i="3"/>
  <c r="F130" i="3"/>
  <c r="F125" i="3"/>
  <c r="F121" i="3"/>
  <c r="F116" i="3"/>
  <c r="F112" i="3"/>
  <c r="F108" i="3"/>
  <c r="F104" i="3"/>
  <c r="F100" i="3"/>
  <c r="F95" i="3"/>
  <c r="F90" i="3"/>
  <c r="F86" i="3"/>
  <c r="F82" i="3"/>
  <c r="F74" i="3"/>
  <c r="F70" i="3"/>
  <c r="F66" i="3"/>
  <c r="F62" i="3"/>
  <c r="F47" i="3"/>
  <c r="F54" i="3"/>
  <c r="F50" i="3"/>
  <c r="F45" i="3"/>
  <c r="F41" i="3"/>
  <c r="F37" i="3"/>
  <c r="F32" i="3"/>
  <c r="F29" i="3"/>
  <c r="F25" i="3"/>
  <c r="F21" i="3"/>
  <c r="F17" i="3"/>
  <c r="F13" i="3"/>
  <c r="F9" i="3"/>
  <c r="F5" i="3"/>
  <c r="F181" i="3"/>
  <c r="F171" i="3"/>
  <c r="F174" i="3"/>
  <c r="F170" i="3"/>
  <c r="F166" i="3"/>
  <c r="F140" i="3"/>
  <c r="F157" i="3"/>
  <c r="F152" i="3"/>
  <c r="F149" i="3"/>
  <c r="F145" i="3"/>
  <c r="F142" i="3"/>
  <c r="F137" i="3"/>
  <c r="F133" i="3"/>
  <c r="F128" i="3"/>
  <c r="F123" i="3"/>
  <c r="F120" i="3"/>
  <c r="F115" i="3"/>
  <c r="F111" i="3"/>
  <c r="F107" i="3"/>
  <c r="F103" i="3"/>
  <c r="F88" i="3"/>
  <c r="F93" i="3"/>
  <c r="F89" i="3"/>
  <c r="F85" i="3"/>
  <c r="F69" i="3"/>
  <c r="F73" i="3"/>
  <c r="F63" i="3"/>
  <c r="F65" i="3"/>
  <c r="F58" i="3"/>
  <c r="F57" i="3"/>
  <c r="F53" i="3"/>
  <c r="F49" i="3"/>
  <c r="F44" i="3"/>
  <c r="F40" i="3"/>
  <c r="F36" i="3"/>
  <c r="F31" i="3"/>
  <c r="F28" i="3"/>
  <c r="F24" i="3"/>
  <c r="F20" i="3"/>
  <c r="F16" i="3"/>
  <c r="F12" i="3"/>
  <c r="F8" i="3"/>
  <c r="F4" i="3"/>
  <c r="F350" i="3"/>
  <c r="F351" i="3"/>
  <c r="F349" i="3"/>
  <c r="F347" i="3"/>
  <c r="F324" i="3"/>
  <c r="F343" i="3"/>
  <c r="F341" i="3"/>
  <c r="F339" i="3"/>
  <c r="F337" i="3"/>
  <c r="F335" i="3"/>
  <c r="F333" i="3"/>
  <c r="F331" i="3"/>
  <c r="F329" i="3"/>
  <c r="F327" i="3"/>
  <c r="F325" i="3"/>
  <c r="F323" i="3"/>
  <c r="F321" i="3"/>
  <c r="F318" i="3"/>
  <c r="F316" i="3"/>
  <c r="F313" i="3"/>
  <c r="F311" i="3"/>
  <c r="F294" i="3"/>
  <c r="F309" i="3"/>
  <c r="F307" i="3"/>
  <c r="F305" i="3"/>
  <c r="F303" i="3"/>
  <c r="F301" i="3"/>
  <c r="F299" i="3"/>
  <c r="F297" i="3"/>
  <c r="F295" i="3"/>
  <c r="F293" i="3"/>
  <c r="F285" i="3"/>
  <c r="F289" i="3"/>
  <c r="F287" i="3"/>
  <c r="F283" i="3"/>
  <c r="F282" i="3"/>
  <c r="F260" i="3"/>
  <c r="F279" i="3"/>
  <c r="F277" i="3"/>
  <c r="F275" i="3"/>
  <c r="F273" i="3"/>
  <c r="F271" i="3"/>
  <c r="F269" i="3"/>
  <c r="F267" i="3"/>
  <c r="F265" i="3"/>
  <c r="F263" i="3"/>
  <c r="F261" i="3"/>
  <c r="F259" i="3"/>
  <c r="F257" i="3"/>
  <c r="F255" i="3"/>
  <c r="F253" i="3"/>
  <c r="F251" i="3"/>
  <c r="F249" i="3"/>
  <c r="F244" i="3"/>
  <c r="F224" i="3"/>
  <c r="F240" i="3"/>
  <c r="F238" i="3"/>
  <c r="F236" i="3"/>
  <c r="F234" i="3"/>
  <c r="F232" i="3"/>
  <c r="F230" i="3"/>
  <c r="F228" i="3"/>
  <c r="F226" i="3"/>
  <c r="F186" i="3"/>
  <c r="F222" i="3"/>
  <c r="F220" i="3"/>
  <c r="F216" i="3"/>
  <c r="F214" i="3"/>
  <c r="F212" i="3"/>
  <c r="F210" i="3"/>
  <c r="F208" i="3"/>
  <c r="F219" i="3"/>
  <c r="F205" i="3"/>
  <c r="F204" i="3"/>
  <c r="F202" i="3"/>
  <c r="F200" i="3"/>
  <c r="F198" i="3"/>
  <c r="F196" i="3"/>
  <c r="F194" i="3"/>
  <c r="F192" i="3"/>
  <c r="F190" i="3"/>
  <c r="F188" i="3"/>
  <c r="F185" i="3"/>
  <c r="F184" i="3"/>
  <c r="F178" i="3"/>
  <c r="F177" i="3"/>
  <c r="F173" i="3"/>
  <c r="F169" i="3"/>
  <c r="F165" i="3"/>
  <c r="F160" i="3"/>
  <c r="F156" i="3"/>
  <c r="F151" i="3"/>
  <c r="F148" i="3"/>
  <c r="F144" i="3"/>
  <c r="F135" i="3"/>
  <c r="F136" i="3"/>
  <c r="F132" i="3"/>
  <c r="F127" i="3"/>
  <c r="F122" i="3"/>
  <c r="F118" i="3"/>
  <c r="F114" i="3"/>
  <c r="F110" i="3"/>
  <c r="F106" i="3"/>
  <c r="F102" i="3"/>
  <c r="F97" i="3"/>
  <c r="F92" i="3"/>
  <c r="F81" i="3"/>
  <c r="F84" i="3"/>
  <c r="F80" i="3"/>
  <c r="F72" i="3"/>
  <c r="F68" i="3"/>
  <c r="F64" i="3"/>
  <c r="F60" i="3"/>
  <c r="F56" i="3"/>
  <c r="F52" i="3"/>
  <c r="F48" i="3"/>
  <c r="F43" i="3"/>
  <c r="F39" i="3"/>
  <c r="F35" i="3"/>
  <c r="F30" i="3"/>
  <c r="F27" i="3"/>
  <c r="F23" i="3"/>
  <c r="F19" i="3"/>
  <c r="F15" i="3"/>
  <c r="F11" i="3"/>
  <c r="F7" i="3"/>
  <c r="F3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13" i="14" a="1"/>
  <c r="E22" i="14" a="1"/>
  <c r="E24" i="14" a="1"/>
  <c r="E12" i="14" a="1"/>
  <c r="E34" i="14" a="1"/>
  <c r="E29" i="14" a="1"/>
  <c r="E33" i="14" a="1"/>
  <c r="E18" i="14" a="1"/>
  <c r="E9" i="14" a="1"/>
  <c r="E30" i="14" a="1"/>
  <c r="E14" i="14" a="1"/>
  <c r="E19" i="14" a="1"/>
  <c r="E20" i="14" a="1"/>
  <c r="E16" i="14" a="1"/>
  <c r="E21" i="14" a="1"/>
  <c r="E17" i="14" a="1"/>
  <c r="E4" i="14" a="1"/>
  <c r="E23" i="14" a="1"/>
  <c r="E31" i="14" a="1"/>
  <c r="E32" i="14" a="1"/>
  <c r="E25" i="14" a="1"/>
  <c r="E14" i="14" l="1"/>
  <c r="E34" i="14"/>
  <c r="E25" i="14"/>
  <c r="E17" i="14"/>
  <c r="E30" i="14"/>
  <c r="E12" i="14"/>
  <c r="E32" i="14"/>
  <c r="E21" i="14"/>
  <c r="E9" i="14"/>
  <c r="E24" i="14"/>
  <c r="E31" i="14"/>
  <c r="E16" i="14"/>
  <c r="E18" i="14"/>
  <c r="E22" i="14"/>
  <c r="E23" i="14"/>
  <c r="E20" i="14"/>
  <c r="E33" i="14"/>
  <c r="E13" i="14"/>
  <c r="E4" i="14"/>
  <c r="E19" i="14"/>
  <c r="E29" i="14"/>
  <c r="G27" i="13"/>
  <c r="C27" i="14" s="1"/>
  <c r="G10" i="13"/>
  <c r="C10" i="14" s="1"/>
  <c r="G28" i="13"/>
  <c r="C28" i="14" s="1"/>
  <c r="G11" i="13"/>
  <c r="C11" i="14" s="1"/>
  <c r="G26" i="13"/>
  <c r="C26" i="14" s="1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C3" i="14" l="1"/>
  <c r="E3" i="14" a="1"/>
  <c r="E7" i="14" a="1"/>
  <c r="E11" i="14" a="1"/>
  <c r="E26" i="14" a="1"/>
  <c r="E8" i="14" a="1"/>
  <c r="E5" i="14" a="1"/>
  <c r="E27" i="14" a="1"/>
  <c r="E10" i="14" a="1"/>
  <c r="E28" i="14" a="1"/>
  <c r="E6" i="14" a="1"/>
  <c r="E6" i="14" l="1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<sst xmlns="http://schemas.openxmlformats.org/spreadsheetml/2006/main" count="2705" uniqueCount="1957">
  <si>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</si>
  <si>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</si>
  <si>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</si>
  <si>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</si>
  <si>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</si>
  <si>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</si>
  <si>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</si>
  <si>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</si>
  <si>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</si>
  <si>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</si>
  <si>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</si>
  <si>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</si>
  <si>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</si>
  <si>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</si>
  <si>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</si>
  <si>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</si>
  <si>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</si>
  <si>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</si>
  <si>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</si>
  <si>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</si>
  <si>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</si>
  <si>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</si>
  <si>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</si>
  <si>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</si>
  <si>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</si>
  <si>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</si>
  <si>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</si>
  <si>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</si>
  <si>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</si>
  <si>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</si>
  <si>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</si>
  <si>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</si>
  <si>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</si>
  <si>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</si>
  <si>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</si>
  <si>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</si>
  <si>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</si>
  <si>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</si>
  <si>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</si>
  <si>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</si>
  <si>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</si>
  <si>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</si>
  <si>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</si>
  <si>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</si>
  <si>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</si>
  <si>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</si>
  <si>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</si>
  <si>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</si>
  <si>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</si>
  <si>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</si>
  <si>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</si>
  <si>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</si>
  <si>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</si>
  <si>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</si>
  <si>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</si>
  <si>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</si>
  <si>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</si>
  <si>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</si>
  <si>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</si>
  <si>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</si>
  <si>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</si>
  <si>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</si>
  <si>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</si>
  <si>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</si>
  <si>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</si>
  <si>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</si>
  <si>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</si>
  <si>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</si>
  <si>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</si>
  <si>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</si>
  <si>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</si>
  <si>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</si>
  <si>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</si>
  <si>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</si>
  <si>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</si>
  <si>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</si>
  <si>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</si>
  <si>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</si>
  <si>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</si>
  <si>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</si>
  <si>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</si>
  <si>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</si>
  <si>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</si>
  <si>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</si>
  <si>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</si>
  <si>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</si>
  <si>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</si>
  <si>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</si>
  <si>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</si>
  <si>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</si>
  <si>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</si>
  <si>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</si>
  <si>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</si>
  <si>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</si>
  <si>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</si>
  <si>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</si>
  <si>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</si>
  <si>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</si>
  <si>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</si>
  <si>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</si>
  <si>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</si>
  <si>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</si>
  <si>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</si>
  <si>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</si>
  <si>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</si>
  <si>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</si>
  <si>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</si>
  <si>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</si>
  <si>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</si>
  <si>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</si>
  <si>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</si>
  <si>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</si>
  <si>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</si>
  <si>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</si>
  <si>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</si>
  <si>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</si>
  <si>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</si>
  <si>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</si>
  <si>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</si>
  <si>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</si>
  <si>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</si>
  <si>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</si>
  <si>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</si>
  <si>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</si>
  <si>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</si>
  <si>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</si>
  <si>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</si>
  <si>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</si>
  <si>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</si>
  <si>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</si>
  <si>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</si>
  <si>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</si>
  <si>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</si>
  <si>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</si>
  <si>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</si>
  <si>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</si>
  <si>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</si>
  <si>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</si>
  <si>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</si>
  <si>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</si>
  <si>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</si>
  <si>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</si>
  <si>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</si>
  <si>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</si>
  <si>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</si>
  <si>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</si>
  <si>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</si>
  <si>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</si>
  <si>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</si>
  <si>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</si>
  <si>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</si>
  <si>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</si>
  <si>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</si>
  <si>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</si>
  <si>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</si>
  <si>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</si>
  <si>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</si>
  <si>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</si>
  <si>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</si>
  <si>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</si>
  <si>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</si>
  <si>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</si>
  <si>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</si>
  <si>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</si>
  <si>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</si>
  <si>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</si>
  <si>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</si>
  <si>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</si>
  <si>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</si>
  <si>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</si>
  <si>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</si>
  <si>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</si>
  <si>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</si>
  <si>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</si>
  <si>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</si>
  <si>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</si>
  <si>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</si>
  <si>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</si>
  <si>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</si>
  <si>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</si>
  <si>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</si>
  <si>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</si>
  <si>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</si>
  <si>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</si>
  <si>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</si>
  <si>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</si>
  <si>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</si>
  <si>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</si>
  <si>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</si>
  <si>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</si>
  <si>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</si>
  <si>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</si>
  <si>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</si>
  <si>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</si>
  <si>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</si>
  <si>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</si>
  <si>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</si>
  <si>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</si>
  <si>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</si>
  <si>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</si>
  <si>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</si>
  <si>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</si>
  <si>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</si>
  <si>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</si>
  <si>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</si>
  <si>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</si>
  <si>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</si>
  <si>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</si>
  <si>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</si>
  <si>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</si>
  <si>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</si>
  <si>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</si>
  <si>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</si>
  <si>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</si>
  <si>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</si>
  <si>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</si>
  <si>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</si>
  <si>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</si>
  <si>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</si>
  <si>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</si>
  <si>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</si>
  <si>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</si>
  <si>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</si>
  <si>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</si>
  <si>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</si>
  <si>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</si>
  <si>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</si>
  <si>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</si>
  <si>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</si>
  <si>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</si>
  <si>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</si>
  <si>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</si>
  <si>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</si>
  <si>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</si>
  <si>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</si>
  <si>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</si>
  <si>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</si>
  <si>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</si>
  <si>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</si>
  <si>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</si>
  <si>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</si>
  <si>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</si>
  <si>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</si>
  <si>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</si>
  <si>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</si>
  <si>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</si>
  <si>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</si>
  <si>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</si>
  <si>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</si>
  <si>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</si>
  <si>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</si>
  <si>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</si>
  <si>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</si>
  <si>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</si>
  <si>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</si>
  <si>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</si>
  <si>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</si>
  <si>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</si>
  <si>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</si>
  <si>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</si>
  <si>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</si>
  <si>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</si>
  <si>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</si>
  <si>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</si>
  <si>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</si>
  <si>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</si>
  <si>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</si>
  <si>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</si>
  <si>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</si>
  <si>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</si>
  <si>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</si>
  <si>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</si>
  <si>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</si>
  <si>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</si>
  <si>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</si>
  <si>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</si>
  <si>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</si>
  <si>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</si>
  <si>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</si>
  <si>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</si>
  <si>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</si>
  <si>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</si>
  <si>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</si>
  <si>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</si>
  <si>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</si>
  <si>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</si>
  <si>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</si>
  <si>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</si>
  <si>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</si>
  <si>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</si>
  <si>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</si>
  <si>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</si>
  <si>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</si>
  <si>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</si>
  <si>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</si>
  <si>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</si>
  <si>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</si>
  <si>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</si>
  <si>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</si>
  <si>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</si>
  <si>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</si>
  <si>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</si>
  <si>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</si>
  <si>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</si>
  <si>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</si>
  <si>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</si>
  <si>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</si>
  <si>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</si>
  <si>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</si>
  <si>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</si>
  <si>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</si>
  <si>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</si>
  <si>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</si>
  <si>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</si>
  <si>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</si>
  <si>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</si>
  <si>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</si>
  <si>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</si>
  <si>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</si>
  <si>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</si>
  <si>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</si>
  <si>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</si>
  <si>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</si>
  <si>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</si>
  <si>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</si>
  <si>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</si>
  <si>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</si>
  <si>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</si>
  <si>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</si>
  <si>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</si>
  <si>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</si>
  <si>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</si>
  <si>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</si>
  <si>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</si>
  <si>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</si>
  <si>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</si>
  <si>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</si>
  <si>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</si>
  <si>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</si>
  <si>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</si>
  <si>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</si>
  <si>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</si>
  <si>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</si>
  <si>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</si>
  <si>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</si>
  <si>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</si>
  <si>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</si>
  <si>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</si>
  <si>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</si>
  <si>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</si>
  <si>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</si>
  <si>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</si>
  <si>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</si>
  <si>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</si>
  <si>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</si>
  <si>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</si>
  <si>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</si>
  <si>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</si>
  <si>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</si>
  <si>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</si>
  <si>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</si>
  <si>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</si>
  <si>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</si>
  <si>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</si>
  <si>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</si>
  <si>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</si>
  <si>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</si>
  <si>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</si>
  <si>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</si>
  <si>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</si>
  <si>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</si>
  <si>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</si>
  <si>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</si>
  <si>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</si>
  <si>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</si>
  <si>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</si>
  <si>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</si>
  <si>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</si>
  <si>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</si>
  <si>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</si>
  <si>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</si>
  <si>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</si>
  <si>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</si>
  <si>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</si>
  <si>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</si>
  <si>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</si>
  <si>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</si>
  <si>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</si>
  <si>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</si>
  <si>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</si>
  <si>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</si>
  <si>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</si>
  <si>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</si>
  <si>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</si>
  <si>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</si>
  <si>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</si>
  <si>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</si>
  <si>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</si>
  <si>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</si>
  <si>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</si>
  <si>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</si>
  <si>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</si>
  <si>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</si>
  <si>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</si>
  <si>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</si>
  <si>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</si>
  <si>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</si>
  <si>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</si>
  <si>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</si>
  <si>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</si>
  <si>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</si>
  <si>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</si>
  <si>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</si>
  <si>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</si>
  <si>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</si>
  <si>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</si>
  <si>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</si>
  <si>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</si>
  <si>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</si>
  <si>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</si>
  <si>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</si>
  <si>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</si>
  <si>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</si>
  <si>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</si>
  <si>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</si>
  <si>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</si>
  <si>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</si>
  <si>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</si>
  <si>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</si>
  <si>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</si>
  <si>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</si>
  <si>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</si>
  <si>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</si>
  <si>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</si>
  <si>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</si>
  <si>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</si>
  <si>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</si>
  <si>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</si>
  <si>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</si>
  <si>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</si>
  <si>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</si>
  <si>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</si>
  <si>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</si>
  <si>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</si>
  <si>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</si>
  <si>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</si>
  <si>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</si>
  <si>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</si>
  <si>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</si>
  <si>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</si>
  <si>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</si>
  <si>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</si>
  <si>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</si>
  <si>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</si>
  <si>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</si>
  <si>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</si>
  <si>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</si>
  <si>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</si>
  <si>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</si>
  <si>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</si>
  <si>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</si>
  <si>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</si>
  <si>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</si>
  <si>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</si>
  <si>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</si>
  <si>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</si>
  <si>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</si>
  <si>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</si>
  <si>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</si>
  <si>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</si>
  <si>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</si>
  <si>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</si>
  <si>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</si>
  <si>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</si>
  <si>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</si>
  <si>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</si>
  <si>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</si>
  <si>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</si>
  <si>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</si>
  <si>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</si>
  <si>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</si>
  <si>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</si>
  <si>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</si>
  <si>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</si>
  <si>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</si>
  <si>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</si>
  <si>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</si>
  <si>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</si>
  <si>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</si>
  <si>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</si>
  <si>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</si>
  <si>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</si>
  <si>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</si>
  <si>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</si>
  <si>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</si>
  <si>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</si>
  <si>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</si>
  <si>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</si>
  <si>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</si>
  <si>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</si>
  <si>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</si>
  <si>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</si>
  <si>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</si>
  <si>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</si>
  <si>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</si>
  <si>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</si>
  <si>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</si>
  <si>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</si>
  <si>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</si>
  <si>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</si>
  <si>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</si>
  <si>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</si>
  <si>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</si>
  <si>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</si>
  <si>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</si>
  <si>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</si>
  <si>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</si>
  <si>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</si>
  <si>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</si>
  <si>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</si>
  <si>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</si>
  <si>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</si>
  <si>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</si>
  <si>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</si>
  <si>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</si>
  <si>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</si>
  <si>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</si>
  <si>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</si>
  <si>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</si>
  <si>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</si>
  <si>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</si>
  <si>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</si>
  <si>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</si>
  <si>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</si>
  <si>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</si>
  <si>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</si>
  <si>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</si>
  <si>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</si>
  <si>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</si>
  <si>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</si>
  <si>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</si>
  <si>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</si>
  <si>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</si>
  <si>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</si>
  <si>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</si>
  <si>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</si>
  <si>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</si>
  <si>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</si>
  <si>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</si>
  <si>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</si>
  <si>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</si>
  <si>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</si>
  <si>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</si>
  <si>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</si>
  <si>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</si>
  <si>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</si>
  <si>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</si>
  <si>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</si>
  <si>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</si>
  <si>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</si>
  <si>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</si>
  <si>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</si>
  <si>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</si>
  <si>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</si>
  <si>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</si>
  <si>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</si>
  <si>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</si>
  <si>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</si>
  <si>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</si>
  <si>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</si>
  <si>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</si>
  <si>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</si>
  <si>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</si>
  <si>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</si>
  <si>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</si>
  <si>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</si>
  <si>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</si>
  <si>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</si>
  <si>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</si>
  <si>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</si>
  <si>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</si>
  <si>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</si>
  <si>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</si>
  <si>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</si>
  <si>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</si>
  <si>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</si>
  <si>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</si>
  <si>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</si>
  <si>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</si>
  <si>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</si>
  <si>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</si>
  <si>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</si>
  <si>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</si>
  <si>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</si>
  <si>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</si>
  <si>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</si>
  <si>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</si>
  <si>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</si>
  <si>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</si>
  <si>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</si>
  <si>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</si>
  <si>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</si>
  <si>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</si>
  <si>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</si>
  <si>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</si>
  <si>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</si>
  <si>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</si>
  <si>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</si>
  <si>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</si>
  <si>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</si>
  <si>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</si>
  <si>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</si>
  <si>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</si>
  <si>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</si>
  <si>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</si>
  <si>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</si>
  <si>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</si>
  <si>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</si>
  <si>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</si>
  <si>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</si>
  <si>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</si>
  <si>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</si>
  <si>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</si>
  <si>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</si>
  <si>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</si>
  <si>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</si>
  <si>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</si>
  <si>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</si>
  <si>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</si>
  <si>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</si>
  <si>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</si>
  <si>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</si>
  <si>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</si>
  <si>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</si>
  <si>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</si>
  <si>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</si>
  <si>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</si>
  <si>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</si>
  <si>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</si>
  <si>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</si>
  <si>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</si>
  <si>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</si>
  <si>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</si>
  <si>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</si>
  <si>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</si>
  <si>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</si>
  <si>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</si>
  <si>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</si>
  <si>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</si>
  <si>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</si>
  <si>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</si>
  <si>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</si>
  <si>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</si>
  <si>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</si>
  <si>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</si>
  <si>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</si>
  <si>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</si>
  <si>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</si>
  <si>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</si>
  <si>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</si>
  <si>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</si>
  <si>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</si>
  <si>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</si>
  <si>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</si>
  <si>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</si>
  <si>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</si>
  <si>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</si>
  <si>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</si>
  <si>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</si>
  <si>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</si>
  <si>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</si>
  <si>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</si>
  <si>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</si>
  <si>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</si>
  <si>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</si>
  <si>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</si>
  <si>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</si>
  <si>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</si>
  <si>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</si>
  <si>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</si>
  <si>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</si>
  <si>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</si>
  <si>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</si>
  <si>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</si>
  <si>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</si>
  <si>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</si>
  <si>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</si>
  <si>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</si>
  <si>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</si>
  <si>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</si>
  <si>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</si>
  <si>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</si>
  <si>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</si>
  <si>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</si>
  <si>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</si>
  <si>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</si>
  <si>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</si>
  <si>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</si>
  <si>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</si>
  <si>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</si>
  <si>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</si>
  <si>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</si>
  <si>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</si>
  <si>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</si>
  <si>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</si>
  <si>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</si>
  <si>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</si>
  <si>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</si>
  <si>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</si>
  <si>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</si>
  <si>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</si>
  <si>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</si>
  <si>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</si>
  <si>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</si>
  <si>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</si>
  <si>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</si>
  <si>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</si>
  <si>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</si>
  <si>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</si>
  <si>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</si>
  <si>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</si>
  <si>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</si>
  <si>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</si>
  <si>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</si>
  <si>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</si>
  <si>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</si>
  <si>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</si>
  <si>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</si>
  <si>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</si>
  <si>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</si>
  <si>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</si>
  <si>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</si>
  <si>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</si>
  <si>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</si>
  <si>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</si>
  <si>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</si>
  <si>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</si>
  <si>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</si>
  <si>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</si>
  <si>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</si>
  <si>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</si>
  <si>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</si>
  <si>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</si>
  <si>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</si>
  <si>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</si>
  <si>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</si>
  <si>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</si>
  <si>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</si>
  <si>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</si>
  <si>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</si>
  <si>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</si>
  <si>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</si>
  <si>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</si>
  <si>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</si>
  <si>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</si>
  <si>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</si>
  <si>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</si>
  <si>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</si>
  <si>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</si>
  <si>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</si>
  <si>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</si>
  <si>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</si>
  <si>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</si>
  <si>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</si>
  <si>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</si>
  <si>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</si>
  <si>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</si>
  <si>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</si>
  <si>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</si>
  <si>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</si>
  <si>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</si>
  <si>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</si>
  <si>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</si>
  <si>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</si>
  <si>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</si>
  <si>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</si>
  <si>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</si>
  <si>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</si>
  <si>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</si>
  <si>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</si>
  <si>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</si>
  <si>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</si>
  <si>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</si>
  <si>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</si>
  <si>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</si>
  <si>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</si>
  <si>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</si>
  <si>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</si>
  <si>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</si>
  <si>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</si>
  <si>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</si>
  <si>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</si>
  <si>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</si>
  <si>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</si>
  <si>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</si>
  <si>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</si>
  <si>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</si>
  <si>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</si>
  <si>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</si>
  <si>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</si>
  <si>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</si>
  <si>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</si>
  <si>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</si>
  <si>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</si>
  <si>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</si>
  <si>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</si>
  <si>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</si>
  <si>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</si>
  <si>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</si>
  <si>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</si>
  <si>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</si>
  <si>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</si>
  <si>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</si>
  <si>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</si>
  <si>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</si>
  <si>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</si>
  <si>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</si>
  <si>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</si>
  <si>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</si>
  <si>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</si>
  <si>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</si>
  <si>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</si>
  <si>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</si>
  <si>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</si>
  <si>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</si>
  <si>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</si>
  <si>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</si>
  <si>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</si>
  <si>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</si>
  <si>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</si>
  <si>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</si>
  <si>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</si>
  <si>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</si>
  <si>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</si>
  <si>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</si>
  <si>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</si>
  <si>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</si>
  <si>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</si>
  <si>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</si>
  <si>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</si>
  <si>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</si>
  <si>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</si>
  <si>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</si>
  <si>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</si>
  <si>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</si>
  <si>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</si>
  <si>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</si>
  <si>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</si>
  <si>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</si>
  <si>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</si>
  <si>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</si>
  <si>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</si>
  <si>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</si>
  <si>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</si>
  <si>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</si>
  <si>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</si>
  <si>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</si>
  <si>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</si>
  <si>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</si>
  <si>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</si>
  <si>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</si>
  <si>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</si>
  <si>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</si>
  <si>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</si>
  <si>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</si>
  <si>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</si>
  <si>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</si>
  <si>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</si>
  <si>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</si>
  <si>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</si>
  <si>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</si>
  <si>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</si>
  <si>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</si>
  <si>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</si>
  <si>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</si>
  <si>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</si>
  <si>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</si>
  <si>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</si>
  <si>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</si>
  <si>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</si>
  <si>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</si>
  <si>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</si>
  <si>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</si>
  <si>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</si>
  <si>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</si>
  <si>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</si>
  <si>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</si>
  <si>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</si>
  <si>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</si>
  <si>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</si>
  <si>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</si>
  <si>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</si>
  <si>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</si>
  <si>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</si>
  <si>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</si>
  <si>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</si>
  <si>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</si>
  <si>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</si>
  <si>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</si>
  <si>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</si>
  <si>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</si>
  <si>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</si>
  <si>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</si>
  <si>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</si>
  <si>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</si>
  <si>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</si>
  <si>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</si>
  <si>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</si>
  <si>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</si>
  <si>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</si>
  <si>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</si>
  <si>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</si>
  <si>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</si>
  <si>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</si>
  <si>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</si>
  <si>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</si>
  <si>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</si>
  <si>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</si>
  <si>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</si>
  <si>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</si>
  <si>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</si>
  <si>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</si>
  <si>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</si>
  <si>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</si>
  <si>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</si>
  <si>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</si>
  <si>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</si>
  <si>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</si>
  <si>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</si>
  <si>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</si>
  <si>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</si>
  <si>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</si>
  <si>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</si>
  <si>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</si>
  <si>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</si>
  <si>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</si>
  <si>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</si>
  <si>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</si>
  <si>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</si>
  <si>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</si>
  <si>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</si>
  <si>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</si>
  <si>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</si>
  <si>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</si>
  <si>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</si>
  <si>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</si>
  <si>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</si>
  <si>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</si>
  <si>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</si>
  <si>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</si>
  <si>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</si>
  <si>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</si>
  <si>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</si>
  <si>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</si>
  <si>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</si>
  <si>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</si>
  <si>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</si>
  <si>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</si>
  <si>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</si>
  <si>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</si>
  <si>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</si>
  <si>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</si>
  <si>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</si>
  <si>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</si>
  <si>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</si>
  <si>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</si>
  <si>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</si>
  <si>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</si>
  <si>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</si>
  <si>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</si>
  <si>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</si>
  <si>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</si>
  <si>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</si>
  <si>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</si>
  <si>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</si>
  <si>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</si>
  <si>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</si>
  <si>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</si>
  <si>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</si>
  <si>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</si>
  <si>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</si>
  <si>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</si>
  <si>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</si>
  <si>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</si>
  <si>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</si>
  <si>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</si>
  <si>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</si>
  <si>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</si>
  <si>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</si>
  <si>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</si>
  <si>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</si>
  <si>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</si>
  <si>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</si>
  <si>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</si>
  <si>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</si>
  <si>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</si>
  <si>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</si>
  <si>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</si>
  <si>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</si>
  <si>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</si>
  <si>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</si>
  <si>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</si>
  <si>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</si>
  <si>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</si>
  <si>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</si>
  <si>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</si>
  <si>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</si>
  <si>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</si>
  <si>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</si>
  <si>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</si>
  <si>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</si>
  <si>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</si>
  <si>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</si>
  <si>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</si>
  <si>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</si>
  <si>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</si>
  <si>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</si>
  <si>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</si>
  <si>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</si>
  <si>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</si>
  <si>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</si>
  <si>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</si>
  <si>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</si>
  <si>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</si>
  <si>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</si>
  <si>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</si>
  <si>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</si>
  <si>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</si>
  <si>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</si>
  <si>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</si>
  <si>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</si>
  <si>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</si>
  <si>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</si>
  <si>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</si>
  <si>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</si>
  <si>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</si>
  <si>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</si>
  <si>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</si>
  <si>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</si>
  <si>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</si>
  <si>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</si>
  <si>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</si>
  <si>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</si>
  <si>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</si>
  <si>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</si>
  <si>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</si>
  <si>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</si>
  <si>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</si>
  <si>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</si>
  <si>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</si>
  <si>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</si>
  <si>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</si>
  <si>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</si>
  <si>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</si>
  <si>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</si>
  <si>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</si>
  <si>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</si>
  <si>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</si>
  <si>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</si>
  <si>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</si>
  <si>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</si>
  <si>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</si>
  <si>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</si>
  <si>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</si>
  <si>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</si>
  <si>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</si>
  <si>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</si>
  <si>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</si>
  <si>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</si>
  <si>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</si>
  <si>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</si>
  <si>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</si>
  <si>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</si>
  <si>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</si>
  <si>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</si>
  <si>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</si>
  <si>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</si>
  <si>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</si>
  <si>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</si>
  <si>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</si>
  <si>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</si>
  <si>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</si>
  <si>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</si>
  <si>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</si>
  <si>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</si>
  <si>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</si>
  <si>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</si>
  <si>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</si>
  <si>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</si>
  <si>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</si>
  <si>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</si>
  <si>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</si>
  <si>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</si>
  <si>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</si>
  <si>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</si>
  <si>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</si>
  <si>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</si>
  <si>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</si>
  <si>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</si>
  <si>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</si>
  <si>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</si>
  <si>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</si>
  <si>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</si>
  <si>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</si>
  <si>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</si>
  <si>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</si>
  <si>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</si>
  <si>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</si>
  <si>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</si>
  <si>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</si>
  <si>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</si>
  <si>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</si>
  <si>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</si>
  <si>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</si>
  <si>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</si>
  <si>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</si>
  <si>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</si>
  <si>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</si>
  <si>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</si>
  <si>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</si>
  <si>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</si>
  <si>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</si>
  <si>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</si>
  <si>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</si>
  <si>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</si>
  <si>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</si>
  <si>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</si>
  <si>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</si>
  <si>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</si>
  <si>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</si>
  <si>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</si>
  <si>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</si>
  <si>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</si>
  <si>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</si>
  <si>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</si>
  <si>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</si>
  <si>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</si>
  <si>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</si>
  <si>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</si>
  <si>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</si>
  <si>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</si>
  <si>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</si>
  <si>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</si>
  <si>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</si>
  <si>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</si>
  <si>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</si>
  <si>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</si>
  <si>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</si>
  <si>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</si>
  <si>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</si>
  <si>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</si>
  <si>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</si>
  <si>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</si>
  <si>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</si>
  <si>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</si>
  <si>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</si>
  <si>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</si>
  <si>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</si>
  <si>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</si>
  <si>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</si>
  <si>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</si>
  <si>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</si>
  <si>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</si>
  <si>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</si>
  <si>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</si>
  <si>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</si>
  <si>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</si>
  <si>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</si>
  <si>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</si>
  <si>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</si>
  <si>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</si>
  <si>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</si>
  <si>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</si>
  <si>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</si>
  <si>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</si>
  <si>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</si>
  <si>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</si>
  <si>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</si>
  <si>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</si>
  <si>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</si>
  <si>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</si>
  <si>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</si>
  <si>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</si>
  <si>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</si>
  <si>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</si>
  <si>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</si>
  <si>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</si>
  <si>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</si>
  <si>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</si>
  <si>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</si>
  <si>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</si>
  <si>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</si>
  <si>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</si>
  <si>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</si>
  <si>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</si>
  <si>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</si>
  <si>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</si>
  <si>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</si>
  <si>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</si>
  <si>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</si>
  <si>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</si>
  <si>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</si>
  <si>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</si>
  <si>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</si>
  <si>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</si>
  <si>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</si>
  <si>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</si>
  <si>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</si>
  <si>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</si>
  <si>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</si>
  <si>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</si>
  <si>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</si>
  <si>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</si>
  <si>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</si>
  <si>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</si>
  <si>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</si>
  <si>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</si>
  <si>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</si>
  <si>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</si>
  <si>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</si>
  <si>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</si>
  <si>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</si>
  <si>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</si>
  <si>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</si>
  <si>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</si>
  <si>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</si>
  <si>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</si>
  <si>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</si>
  <si>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</si>
  <si>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</si>
  <si>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</si>
  <si>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</si>
  <si>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</si>
  <si>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</si>
  <si>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</si>
  <si>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</si>
  <si>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</si>
  <si>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</si>
  <si>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</si>
  <si>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</si>
  <si>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</si>
  <si>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</si>
  <si>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</si>
  <si>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</si>
  <si>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</si>
  <si>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</si>
  <si>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</si>
  <si>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</si>
  <si>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</si>
  <si>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</si>
  <si>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</si>
  <si>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</si>
  <si>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</si>
  <si>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</si>
  <si>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</si>
  <si>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</si>
  <si>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</si>
  <si>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</si>
  <si>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</si>
  <si>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</si>
  <si>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</si>
  <si>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</si>
  <si>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</si>
  <si>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</si>
  <si>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</si>
  <si>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</si>
  <si>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</si>
  <si>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</si>
  <si>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</si>
  <si>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</si>
  <si>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</si>
  <si>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</si>
  <si>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</si>
  <si>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</si>
  <si>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</si>
  <si>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</si>
  <si>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</si>
  <si>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</si>
  <si>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</si>
  <si>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</si>
  <si>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</si>
  <si>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</si>
  <si>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</si>
  <si>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</si>
  <si>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</si>
  <si>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</si>
  <si>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</si>
  <si>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</si>
  <si>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</si>
  <si>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</si>
  <si>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</si>
  <si>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</si>
  <si>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</si>
  <si>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</si>
  <si>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</si>
  <si>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</si>
  <si>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</si>
  <si>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</si>
  <si>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</si>
  <si>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</si>
  <si>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</si>
  <si>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</si>
  <si>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</si>
  <si>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</si>
  <si>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</si>
  <si>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</si>
  <si>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</si>
  <si>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</si>
  <si>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</si>
  <si>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</si>
  <si>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</si>
  <si>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</si>
  <si>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</si>
  <si>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</si>
  <si>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</si>
  <si>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</si>
  <si>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</si>
  <si>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</si>
  <si>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</si>
  <si>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</si>
  <si>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</si>
  <si>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</si>
  <si>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</si>
  <si>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</si>
  <si>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</si>
  <si>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</si>
  <si>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</si>
  <si>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</si>
  <si>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</si>
  <si>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</si>
  <si>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</si>
  <si>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</si>
  <si>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</si>
  <si>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</si>
  <si>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</si>
  <si>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</si>
  <si>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</si>
  <si>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</si>
  <si>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</si>
  <si>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</si>
  <si>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</si>
  <si>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</si>
  <si>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</si>
  <si>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</si>
  <si>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</si>
  <si>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</si>
  <si>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</si>
  <si>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</si>
  <si>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</si>
  <si>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</si>
  <si>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</si>
  <si>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</si>
  <si>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</si>
  <si>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</si>
  <si>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</si>
  <si>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</si>
  <si>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</si>
  <si>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</si>
  <si>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</si>
  <si>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</si>
  <si>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</si>
  <si>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</si>
  <si>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</si>
  <si>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</si>
  <si>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</si>
  <si>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</si>
  <si>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</si>
  <si>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</si>
  <si>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</si>
  <si>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</si>
  <si>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</si>
  <si>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</si>
  <si>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</si>
  <si>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</si>
  <si>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</si>
  <si>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</si>
  <si>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</si>
  <si>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</si>
  <si>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</si>
  <si>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</si>
  <si>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</si>
  <si>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</si>
  <si>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</si>
  <si>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</si>
  <si>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</si>
  <si>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</si>
  <si>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</si>
  <si>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</si>
  <si>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</si>
  <si>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</si>
  <si>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</si>
  <si>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</si>
  <si>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</si>
  <si>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</si>
  <si>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</si>
  <si>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</si>
  <si>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</si>
  <si>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</si>
  <si>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</si>
  <si>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</si>
  <si>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</si>
  <si>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</si>
  <si>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</si>
  <si>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</si>
  <si>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</si>
  <si>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</si>
  <si>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</si>
  <si>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</si>
  <si>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</si>
  <si>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</si>
  <si>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</si>
  <si>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</si>
  <si>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</si>
  <si>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</si>
  <si>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</si>
  <si>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</si>
  <si>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</si>
  <si>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</si>
  <si>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</si>
  <si>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</si>
  <si>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</si>
  <si>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</si>
  <si>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</si>
  <si>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</si>
  <si>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</si>
  <si>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</si>
  <si>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</si>
  <si>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</si>
  <si>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</si>
  <si>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</si>
  <si>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</si>
  <si>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</si>
  <si>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</si>
  <si>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</si>
  <si>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</si>
  <si>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</si>
  <si>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</si>
  <si>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</si>
  <si>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</si>
  <si>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</si>
  <si>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</si>
  <si>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</si>
  <si>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</si>
  <si>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</si>
  <si>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</si>
  <si>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</si>
  <si>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</si>
  <si>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</si>
  <si>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</si>
  <si>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</si>
  <si>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</si>
  <si>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</si>
  <si>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</si>
  <si>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</si>
  <si>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</si>
  <si>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</si>
  <si>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</si>
  <si>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</si>
  <si>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</si>
  <si>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</si>
  <si>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</si>
  <si>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</si>
  <si>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</si>
  <si>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</si>
  <si>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</si>
  <si>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</si>
  <si>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</si>
  <si>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</si>
  <si>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</si>
  <si>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</si>
  <si>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</si>
  <si>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</si>
  <si>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</si>
  <si>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</si>
  <si>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</si>
  <si>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</si>
  <si>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</si>
  <si>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</si>
  <si>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</si>
  <si>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</si>
  <si>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</si>
  <si>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</si>
  <si>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</si>
  <si>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</si>
  <si>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</si>
  <si>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</si>
  <si>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</si>
  <si>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</si>
  <si>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</si>
  <si>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</si>
  <si>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</si>
  <si>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</si>
  <si>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</si>
  <si>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</si>
  <si>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</si>
  <si>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</si>
  <si>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</si>
  <si>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</si>
  <si>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</si>
  <si>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</si>
  <si>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</si>
  <si>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</si>
  <si>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</si>
  <si>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</si>
  <si>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</si>
  <si>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</si>
  <si>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</si>
  <si>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</si>
  <si>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</si>
  <si>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</si>
  <si>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</si>
  <si>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</si>
  <si>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</si>
  <si>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</si>
  <si>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</si>
  <si>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</si>
  <si>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</si>
  <si>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</si>
  <si>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</si>
  <si>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</si>
  <si>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</si>
  <si>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</si>
  <si>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</si>
  <si>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</si>
  <si>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</si>
  <si>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</si>
  <si>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</si>
  <si>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</si>
  <si>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</si>
  <si>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</si>
  <si>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</si>
  <si>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</si>
  <si>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</si>
  <si>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</si>
  <si>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</si>
  <si>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</si>
  <si>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</si>
  <si>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</si>
  <si>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</si>
  <si>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</si>
  <si>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</si>
  <si>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</si>
  <si>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</si>
  <si>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</si>
  <si>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</si>
  <si>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</si>
  <si>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</si>
  <si>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</si>
  <si>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</si>
  <si>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</si>
  <si>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</si>
  <si>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</si>
  <si>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</si>
  <si>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</si>
  <si>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</si>
  <si>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</si>
  <si>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</si>
  <si>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</si>
  <si>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</si>
  <si>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</si>
  <si>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</si>
  <si>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</si>
  <si>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</si>
  <si>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</si>
  <si>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</si>
  <si>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</si>
  <si>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</si>
  <si>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</si>
  <si>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</si>
  <si>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</si>
  <si>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</si>
  <si>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</si>
  <si>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</si>
  <si>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</si>
  <si>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</si>
  <si>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</si>
  <si>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</si>
  <si>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</si>
  <si>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</si>
  <si>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</si>
  <si>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</si>
  <si>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</si>
  <si>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</si>
  <si>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</si>
  <si>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</si>
  <si>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</si>
  <si>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</si>
  <si>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</si>
  <si>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</si>
  <si>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</si>
  <si>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</si>
  <si>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</si>
  <si>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</si>
  <si>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</si>
  <si>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</si>
  <si>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</si>
  <si>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</si>
  <si>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</si>
  <si>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</si>
  <si>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</si>
  <si>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</si>
  <si>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</si>
  <si>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</si>
  <si>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</si>
  <si>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</si>
  <si>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</si>
  <si>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</si>
  <si>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</si>
  <si>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</si>
  <si>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</si>
  <si>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</si>
  <si>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</si>
  <si>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</si>
  <si>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</si>
  <si>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</si>
  <si>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</si>
  <si>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</si>
  <si>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</si>
  <si>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</si>
  <si>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</si>
  <si>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</si>
  <si>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</si>
  <si>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</si>
  <si>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</si>
  <si>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</si>
  <si>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</si>
  <si>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</si>
  <si>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</si>
  <si>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</si>
  <si>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</si>
  <si>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</si>
  <si>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</si>
  <si>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</si>
  <si>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</si>
  <si>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</si>
  <si>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</si>
  <si>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</si>
  <si>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</si>
  <si>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</si>
  <si>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</si>
  <si>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</si>
  <si>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</si>
  <si>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</si>
  <si>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</si>
  <si>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</si>
  <si>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</si>
  <si>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</si>
  <si>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</si>
  <si>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</si>
  <si>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</si>
  <si>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</si>
  <si>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</si>
  <si>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</si>
  <si>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</si>
  <si>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</si>
  <si>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</si>
  <si>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</si>
  <si>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</si>
  <si>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</si>
  <si>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</si>
  <si>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</si>
  <si>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</si>
  <si>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</si>
  <si>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</si>
  <si>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</si>
  <si>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</si>
  <si>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</si>
  <si>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</si>
  <si>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</si>
  <si>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</si>
  <si>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</si>
  <si>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</si>
  <si>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</si>
  <si>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</si>
  <si>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</si>
  <si>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</si>
  <si>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</si>
  <si>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</si>
  <si>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</si>
  <si>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</si>
  <si>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</si>
  <si>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</si>
  <si>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</si>
  <si>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</si>
  <si>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</si>
  <si>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</si>
  <si>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</si>
  <si>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</si>
  <si>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</si>
  <si>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</si>
  <si>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</si>
  <si>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</si>
  <si>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</si>
  <si>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</si>
  <si>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</si>
  <si>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</si>
  <si>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</si>
  <si>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</si>
  <si>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</si>
  <si>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</si>
  <si>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</si>
  <si>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</si>
  <si>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</si>
  <si>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</si>
  <si>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</si>
  <si>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</si>
  <si>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</si>
  <si>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</si>
  <si>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</si>
  <si>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</si>
  <si>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</si>
  <si>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</si>
  <si>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</si>
  <si>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</si>
  <si>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</si>
  <si>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</si>
  <si>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</si>
  <si>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</si>
  <si>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</si>
  <si>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</si>
  <si>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</si>
  <si>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</si>
  <si>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</si>
  <si>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</si>
  <si>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</si>
  <si>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</si>
  <si>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</si>
  <si>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</si>
  <si>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</si>
  <si>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</si>
  <si>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</si>
  <si>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</si>
  <si>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</si>
  <si>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</si>
  <si>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</si>
  <si>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</si>
  <si>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</si>
  <si>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</si>
  <si>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</si>
  <si>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</si>
  <si>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</si>
  <si>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</si>
  <si>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</si>
  <si>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</si>
  <si>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</si>
  <si>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</si>
  <si>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</si>
  <si>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</si>
  <si>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</si>
  <si>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</si>
  <si>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</si>
  <si>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</si>
  <si>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</si>
  <si>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</si>
  <si>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</si>
  <si>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</si>
  <si>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</si>
  <si>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</si>
  <si>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</si>
  <si>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</si>
  <si>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</si>
  <si>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</si>
  <si>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</si>
  <si>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</si>
  <si>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</si>
  <si>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</si>
  <si>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</si>
  <si>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</si>
  <si>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</si>
  <si>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</si>
  <si>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</si>
  <si>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</si>
  <si>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</si>
  <si>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</si>
  <si>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</si>
  <si>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</si>
  <si>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</si>
  <si>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</si>
  <si>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</si>
  <si>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</si>
  <si>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</si>
  <si>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</si>
  <si>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</si>
  <si>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</si>
  <si>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</si>
  <si>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</si>
  <si>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</si>
  <si>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</si>
  <si>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</si>
  <si>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</si>
  <si>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</si>
  <si>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</si>
  <si>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</si>
  <si>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</si>
  <si>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</si>
  <si>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</si>
  <si>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</si>
  <si>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</si>
  <si>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</si>
  <si>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</si>
  <si>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</si>
  <si>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</si>
  <si>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</si>
  <si>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</si>
  <si>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</si>
  <si>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</si>
  <si>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</si>
  <si>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</si>
  <si>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</si>
  <si>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</si>
  <si>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</si>
  <si>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</si>
  <si>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</si>
  <si>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</si>
  <si>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</si>
  <si>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</si>
  <si>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</si>
  <si>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</si>
  <si>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</si>
  <si>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</si>
  <si>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</si>
  <si>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</si>
  <si>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</si>
  <si>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</si>
  <si>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</si>
  <si>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</si>
  <si>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</si>
  <si>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</si>
  <si>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</si>
  <si>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</si>
  <si>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</si>
  <si>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</si>
  <si>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</si>
  <si>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Edges Data</t>
  </si>
  <si>
    <t>Nodes Data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</si>
  <si>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</si>
  <si>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</si>
  <si>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</si>
  <si>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</si>
  <si>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</si>
  <si>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</si>
  <si>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</si>
  <si>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</si>
  <si>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</si>
  <si>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</si>
  <si>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</si>
  <si>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</si>
  <si>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</si>
  <si>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</si>
  <si>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</si>
  <si>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</si>
  <si>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</si>
  <si>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</si>
  <si>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</si>
  <si>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</si>
  <si>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</si>
  <si>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</si>
  <si>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</si>
  <si>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</si>
  <si>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</si>
  <si>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</si>
  <si>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</si>
  <si>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</si>
  <si>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</si>
  <si>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</si>
  <si>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</si>
  <si>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</si>
  <si>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</si>
  <si>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</si>
  <si>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</si>
  <si>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</si>
  <si>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</si>
  <si>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</si>
  <si>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</si>
  <si>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</si>
  <si>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</si>
  <si>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</si>
  <si>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</si>
  <si>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</si>
  <si>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</si>
  <si>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</si>
  <si>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</si>
  <si>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</si>
  <si>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</si>
  <si>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</si>
  <si>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</si>
  <si>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</si>
  <si>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</si>
  <si>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</si>
  <si>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</si>
  <si>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</si>
  <si>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</si>
  <si>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</si>
  <si>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</si>
  <si>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</si>
  <si>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</si>
  <si>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</si>
  <si>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</si>
  <si>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</si>
  <si>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</si>
  <si>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</si>
  <si>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</si>
  <si>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</si>
  <si>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</si>
  <si>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</si>
  <si>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</si>
  <si>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</si>
  <si>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</si>
  <si>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</si>
  <si>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</si>
  <si>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</si>
  <si>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</si>
  <si>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</si>
  <si>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</si>
  <si>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</si>
  <si>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</si>
  <si>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</si>
  <si>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</si>
  <si>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</si>
  <si>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</si>
  <si>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</si>
  <si>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Stolen Account</t>
  </si>
  <si>
    <t>control</t>
  </si>
  <si>
    <t>owns</t>
  </si>
  <si>
    <t>Account Takeover Perpetrator</t>
  </si>
  <si>
    <t>Account Takeover Victim</t>
  </si>
  <si>
    <t>distinct from</t>
  </si>
  <si>
    <t>may be motivated by</t>
  </si>
  <si>
    <t>Financial Gain</t>
  </si>
  <si>
    <t>Causing Reputation Harm</t>
  </si>
  <si>
    <t>Identity Deception</t>
  </si>
  <si>
    <t>has not</t>
  </si>
  <si>
    <t>Identity Usage Authorization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</si>
  <si>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</si>
  <si>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</si>
  <si>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</si>
  <si>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</si>
  <si>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</si>
  <si>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</si>
  <si>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</si>
  <si>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</si>
  <si>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</si>
  <si>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</si>
  <si>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nF28EF766_A810_4024_A03F_F62A899E2EE6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</si>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</sst>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ck">
        <color rgb="FF00B050"/>
      </right>
      <top style="thick">
        <color rgb="FF00B050"/>
      </top>
      <bottom/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6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3" fillId="0" borderId="2" xfId="2" applyAlignment="1"/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2" fillId="2" borderId="4" xfId="1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 outline="0">
        <left/>
        <right style="thick">
          <color rgb="FF00B050"/>
        </right>
        <top style="thick">
          <color rgb="FF00B050"/>
        </top>
        <bottom style="thick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3048000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F499" totalsRowShown="0" headerRowDxfId="33" dataDxfId="32">
  <autoFilter ref="A2:F499" xr:uid="{5C9712D2-CCDA-4E9C-B304-04B7352F99F1}"/>
  <sortState xmlns:xlrd2="http://schemas.microsoft.com/office/spreadsheetml/2017/richdata2" ref="A3:F489">
    <sortCondition ref="A2:A489"/>
  </sortState>
  <tableColumns count="6">
    <tableColumn id="3" xr3:uid="{1AC5B17D-613C-4D59-9B76-2B23701909EB}" name="Common Name" dataDxfId="31"/>
    <tableColumn id="2" xr3:uid="{90333BBB-2EEB-4564-A4DE-2C01EFC61D47}" name="Node ID" dataDxfId="30"/>
    <tableColumn id="4" xr3:uid="{6146B9E7-30B6-4E1C-8AE1-B6449F0E0DE8}" name="Class Disambiguation" dataDxfId="29"/>
    <tableColumn id="6" xr3:uid="{FD2E50A7-4489-4F3D-B755-6C2DCB54CAEE}" name="Unambiguous Name" dataDxfId="28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8" xr3:uid="{334909EF-6768-4210-A03B-B3B2782F8DF1}" name="URL" dataDxfId="27"/>
    <tableColumn id="5" xr3:uid="{C893231A-2AE1-4035-A471-BB69C36E6D4F}" name="GUID Generator" dataDxfId="26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2:H63" totalsRowShown="0" headerRowDxfId="25" dataDxfId="24">
  <autoFilter ref="A2:H63" xr:uid="{5C9712D2-CCDA-4E9C-B304-04B7352F99F1}"/>
  <sortState xmlns:xlrd2="http://schemas.microsoft.com/office/spreadsheetml/2017/richdata2" ref="A3:H50">
    <sortCondition ref="C2:C50"/>
  </sortState>
  <tableColumns count="8">
    <tableColumn id="5" xr3:uid="{CE3327DB-D425-4D19-AFBC-04AB47355E47}" name="Edge ID" dataDxfId="23"/>
    <tableColumn id="1" xr3:uid="{9CA13924-CA4A-44D4-8A07-E52B10C55BA7}" name="Node A ID" dataDxfId="22">
      <calculatedColumnFormula>VLOOKUP(EdgesData[[#This Row],[Node A]],NodesData[],2,FALSE)</calculatedColumnFormula>
    </tableColumn>
    <tableColumn id="3" xr3:uid="{BAA89F4B-F6C5-4ABD-86BE-5A8853F41E60}" name="Node A" dataDxfId="21"/>
    <tableColumn id="4" xr3:uid="{D3335F2C-7AD5-4D66-8BC3-253890C0E8B7}" name="Rel" dataDxfId="20"/>
    <tableColumn id="2" xr3:uid="{8D04C2D1-8FFA-4141-8A59-A1BFEFFAB089}" name="Dir" dataDxfId="19"/>
    <tableColumn id="6" xr3:uid="{C46C88E3-4516-403D-9A39-7617A8F5E08F}" name="Node B" dataDxfId="18"/>
    <tableColumn id="8" xr3:uid="{018119E0-D793-4DE2-91A3-9B20775CD938}" name="Node B ID" dataDxfId="17">
      <calculatedColumnFormula>VLOOKUP(EdgesData[[#This Row],[Node B]],NodesData[],2,FALSE)</calculatedColumnFormula>
    </tableColumn>
    <tableColumn id="7" xr3:uid="{648409CB-F2FA-4FEE-88C7-554D58380F3E}" name="GUID Generator" dataDxfId="16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D489" totalsRowShown="0" headerRowDxfId="15" dataDxfId="14">
  <autoFilter ref="A2:D489" xr:uid="{5C9712D2-CCDA-4E9C-B304-04B7352F99F1}"/>
  <tableColumns count="4">
    <tableColumn id="2" xr3:uid="{7A433402-2F5D-4FF4-8541-52C3CCA58CBF}" name="label" dataDxfId="13">
      <calculatedColumnFormula>NodesData[[#This Row],[Common Name]]</calculatedColumnFormula>
    </tableColumn>
    <tableColumn id="5" xr3:uid="{DE7D344F-F0A4-42CA-BECA-DEC46A3C6044}" name="id" dataDxfId="12">
      <calculatedColumnFormula>NodesData[[#This Row],[Node ID]]</calculatedColumnFormula>
    </tableColumn>
    <tableColumn id="8" xr3:uid="{D32881FA-1331-4995-98E1-08014CC00B3B}" name="url" dataDxfId="11"/>
    <tableColumn id="4" xr3:uid="{C237D77B-2B8C-448A-9D3F-782001125820}" name="JSON" dataDxfId="10" dataCellStyle="Code">
      <calculatedColumnFormula array="1">IF(ROW(#REF!)&gt;ROW(NodesJSON[[#Headers],[JSON]])+1,",","") &amp;"{"&amp;twoRangesToJSON(#REF!,#REF!)&amp;"}"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69" totalsRowShown="0" headerRowDxfId="9" dataDxfId="8">
  <autoFilter ref="A2:E69" xr:uid="{2DC44691-7CC8-490A-BFD1-C0BACEDD8C5B}"/>
  <tableColumns count="5">
    <tableColumn id="6" xr3:uid="{7B6A1A21-3B7A-41BC-953A-E7E41C3DF49A}" name="id" dataDxfId="7">
      <calculatedColumnFormula>EdgesData[[#This Row],[Edge ID]]</calculatedColumnFormula>
    </tableColumn>
    <tableColumn id="2" xr3:uid="{3D9DE3B5-4740-491A-AF2C-F3365D8C031F}" name="from" dataDxfId="6">
      <calculatedColumnFormula>EdgesData[[#This Row],[Node A ID]]</calculatedColumnFormula>
    </tableColumn>
    <tableColumn id="5" xr3:uid="{17306F30-E2AC-4FAA-A3C9-6B06FA97B7CD}" name="to" dataDxfId="5">
      <calculatedColumnFormula>EdgesData[[#This Row],[Node B ID]]</calculatedColumnFormula>
    </tableColumn>
    <tableColumn id="8" xr3:uid="{B166B7F9-2FC2-4259-83C8-E55C58025CC9}" name="label" dataDxfId="4">
      <calculatedColumnFormula>EdgesData[[#This Row],[Rel]]</calculatedColumnFormula>
    </tableColumn>
    <tableColumn id="4" xr3:uid="{BC79FDF8-B819-4DED-9F3A-54E94785DD2A}" name="JSON" dataDxfId="3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2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1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0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tabSelected="1" workbookViewId="0">
      <selection activeCell="B9" sqref="B9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857250</xdr:colOff>
                <xdr:row>3</xdr:row>
                <xdr:rowOff>114300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F499"/>
  <sheetViews>
    <sheetView topLeftCell="A472" zoomScale="120" zoomScaleNormal="120" workbookViewId="0">
      <selection activeCell="B480" sqref="B480"/>
    </sheetView>
  </sheetViews>
  <sheetFormatPr defaultRowHeight="12.75" x14ac:dyDescent="0.35"/>
  <cols>
    <col min="1" max="1" width="34.06640625" style="13" bestFit="1" customWidth="1"/>
    <col min="2" max="2" width="23" style="13" bestFit="1" customWidth="1"/>
    <col min="3" max="3" width="12.19921875" style="13" customWidth="1"/>
    <col min="4" max="4" width="34.06640625" style="13" bestFit="1" customWidth="1"/>
    <col min="5" max="5" width="83.06640625" style="13" bestFit="1" customWidth="1"/>
    <col min="6" max="6" width="23" style="13" bestFit="1" customWidth="1"/>
    <col min="7" max="7" width="60" style="13" customWidth="1"/>
    <col min="8" max="16384" width="9.06640625" style="13"/>
  </cols>
  <sheetData>
    <row r="1" spans="1:6" s="11" customFormat="1" ht="19.899999999999999" thickBot="1" x14ac:dyDescent="0.65">
      <c r="A1" s="11" t="s">
        <v>1834</v>
      </c>
    </row>
    <row r="2" spans="1:6" ht="13.15" thickTop="1" x14ac:dyDescent="0.35">
      <c r="A2" s="12" t="s">
        <v>1906</v>
      </c>
      <c r="B2" s="12" t="s">
        <v>1907</v>
      </c>
      <c r="C2" s="12" t="s">
        <v>1908</v>
      </c>
      <c r="D2" s="12" t="s">
        <v>1909</v>
      </c>
      <c r="E2" s="12" t="s">
        <v>520</v>
      </c>
      <c r="F2" s="12" t="s">
        <v>1910</v>
      </c>
    </row>
    <row r="3" spans="1:6" x14ac:dyDescent="0.35">
      <c r="A3" s="12" t="s">
        <v>1830</v>
      </c>
      <c r="B3" s="14" t="s">
        <v>1355</v>
      </c>
      <c r="C3" s="13" t="s">
        <v>1337</v>
      </c>
      <c r="D3" s="19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F3" s="20" t="str" cm="1">
        <f t="array" ref="F3">"n"&amp;SUBSTITUTE(CreateGuidString(),"-","_")</f>
        <v>nE7BE879C_4018_49F8_B3D3_A2D5554F650E</v>
      </c>
    </row>
    <row r="4" spans="1:6" x14ac:dyDescent="0.35">
      <c r="A4" s="13" t="s">
        <v>5</v>
      </c>
      <c r="B4" s="14" t="s">
        <v>1356</v>
      </c>
      <c r="C4" s="12" t="s">
        <v>1829</v>
      </c>
      <c r="D4" s="13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E4" s="13" t="s">
        <v>523</v>
      </c>
      <c r="F4" s="20" t="str" cm="1">
        <f t="array" ref="F4">"n"&amp;SUBSTITUTE(CreateGuidString(),"-","_")</f>
        <v>n53EC26A7_B69D_4D25_97E0_72619262FF68</v>
      </c>
    </row>
    <row r="5" spans="1:6" x14ac:dyDescent="0.35">
      <c r="A5" s="13" t="s">
        <v>7</v>
      </c>
      <c r="B5" s="14" t="s">
        <v>1357</v>
      </c>
      <c r="D5" s="13" t="str">
        <f>IF(NodesData[[#This Row],[Class Disambiguation]]="",NodesData[[#This Row],[Common Name]],NodesData[[#This Row],[Common Name]]&amp;" ("&amp;NodesData[[#This Row],[Class Disambiguation]]&amp;")")</f>
        <v>Access</v>
      </c>
      <c r="E5" s="13" t="s">
        <v>524</v>
      </c>
      <c r="F5" s="20" t="str" cm="1">
        <f t="array" ref="F5">"n"&amp;SUBSTITUTE(CreateGuidString(),"-","_")</f>
        <v>n0E2465E4_83B7_49DB_844B_BB58F6B1B15A</v>
      </c>
    </row>
    <row r="6" spans="1:6" x14ac:dyDescent="0.35">
      <c r="A6" s="13" t="s">
        <v>525</v>
      </c>
      <c r="B6" s="14" t="s">
        <v>1358</v>
      </c>
      <c r="D6" s="13" t="str">
        <f>IF(NodesData[[#This Row],[Class Disambiguation]]="",NodesData[[#This Row],[Common Name]],NodesData[[#This Row],[Common Name]]&amp;" ("&amp;NodesData[[#This Row],[Class Disambiguation]]&amp;")")</f>
        <v>Access Audit</v>
      </c>
      <c r="E6" s="13" t="s">
        <v>526</v>
      </c>
      <c r="F6" s="20" t="str" cm="1">
        <f t="array" ref="F6">"n"&amp;SUBSTITUTE(CreateGuidString(),"-","_")</f>
        <v>nD825B1A5_B31A_4C44_B451_1C607C0FFEF3</v>
      </c>
    </row>
    <row r="7" spans="1:6" x14ac:dyDescent="0.35">
      <c r="A7" s="13" t="s">
        <v>9</v>
      </c>
      <c r="B7" s="14" t="s">
        <v>1359</v>
      </c>
      <c r="D7" s="13" t="str">
        <f>IF(NodesData[[#This Row],[Class Disambiguation]]="",NodesData[[#This Row],[Common Name]],NodesData[[#This Row],[Common Name]]&amp;" ("&amp;NodesData[[#This Row],[Class Disambiguation]]&amp;")")</f>
        <v>Access Continuum</v>
      </c>
      <c r="E7" s="13" t="s">
        <v>527</v>
      </c>
      <c r="F7" s="20" t="str" cm="1">
        <f t="array" ref="F7">"n"&amp;SUBSTITUTE(CreateGuidString(),"-","_")</f>
        <v>n9477B04F_2011_43A8_A606_6B296320BF90</v>
      </c>
    </row>
    <row r="8" spans="1:6" x14ac:dyDescent="0.35">
      <c r="A8" s="13" t="s">
        <v>528</v>
      </c>
      <c r="B8" s="14" t="s">
        <v>1360</v>
      </c>
      <c r="D8" s="13" t="str">
        <f>IF(NodesData[[#This Row],[Class Disambiguation]]="",NodesData[[#This Row],[Common Name]],NodesData[[#This Row],[Common Name]]&amp;" ("&amp;NodesData[[#This Row],[Class Disambiguation]]&amp;")")</f>
        <v>Access Control</v>
      </c>
      <c r="E8" s="13" t="s">
        <v>529</v>
      </c>
      <c r="F8" s="20" t="str" cm="1">
        <f t="array" ref="F8">"n"&amp;SUBSTITUTE(CreateGuidString(),"-","_")</f>
        <v>nB5633D36_F07B_40AF_A998_2CCB5CE54855</v>
      </c>
    </row>
    <row r="9" spans="1:6" x14ac:dyDescent="0.35">
      <c r="A9" s="13" t="s">
        <v>530</v>
      </c>
      <c r="B9" s="14" t="s">
        <v>1361</v>
      </c>
      <c r="D9" s="13" t="str">
        <f>IF(NodesData[[#This Row],[Class Disambiguation]]="",NodesData[[#This Row],[Common Name]],NodesData[[#This Row],[Common Name]]&amp;" ("&amp;NodesData[[#This Row],[Class Disambiguation]]&amp;")")</f>
        <v>Access Control List</v>
      </c>
      <c r="E9" s="13" t="s">
        <v>531</v>
      </c>
      <c r="F9" s="20" t="str" cm="1">
        <f t="array" ref="F9">"n"&amp;SUBSTITUTE(CreateGuidString(),"-","_")</f>
        <v>nF0E63D27_361E_40E9_8C12_8D3039778D51</v>
      </c>
    </row>
    <row r="10" spans="1:6" x14ac:dyDescent="0.35">
      <c r="A10" s="13" t="s">
        <v>532</v>
      </c>
      <c r="B10" s="14" t="s">
        <v>1362</v>
      </c>
      <c r="D10" s="13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E10" s="13" t="s">
        <v>533</v>
      </c>
      <c r="F10" s="20" t="str" cm="1">
        <f t="array" ref="F10">"n"&amp;SUBSTITUTE(CreateGuidString(),"-","_")</f>
        <v>n46529940_84BB_4C38_B0C7_A2CC483E05AC</v>
      </c>
    </row>
    <row r="11" spans="1:6" x14ac:dyDescent="0.35">
      <c r="A11" s="13" t="s">
        <v>534</v>
      </c>
      <c r="B11" s="14" t="s">
        <v>1363</v>
      </c>
      <c r="D11" s="13" t="str">
        <f>IF(NodesData[[#This Row],[Class Disambiguation]]="",NodesData[[#This Row],[Common Name]],NodesData[[#This Row],[Common Name]]&amp;" ("&amp;NodesData[[#This Row],[Class Disambiguation]]&amp;")")</f>
        <v>Access Control Model</v>
      </c>
      <c r="E11" s="13" t="s">
        <v>535</v>
      </c>
      <c r="F11" s="20" t="str" cm="1">
        <f t="array" ref="F11">"n"&amp;SUBSTITUTE(CreateGuidString(),"-","_")</f>
        <v>n3BF8473D_07AE_4C12_9043_D261D14B7B4D</v>
      </c>
    </row>
    <row r="12" spans="1:6" x14ac:dyDescent="0.35">
      <c r="A12" s="13" t="s">
        <v>536</v>
      </c>
      <c r="B12" s="14" t="s">
        <v>1364</v>
      </c>
      <c r="D12" s="13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E12" s="13" t="s">
        <v>537</v>
      </c>
      <c r="F12" s="20" t="str" cm="1">
        <f t="array" ref="F12">"n"&amp;SUBSTITUTE(CreateGuidString(),"-","_")</f>
        <v>nB87710C0_B084_4837_87D8_4BA950D95D34</v>
      </c>
    </row>
    <row r="13" spans="1:6" x14ac:dyDescent="0.35">
      <c r="A13" s="13" t="s">
        <v>1</v>
      </c>
      <c r="B13" s="14" t="s">
        <v>1365</v>
      </c>
      <c r="C13" s="12" t="s">
        <v>1831</v>
      </c>
      <c r="D13" s="13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E13" s="13" t="s">
        <v>538</v>
      </c>
      <c r="F13" s="20" t="str" cm="1">
        <f t="array" ref="F13">"n"&amp;SUBSTITUTE(CreateGuidString(),"-","_")</f>
        <v>n63EC289B_72C0_4F65_A0CF_F8845250F79E</v>
      </c>
    </row>
    <row r="14" spans="1:6" x14ac:dyDescent="0.35">
      <c r="A14" s="13" t="s">
        <v>539</v>
      </c>
      <c r="B14" s="14" t="s">
        <v>1366</v>
      </c>
      <c r="D14" s="13" t="str">
        <f>IF(NodesData[[#This Row],[Class Disambiguation]]="",NodesData[[#This Row],[Common Name]],NodesData[[#This Row],[Common Name]]&amp;" ("&amp;NodesData[[#This Row],[Class Disambiguation]]&amp;")")</f>
        <v>Access Privilege</v>
      </c>
      <c r="E14" s="13" t="s">
        <v>540</v>
      </c>
      <c r="F14" s="20" t="str" cm="1">
        <f t="array" ref="F14">"n"&amp;SUBSTITUTE(CreateGuidString(),"-","_")</f>
        <v>n24E3B0FA_509A_40EB_B62A_0F7603406340</v>
      </c>
    </row>
    <row r="15" spans="1:6" x14ac:dyDescent="0.35">
      <c r="A15" s="13" t="s">
        <v>541</v>
      </c>
      <c r="B15" s="14" t="s">
        <v>1367</v>
      </c>
      <c r="D15" s="13" t="str">
        <f>IF(NodesData[[#This Row],[Class Disambiguation]]="",NodesData[[#This Row],[Common Name]],NodesData[[#This Row],[Common Name]]&amp;" ("&amp;NodesData[[#This Row],[Class Disambiguation]]&amp;")")</f>
        <v>Access Right</v>
      </c>
      <c r="E15" s="13" t="s">
        <v>542</v>
      </c>
      <c r="F15" s="20" t="str" cm="1">
        <f t="array" ref="F15">"n"&amp;SUBSTITUTE(CreateGuidString(),"-","_")</f>
        <v>n3BF81AEE_83C0_48A0_8D18_D88AD727986F</v>
      </c>
    </row>
    <row r="16" spans="1:6" x14ac:dyDescent="0.35">
      <c r="A16" s="13" t="s">
        <v>543</v>
      </c>
      <c r="B16" s="14" t="s">
        <v>1368</v>
      </c>
      <c r="D16" s="13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E16" s="13" t="s">
        <v>544</v>
      </c>
      <c r="F16" s="20" t="str" cm="1">
        <f t="array" ref="F16">"n"&amp;SUBSTITUTE(CreateGuidString(),"-","_")</f>
        <v>nB5D9C087_BE27_4586_B13E_8509E62D20D9</v>
      </c>
    </row>
    <row r="17" spans="1:6" x14ac:dyDescent="0.35">
      <c r="A17" s="13" t="s">
        <v>19</v>
      </c>
      <c r="B17" s="14" t="s">
        <v>1369</v>
      </c>
      <c r="D17" s="13" t="str">
        <f>IF(NodesData[[#This Row],[Class Disambiguation]]="",NodesData[[#This Row],[Common Name]],NodesData[[#This Row],[Common Name]]&amp;" ("&amp;NodesData[[#This Row],[Class Disambiguation]]&amp;")")</f>
        <v>Access Token</v>
      </c>
      <c r="E17" s="13" t="s">
        <v>545</v>
      </c>
      <c r="F17" s="20" t="str" cm="1">
        <f t="array" ref="F17">"n"&amp;SUBSTITUTE(CreateGuidString(),"-","_")</f>
        <v>nF29033AD_E9E8_41DB_9AEA_49EE5B039CDA</v>
      </c>
    </row>
    <row r="18" spans="1:6" x14ac:dyDescent="0.35">
      <c r="A18" s="13" t="s">
        <v>20</v>
      </c>
      <c r="B18" s="14" t="s">
        <v>1370</v>
      </c>
      <c r="D18" s="13" t="str">
        <f>IF(NodesData[[#This Row],[Class Disambiguation]]="",NodesData[[#This Row],[Common Name]],NodesData[[#This Row],[Common Name]]&amp;" ("&amp;NodesData[[#This Row],[Class Disambiguation]]&amp;")")</f>
        <v>Account</v>
      </c>
      <c r="E18" s="13" t="s">
        <v>546</v>
      </c>
      <c r="F18" s="20" t="str" cm="1">
        <f t="array" ref="F18">"n"&amp;SUBSTITUTE(CreateGuidString(),"-","_")</f>
        <v>n8B5513A2_5AE3_40C3_98B5_061BCF1B07EC</v>
      </c>
    </row>
    <row r="19" spans="1:6" x14ac:dyDescent="0.35">
      <c r="A19" s="13" t="s">
        <v>547</v>
      </c>
      <c r="B19" s="14" t="s">
        <v>1371</v>
      </c>
      <c r="D19" s="13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E19" s="13" t="s">
        <v>548</v>
      </c>
      <c r="F19" s="20" t="str" cm="1">
        <f t="array" ref="F19">"n"&amp;SUBSTITUTE(CreateGuidString(),"-","_")</f>
        <v>n5E6DB8D7_5219_49F7_835C_C51C87D7DDCF</v>
      </c>
    </row>
    <row r="20" spans="1:6" x14ac:dyDescent="0.35">
      <c r="A20" s="13" t="s">
        <v>549</v>
      </c>
      <c r="B20" s="14" t="s">
        <v>1372</v>
      </c>
      <c r="D20" s="13" t="str">
        <f>IF(NodesData[[#This Row],[Class Disambiguation]]="",NodesData[[#This Row],[Common Name]],NodesData[[#This Row],[Common Name]]&amp;" ("&amp;NodesData[[#This Row],[Class Disambiguation]]&amp;")")</f>
        <v>Account Management</v>
      </c>
      <c r="E20" s="13" t="s">
        <v>550</v>
      </c>
      <c r="F20" s="20" t="str" cm="1">
        <f t="array" ref="F20">"n"&amp;SUBSTITUTE(CreateGuidString(),"-","_")</f>
        <v>nE69448C4_13CB_4209_8F51_F9432A73C14D</v>
      </c>
    </row>
    <row r="21" spans="1:6" x14ac:dyDescent="0.35">
      <c r="A21" s="13" t="s">
        <v>4</v>
      </c>
      <c r="B21" s="14" t="s">
        <v>1373</v>
      </c>
      <c r="D21" s="13" t="str">
        <f>IF(NodesData[[#This Row],[Class Disambiguation]]="",NodesData[[#This Row],[Common Name]],NodesData[[#This Row],[Common Name]]&amp;" ("&amp;NodesData[[#This Row],[Class Disambiguation]]&amp;")")</f>
        <v>Account Takeover</v>
      </c>
      <c r="E21" s="13" t="s">
        <v>551</v>
      </c>
      <c r="F21" s="20" t="str" cm="1">
        <f t="array" ref="F21">"n"&amp;SUBSTITUTE(CreateGuidString(),"-","_")</f>
        <v>nD1837B5B_3DC8_4396_8C35_08733BAB4196</v>
      </c>
    </row>
    <row r="22" spans="1:6" x14ac:dyDescent="0.35">
      <c r="A22" s="13" t="s">
        <v>1264</v>
      </c>
      <c r="B22" s="14" t="s">
        <v>1374</v>
      </c>
      <c r="D22" s="13" t="str">
        <f>IF(NodesData[[#This Row],[Class Disambiguation]]="",NodesData[[#This Row],[Common Name]],NodesData[[#This Row],[Common Name]]&amp;" ("&amp;NodesData[[#This Row],[Class Disambiguation]]&amp;")")</f>
        <v>Accountability</v>
      </c>
      <c r="E22" s="13" t="s">
        <v>552</v>
      </c>
      <c r="F22" s="20" t="str" cm="1">
        <f t="array" ref="F22">"n"&amp;SUBSTITUTE(CreateGuidString(),"-","_")</f>
        <v>n080E2A06_0331_4EB7_8AD7_10F6E18CC1E6</v>
      </c>
    </row>
    <row r="23" spans="1:6" x14ac:dyDescent="0.35">
      <c r="A23" s="13" t="s">
        <v>553</v>
      </c>
      <c r="B23" s="14" t="s">
        <v>1375</v>
      </c>
      <c r="D23" s="13" t="str">
        <f>IF(NodesData[[#This Row],[Class Disambiguation]]="",NodesData[[#This Row],[Common Name]],NodesData[[#This Row],[Common Name]]&amp;" ("&amp;NodesData[[#This Row],[Class Disambiguation]]&amp;")")</f>
        <v>Accreditation</v>
      </c>
      <c r="E23" s="13" t="s">
        <v>554</v>
      </c>
      <c r="F23" s="20" t="str" cm="1">
        <f t="array" ref="F23">"n"&amp;SUBSTITUTE(CreateGuidString(),"-","_")</f>
        <v>n9C11E475_1DC4_4EF1_84B1_659E8EDBEB88</v>
      </c>
    </row>
    <row r="24" spans="1:6" x14ac:dyDescent="0.35">
      <c r="A24" s="13" t="s">
        <v>555</v>
      </c>
      <c r="B24" s="14" t="s">
        <v>1376</v>
      </c>
      <c r="D24" s="13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E24" s="13" t="s">
        <v>556</v>
      </c>
      <c r="F24" s="20" t="str" cm="1">
        <f t="array" ref="F24">"n"&amp;SUBSTITUTE(CreateGuidString(),"-","_")</f>
        <v>n0239FD78_57DE_46A4_BFD6_783B18B30CFD</v>
      </c>
    </row>
    <row r="25" spans="1:6" x14ac:dyDescent="0.35">
      <c r="A25" s="13" t="s">
        <v>29</v>
      </c>
      <c r="B25" s="14" t="s">
        <v>1377</v>
      </c>
      <c r="C25" s="13" t="s">
        <v>1270</v>
      </c>
      <c r="D25" s="13" t="str">
        <f>IF(NodesData[[#This Row],[Class Disambiguation]]="",NodesData[[#This Row],[Common Name]],NodesData[[#This Row],[Common Name]]&amp;" ("&amp;NodesData[[#This Row],[Class Disambiguation]]&amp;")")</f>
        <v>AP (Acronym)</v>
      </c>
      <c r="E25" s="13" t="s">
        <v>557</v>
      </c>
      <c r="F25" s="20" t="str" cm="1">
        <f t="array" ref="F25">"n"&amp;SUBSTITUTE(CreateGuidString(),"-","_")</f>
        <v>n55DCD814_0C53_4CB4_A8CC_1944C04A88B6</v>
      </c>
    </row>
    <row r="26" spans="1:6" x14ac:dyDescent="0.35">
      <c r="A26" s="13" t="s">
        <v>558</v>
      </c>
      <c r="B26" s="14" t="s">
        <v>1378</v>
      </c>
      <c r="D26" s="13" t="str">
        <f>IF(NodesData[[#This Row],[Class Disambiguation]]="",NodesData[[#This Row],[Common Name]],NodesData[[#This Row],[Common Name]]&amp;" ("&amp;NodesData[[#This Row],[Class Disambiguation]]&amp;")")</f>
        <v>Applicant</v>
      </c>
      <c r="E26" s="13" t="s">
        <v>559</v>
      </c>
      <c r="F26" s="20" t="str" cm="1">
        <f t="array" ref="F26">"n"&amp;SUBSTITUTE(CreateGuidString(),"-","_")</f>
        <v>n7ED06E69_0C44_41C0_B0F7_640548F2DF0D</v>
      </c>
    </row>
    <row r="27" spans="1:6" x14ac:dyDescent="0.35">
      <c r="A27" s="13" t="s">
        <v>31</v>
      </c>
      <c r="B27" s="14" t="s">
        <v>1379</v>
      </c>
      <c r="D27" s="13" t="str">
        <f>IF(NodesData[[#This Row],[Class Disambiguation]]="",NodesData[[#This Row],[Common Name]],NodesData[[#This Row],[Common Name]]&amp;" ("&amp;NodesData[[#This Row],[Class Disambiguation]]&amp;")")</f>
        <v>Application</v>
      </c>
      <c r="E27" s="13" t="s">
        <v>560</v>
      </c>
      <c r="F27" s="20" t="str" cm="1">
        <f t="array" ref="F27">"n"&amp;SUBSTITUTE(CreateGuidString(),"-","_")</f>
        <v>n04FA6370_35FA_4C41_BF0D_2831B8B2823F</v>
      </c>
    </row>
    <row r="28" spans="1:6" x14ac:dyDescent="0.35">
      <c r="A28" s="13" t="s">
        <v>561</v>
      </c>
      <c r="B28" s="14" t="s">
        <v>1380</v>
      </c>
      <c r="D28" s="13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E28" s="13" t="s">
        <v>562</v>
      </c>
      <c r="F28" s="20" t="str" cm="1">
        <f t="array" ref="F28">"n"&amp;SUBSTITUTE(CreateGuidString(),"-","_")</f>
        <v>n0E4F1B0E_5671_4562_AED6_B86BC81F9AB9</v>
      </c>
    </row>
    <row r="29" spans="1:6" x14ac:dyDescent="0.35">
      <c r="A29" s="13" t="s">
        <v>563</v>
      </c>
      <c r="B29" s="14" t="s">
        <v>1381</v>
      </c>
      <c r="D29" s="13" t="str">
        <f>IF(NodesData[[#This Row],[Class Disambiguation]]="",NodesData[[#This Row],[Common Name]],NodesData[[#This Row],[Common Name]]&amp;" ("&amp;NodesData[[#This Row],[Class Disambiguation]]&amp;")")</f>
        <v>Application Instance</v>
      </c>
      <c r="E29" s="13" t="s">
        <v>564</v>
      </c>
      <c r="F29" s="20" t="str" cm="1">
        <f t="array" ref="F29">"n"&amp;SUBSTITUTE(CreateGuidString(),"-","_")</f>
        <v>n6B537A0D_EA3B_42F5_92B8_4C6771C58D6F</v>
      </c>
    </row>
    <row r="30" spans="1:6" x14ac:dyDescent="0.35">
      <c r="A30" s="13" t="s">
        <v>35</v>
      </c>
      <c r="B30" s="14" t="s">
        <v>1383</v>
      </c>
      <c r="D30" s="13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E30" s="13" t="s">
        <v>565</v>
      </c>
      <c r="F30" s="20" t="str" cm="1">
        <f t="array" ref="F30">"n"&amp;SUBSTITUTE(CreateGuidString(),"-","_")</f>
        <v>nA03E8EC6_82EA_48AD_8D78_531712FCC413</v>
      </c>
    </row>
    <row r="31" spans="1:6" x14ac:dyDescent="0.35">
      <c r="A31" s="13" t="s">
        <v>566</v>
      </c>
      <c r="B31" s="14" t="s">
        <v>1384</v>
      </c>
      <c r="D31" s="13" t="str">
        <f>IF(NodesData[[#This Row],[Class Disambiguation]]="",NodesData[[#This Row],[Common Name]],NodesData[[#This Row],[Common Name]]&amp;" ("&amp;NodesData[[#This Row],[Class Disambiguation]]&amp;")")</f>
        <v>Application Package</v>
      </c>
      <c r="E31" s="13" t="s">
        <v>567</v>
      </c>
      <c r="F31" s="20" t="str" cm="1">
        <f t="array" ref="F31">"n"&amp;SUBSTITUTE(CreateGuidString(),"-","_")</f>
        <v>n8DE7DF0D_3073_424A_B51F_82AE57910222</v>
      </c>
    </row>
    <row r="32" spans="1:6" x14ac:dyDescent="0.35">
      <c r="A32" s="13" t="s">
        <v>37</v>
      </c>
      <c r="B32" s="14" t="s">
        <v>1385</v>
      </c>
      <c r="D32" s="13" t="str">
        <f>IF(NodesData[[#This Row],[Class Disambiguation]]="",NodesData[[#This Row],[Common Name]],NodesData[[#This Row],[Common Name]]&amp;" ("&amp;NodesData[[#This Row],[Class Disambiguation]]&amp;")")</f>
        <v>Application Program</v>
      </c>
      <c r="E32" s="13" t="s">
        <v>568</v>
      </c>
      <c r="F32" s="20" t="str" cm="1">
        <f t="array" ref="F32">"n"&amp;SUBSTITUTE(CreateGuidString(),"-","_")</f>
        <v>n6655F3BB_1A7B_4F27_A509_9494389B733B</v>
      </c>
    </row>
    <row r="33" spans="1:6" x14ac:dyDescent="0.35">
      <c r="A33" s="13" t="s">
        <v>569</v>
      </c>
      <c r="B33" s="14" t="s">
        <v>1382</v>
      </c>
      <c r="D33" s="13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E33" s="13" t="s">
        <v>570</v>
      </c>
      <c r="F33" s="20" t="str" cm="1">
        <f t="array" ref="F33">"n"&amp;SUBSTITUTE(CreateGuidString(),"-","_")</f>
        <v>n8A32CAF7_BF60_46C9_8549_2123525B29F8</v>
      </c>
    </row>
    <row r="34" spans="1:6" x14ac:dyDescent="0.35">
      <c r="A34" s="13" t="s">
        <v>571</v>
      </c>
      <c r="B34" s="14" t="s">
        <v>1386</v>
      </c>
      <c r="D34" s="13" t="str">
        <f>IF(NodesData[[#This Row],[Class Disambiguation]]="",NodesData[[#This Row],[Common Name]],NodesData[[#This Row],[Common Name]]&amp;" ("&amp;NodesData[[#This Row],[Class Disambiguation]]&amp;")")</f>
        <v>Archive</v>
      </c>
      <c r="E34" s="13" t="s">
        <v>572</v>
      </c>
      <c r="F34" s="20" t="str" cm="1">
        <f t="array" ref="F34">"n"&amp;SUBSTITUTE(CreateGuidString(),"-","_")</f>
        <v>nB0D0FFEB_3B70_4F03_BD46_E9A002416D95</v>
      </c>
    </row>
    <row r="35" spans="1:6" x14ac:dyDescent="0.35">
      <c r="A35" s="13" t="s">
        <v>39</v>
      </c>
      <c r="B35" s="14" t="s">
        <v>1387</v>
      </c>
      <c r="C35" s="13" t="s">
        <v>1270</v>
      </c>
      <c r="D35" s="13" t="str">
        <f>IF(NodesData[[#This Row],[Class Disambiguation]]="",NodesData[[#This Row],[Common Name]],NodesData[[#This Row],[Common Name]]&amp;" ("&amp;NodesData[[#This Row],[Class Disambiguation]]&amp;")")</f>
        <v>ARM (Acronym)</v>
      </c>
      <c r="E35" s="13" t="s">
        <v>573</v>
      </c>
      <c r="F35" s="20" t="str" cm="1">
        <f t="array" ref="F35">"n"&amp;SUBSTITUTE(CreateGuidString(),"-","_")</f>
        <v>n20CCD8DD_BC96_4685_92E1_824360777375</v>
      </c>
    </row>
    <row r="36" spans="1:6" x14ac:dyDescent="0.35">
      <c r="A36" s="13" t="s">
        <v>574</v>
      </c>
      <c r="B36" s="14" t="s">
        <v>1388</v>
      </c>
      <c r="D36" s="13" t="str">
        <f>IF(NodesData[[#This Row],[Class Disambiguation]]="",NodesData[[#This Row],[Common Name]],NodesData[[#This Row],[Common Name]]&amp;" ("&amp;NodesData[[#This Row],[Class Disambiguation]]&amp;")")</f>
        <v>Asset Custody</v>
      </c>
      <c r="E36" s="13" t="s">
        <v>575</v>
      </c>
      <c r="F36" s="20" t="str" cm="1">
        <f t="array" ref="F36">"n"&amp;SUBSTITUTE(CreateGuidString(),"-","_")</f>
        <v>n559DCEEB_D732_462B_94AF_87C8DC049D17</v>
      </c>
    </row>
    <row r="37" spans="1:6" x14ac:dyDescent="0.35">
      <c r="A37" s="13" t="s">
        <v>41</v>
      </c>
      <c r="B37" s="14" t="s">
        <v>1389</v>
      </c>
      <c r="D37" s="13" t="str">
        <f>IF(NodesData[[#This Row],[Class Disambiguation]]="",NodesData[[#This Row],[Common Name]],NodesData[[#This Row],[Common Name]]&amp;" ("&amp;NodesData[[#This Row],[Class Disambiguation]]&amp;")")</f>
        <v>Attestation</v>
      </c>
      <c r="E37" s="13" t="s">
        <v>576</v>
      </c>
      <c r="F37" s="20" t="str" cm="1">
        <f t="array" ref="F37">"n"&amp;SUBSTITUTE(CreateGuidString(),"-","_")</f>
        <v>nF1C613D2_19AD_468B_9D4D_E15F7E85E172</v>
      </c>
    </row>
    <row r="38" spans="1:6" x14ac:dyDescent="0.35">
      <c r="A38" s="13" t="s">
        <v>1265</v>
      </c>
      <c r="B38" s="14" t="s">
        <v>1390</v>
      </c>
      <c r="D38" s="13" t="str">
        <f>IF(NodesData[[#This Row],[Class Disambiguation]]="",NodesData[[#This Row],[Common Name]],NodesData[[#This Row],[Common Name]]&amp;" ("&amp;NodesData[[#This Row],[Class Disambiguation]]&amp;")")</f>
        <v>Attribute</v>
      </c>
      <c r="E38" s="13" t="s">
        <v>577</v>
      </c>
      <c r="F38" s="20" t="str" cm="1">
        <f t="array" ref="F38">"n"&amp;SUBSTITUTE(CreateGuidString(),"-","_")</f>
        <v>n22B97374_E890_46E2_9603_5AF108CD040E</v>
      </c>
    </row>
    <row r="39" spans="1:6" x14ac:dyDescent="0.35">
      <c r="A39" s="13" t="s">
        <v>578</v>
      </c>
      <c r="B39" s="14" t="s">
        <v>1391</v>
      </c>
      <c r="D39" s="13" t="str">
        <f>IF(NodesData[[#This Row],[Class Disambiguation]]="",NodesData[[#This Row],[Common Name]],NodesData[[#This Row],[Common Name]]&amp;" ("&amp;NodesData[[#This Row],[Class Disambiguation]]&amp;")")</f>
        <v>Attribute Provider</v>
      </c>
      <c r="E39" s="13" t="s">
        <v>579</v>
      </c>
      <c r="F39" s="20" t="str" cm="1">
        <f t="array" ref="F39">"n"&amp;SUBSTITUTE(CreateGuidString(),"-","_")</f>
        <v>nA77A3FEC_70C1_4432_A9DB_CE018ACDA4C0</v>
      </c>
    </row>
    <row r="40" spans="1:6" x14ac:dyDescent="0.35">
      <c r="A40" s="13" t="s">
        <v>580</v>
      </c>
      <c r="B40" s="14" t="s">
        <v>1392</v>
      </c>
      <c r="D40" s="13" t="str">
        <f>IF(NodesData[[#This Row],[Class Disambiguation]]="",NodesData[[#This Row],[Common Name]],NodesData[[#This Row],[Common Name]]&amp;" ("&amp;NodesData[[#This Row],[Class Disambiguation]]&amp;")")</f>
        <v>Authenticated Users</v>
      </c>
      <c r="E40" s="13" t="s">
        <v>581</v>
      </c>
      <c r="F40" s="20" t="str" cm="1">
        <f t="array" ref="F40">"n"&amp;SUBSTITUTE(CreateGuidString(),"-","_")</f>
        <v>n3E5AB96A_0C6D_44BE_9426_2CAC8E2B606D</v>
      </c>
    </row>
    <row r="41" spans="1:6" x14ac:dyDescent="0.35">
      <c r="A41" s="13" t="s">
        <v>582</v>
      </c>
      <c r="B41" s="14" t="s">
        <v>1393</v>
      </c>
      <c r="D41" s="13" t="str">
        <f>IF(NodesData[[#This Row],[Class Disambiguation]]="",NodesData[[#This Row],[Common Name]],NodesData[[#This Row],[Common Name]]&amp;" ("&amp;NodesData[[#This Row],[Class Disambiguation]]&amp;")")</f>
        <v>Authentication</v>
      </c>
      <c r="E41" s="13" t="s">
        <v>583</v>
      </c>
      <c r="F41" s="20" t="str" cm="1">
        <f t="array" ref="F41">"n"&amp;SUBSTITUTE(CreateGuidString(),"-","_")</f>
        <v>n626BBBE9_FA2C_4A09_93B6_6F655BEAAC2A</v>
      </c>
    </row>
    <row r="42" spans="1:6" x14ac:dyDescent="0.35">
      <c r="A42" s="13" t="s">
        <v>0</v>
      </c>
      <c r="B42" s="14" t="s">
        <v>1394</v>
      </c>
      <c r="D42" s="13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E42" s="13" t="s">
        <v>584</v>
      </c>
      <c r="F42" s="20" t="str" cm="1">
        <f t="array" ref="F42">"n"&amp;SUBSTITUTE(CreateGuidString(),"-","_")</f>
        <v>nBA94E68C_94DA_4B0F_A06F_A82B16323A88</v>
      </c>
    </row>
    <row r="43" spans="1:6" x14ac:dyDescent="0.35">
      <c r="A43" s="13" t="s">
        <v>1332</v>
      </c>
      <c r="B43" s="14" t="s">
        <v>1395</v>
      </c>
      <c r="D43" s="13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F43" s="20" t="str" cm="1">
        <f t="array" ref="F43">"n"&amp;SUBSTITUTE(CreateGuidString(),"-","_")</f>
        <v>nD42FBEE8_2BAC_47F6_A573_BADD75498645</v>
      </c>
    </row>
    <row r="44" spans="1:6" x14ac:dyDescent="0.35">
      <c r="A44" s="13" t="s">
        <v>585</v>
      </c>
      <c r="B44" s="14" t="s">
        <v>1396</v>
      </c>
      <c r="D44" s="13" t="str">
        <f>IF(NodesData[[#This Row],[Class Disambiguation]]="",NodesData[[#This Row],[Common Name]],NodesData[[#This Row],[Common Name]]&amp;" ("&amp;NodesData[[#This Row],[Class Disambiguation]]&amp;")")</f>
        <v>Authenticator</v>
      </c>
      <c r="E44" s="13" t="s">
        <v>586</v>
      </c>
      <c r="F44" s="20" t="str" cm="1">
        <f t="array" ref="F44">"n"&amp;SUBSTITUTE(CreateGuidString(),"-","_")</f>
        <v>n5210443F_9235_4B0F_B626_25427F07B5A8</v>
      </c>
    </row>
    <row r="45" spans="1:6" x14ac:dyDescent="0.35">
      <c r="A45" s="13" t="s">
        <v>587</v>
      </c>
      <c r="B45" s="14" t="s">
        <v>1397</v>
      </c>
      <c r="D45" s="13" t="str">
        <f>IF(NodesData[[#This Row],[Class Disambiguation]]="",NodesData[[#This Row],[Common Name]],NodesData[[#This Row],[Common Name]]&amp;" ("&amp;NodesData[[#This Row],[Class Disambiguation]]&amp;")")</f>
        <v>Authority</v>
      </c>
      <c r="E45" s="13" t="s">
        <v>588</v>
      </c>
      <c r="F45" s="20" t="str" cm="1">
        <f t="array" ref="F45">"n"&amp;SUBSTITUTE(CreateGuidString(),"-","_")</f>
        <v>nEC624409_CE19_47F5_B20C_E9CCE6066437</v>
      </c>
    </row>
    <row r="46" spans="1:6" x14ac:dyDescent="0.35">
      <c r="A46" s="13" t="s">
        <v>589</v>
      </c>
      <c r="B46" s="14" t="s">
        <v>1398</v>
      </c>
      <c r="D46" s="13" t="str">
        <f>IF(NodesData[[#This Row],[Class Disambiguation]]="",NodesData[[#This Row],[Common Name]],NodesData[[#This Row],[Common Name]]&amp;" ("&amp;NodesData[[#This Row],[Class Disambiguation]]&amp;")")</f>
        <v>Authorization</v>
      </c>
      <c r="E46" s="13" t="s">
        <v>590</v>
      </c>
      <c r="F46" s="20" t="str" cm="1">
        <f t="array" ref="F46">"n"&amp;SUBSTITUTE(CreateGuidString(),"-","_")</f>
        <v>n931F0E27_2FEE_455B_B659_98DCB887E6E9</v>
      </c>
    </row>
    <row r="47" spans="1:6" x14ac:dyDescent="0.35">
      <c r="A47" s="13" t="s">
        <v>50</v>
      </c>
      <c r="B47" s="14" t="s">
        <v>1409</v>
      </c>
      <c r="D47" s="13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E47" s="13" t="s">
        <v>591</v>
      </c>
      <c r="F47" s="20" t="str" cm="1">
        <f t="array" ref="F47">"n"&amp;SUBSTITUTE(CreateGuidString(),"-","_")</f>
        <v>n1D553387_8F40_48E5_A9A9_3AA0024C57C4</v>
      </c>
    </row>
    <row r="48" spans="1:6" x14ac:dyDescent="0.35">
      <c r="A48" s="13" t="s">
        <v>592</v>
      </c>
      <c r="B48" s="14" t="s">
        <v>1399</v>
      </c>
      <c r="D48" s="13" t="str">
        <f>IF(NodesData[[#This Row],[Class Disambiguation]]="",NodesData[[#This Row],[Common Name]],NodesData[[#This Row],[Common Name]]&amp;" ("&amp;NodesData[[#This Row],[Class Disambiguation]]&amp;")")</f>
        <v>Awareness</v>
      </c>
      <c r="E48" s="13" t="s">
        <v>593</v>
      </c>
      <c r="F48" s="20" t="str" cm="1">
        <f t="array" ref="F48">"n"&amp;SUBSTITUTE(CreateGuidString(),"-","_")</f>
        <v>n4816FB9D_2D20_40D7_BE7C_5F9B39711DF5</v>
      </c>
    </row>
    <row r="49" spans="1:6" x14ac:dyDescent="0.35">
      <c r="A49" s="13" t="s">
        <v>594</v>
      </c>
      <c r="B49" s="14" t="s">
        <v>1400</v>
      </c>
      <c r="D49" s="13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E49" s="13" t="s">
        <v>595</v>
      </c>
      <c r="F49" s="20" t="str" cm="1">
        <f t="array" ref="F49">"n"&amp;SUBSTITUTE(CreateGuidString(),"-","_")</f>
        <v>n364BF60B_FE7D_4949_AD1F_EB1DC8456461</v>
      </c>
    </row>
    <row r="50" spans="1:6" x14ac:dyDescent="0.35">
      <c r="A50" s="13" t="s">
        <v>596</v>
      </c>
      <c r="B50" s="14" t="s">
        <v>1401</v>
      </c>
      <c r="C50" s="13" t="s">
        <v>1270</v>
      </c>
      <c r="D50" s="13" t="str">
        <f>IF(NodesData[[#This Row],[Class Disambiguation]]="",NodesData[[#This Row],[Common Name]],NodesData[[#This Row],[Common Name]]&amp;" ("&amp;NodesData[[#This Row],[Class Disambiguation]]&amp;")")</f>
        <v>AWS ACL (Acronym)</v>
      </c>
      <c r="E50" s="13" t="s">
        <v>597</v>
      </c>
      <c r="F50" s="20" t="str" cm="1">
        <f t="array" ref="F50">"n"&amp;SUBSTITUTE(CreateGuidString(),"-","_")</f>
        <v>n7515FE77_E01F_45AE_B4D4_7B35591281DF</v>
      </c>
    </row>
    <row r="51" spans="1:6" x14ac:dyDescent="0.35">
      <c r="A51" s="13" t="s">
        <v>598</v>
      </c>
      <c r="B51" s="14" t="s">
        <v>1402</v>
      </c>
      <c r="C51" s="13" t="s">
        <v>1270</v>
      </c>
      <c r="D51" s="13" t="str">
        <f>IF(NodesData[[#This Row],[Class Disambiguation]]="",NodesData[[#This Row],[Common Name]],NodesData[[#This Row],[Common Name]]&amp;" ("&amp;NodesData[[#This Row],[Class Disambiguation]]&amp;")")</f>
        <v>AWS IAM (Acronym)</v>
      </c>
      <c r="E51" s="13" t="s">
        <v>599</v>
      </c>
      <c r="F51" s="20" t="str" cm="1">
        <f t="array" ref="F51">"n"&amp;SUBSTITUTE(CreateGuidString(),"-","_")</f>
        <v>n58606554_E75E_45A9_AEC8_7775A8E37843</v>
      </c>
    </row>
    <row r="52" spans="1:6" x14ac:dyDescent="0.35">
      <c r="A52" s="13" t="s">
        <v>600</v>
      </c>
      <c r="B52" s="14" t="s">
        <v>1403</v>
      </c>
      <c r="C52" s="13" t="s">
        <v>1270</v>
      </c>
      <c r="D52" s="13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E52" s="13" t="s">
        <v>601</v>
      </c>
      <c r="F52" s="20" t="str" cm="1">
        <f t="array" ref="F52">"n"&amp;SUBSTITUTE(CreateGuidString(),"-","_")</f>
        <v>nFB52EA31_AD62_4593_9136_6538F8EDD6BC</v>
      </c>
    </row>
    <row r="53" spans="1:6" x14ac:dyDescent="0.35">
      <c r="A53" s="13" t="s">
        <v>602</v>
      </c>
      <c r="B53" s="14" t="s">
        <v>1404</v>
      </c>
      <c r="C53" s="13" t="s">
        <v>1270</v>
      </c>
      <c r="D53" s="13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E53" s="13" t="s">
        <v>603</v>
      </c>
      <c r="F53" s="20" t="str" cm="1">
        <f t="array" ref="F53">"n"&amp;SUBSTITUTE(CreateGuidString(),"-","_")</f>
        <v>nFCBC1DB3_B72C_4681_AEDF_CB3298E8C1F2</v>
      </c>
    </row>
    <row r="54" spans="1:6" x14ac:dyDescent="0.35">
      <c r="A54" s="13" t="s">
        <v>604</v>
      </c>
      <c r="B54" s="14" t="s">
        <v>1405</v>
      </c>
      <c r="C54" s="13" t="s">
        <v>1270</v>
      </c>
      <c r="D54" s="13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E54" s="13" t="s">
        <v>605</v>
      </c>
      <c r="F54" s="20" t="str" cm="1">
        <f t="array" ref="F54">"n"&amp;SUBSTITUTE(CreateGuidString(),"-","_")</f>
        <v>n927FCE8B_803B_4EBC_A379_FCB12899C489</v>
      </c>
    </row>
    <row r="55" spans="1:6" x14ac:dyDescent="0.35">
      <c r="A55" s="13" t="s">
        <v>606</v>
      </c>
      <c r="B55" s="14" t="s">
        <v>1406</v>
      </c>
      <c r="C55" s="13" t="s">
        <v>1270</v>
      </c>
      <c r="D55" s="13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E55" s="13" t="s">
        <v>607</v>
      </c>
      <c r="F55" s="20" t="str" cm="1">
        <f t="array" ref="F55">"n"&amp;SUBSTITUTE(CreateGuidString(),"-","_")</f>
        <v>n42A6F20D_4E6C_4306_9082_4F201918852C</v>
      </c>
    </row>
    <row r="56" spans="1:6" x14ac:dyDescent="0.35">
      <c r="A56" s="13" t="s">
        <v>608</v>
      </c>
      <c r="B56" s="14" t="s">
        <v>1407</v>
      </c>
      <c r="C56" s="13" t="s">
        <v>1270</v>
      </c>
      <c r="D56" s="13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E56" s="13" t="s">
        <v>609</v>
      </c>
      <c r="F56" s="20" t="str" cm="1">
        <f t="array" ref="F56">"n"&amp;SUBSTITUTE(CreateGuidString(),"-","_")</f>
        <v>nA9E2011B_42C3_4FCC_B40F_4A817F7E9A9E</v>
      </c>
    </row>
    <row r="57" spans="1:6" x14ac:dyDescent="0.35">
      <c r="A57" s="13" t="s">
        <v>610</v>
      </c>
      <c r="B57" s="14" t="s">
        <v>1408</v>
      </c>
      <c r="C57" s="13" t="s">
        <v>1270</v>
      </c>
      <c r="D57" s="13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E57" s="13" t="s">
        <v>611</v>
      </c>
      <c r="F57" s="20" t="str" cm="1">
        <f t="array" ref="F57">"n"&amp;SUBSTITUTE(CreateGuidString(),"-","_")</f>
        <v>nBF25F288_9CED_41A0_AF2E_E28C15E69ADB</v>
      </c>
    </row>
    <row r="58" spans="1:6" x14ac:dyDescent="0.35">
      <c r="A58" s="13" t="s">
        <v>1301</v>
      </c>
      <c r="B58" s="14" t="s">
        <v>1412</v>
      </c>
      <c r="D58" s="13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F58" s="20" t="str" cm="1">
        <f t="array" ref="F58">"n"&amp;SUBSTITUTE(CreateGuidString(),"-","_")</f>
        <v>nE528855B_A980_4461_B139_005923F149D5</v>
      </c>
    </row>
    <row r="59" spans="1:6" x14ac:dyDescent="0.35">
      <c r="A59" s="13" t="s">
        <v>612</v>
      </c>
      <c r="B59" s="14" t="s">
        <v>1410</v>
      </c>
      <c r="C59" s="13" t="s">
        <v>1270</v>
      </c>
      <c r="D59" s="13" t="str">
        <f>IF(NodesData[[#This Row],[Class Disambiguation]]="",NodesData[[#This Row],[Common Name]],NodesData[[#This Row],[Common Name]]&amp;" ("&amp;NodesData[[#This Row],[Class Disambiguation]]&amp;")")</f>
        <v>BankID (Acronym)</v>
      </c>
      <c r="E59" s="13" t="s">
        <v>613</v>
      </c>
      <c r="F59" s="20" t="str" cm="1">
        <f t="array" ref="F59">"n"&amp;SUBSTITUTE(CreateGuidString(),"-","_")</f>
        <v>nEE2B8161_4058_4CF8_98FC_98FA42BD5958</v>
      </c>
    </row>
    <row r="60" spans="1:6" x14ac:dyDescent="0.35">
      <c r="A60" s="13" t="s">
        <v>614</v>
      </c>
      <c r="B60" s="14" t="s">
        <v>1411</v>
      </c>
      <c r="D60" s="13" t="str">
        <f>IF(NodesData[[#This Row],[Class Disambiguation]]="",NodesData[[#This Row],[Common Name]],NodesData[[#This Row],[Common Name]]&amp;" ("&amp;NodesData[[#This Row],[Class Disambiguation]]&amp;")")</f>
        <v>Basic Z Rule</v>
      </c>
      <c r="E60" s="13" t="s">
        <v>615</v>
      </c>
      <c r="F60" s="20" t="str" cm="1">
        <f t="array" ref="F60">"n"&amp;SUBSTITUTE(CreateGuidString(),"-","_")</f>
        <v>n446E3BD3_E30D_4863_8F00_89C87102EEB1</v>
      </c>
    </row>
    <row r="61" spans="1:6" x14ac:dyDescent="0.35">
      <c r="A61" s="13" t="s">
        <v>70</v>
      </c>
      <c r="B61" s="14" t="s">
        <v>1414</v>
      </c>
      <c r="D61" s="13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E61" s="13" t="s">
        <v>616</v>
      </c>
      <c r="F61" s="20" t="str" cm="1">
        <f t="array" ref="F61">"n"&amp;SUBSTITUTE(CreateGuidString(),"-","_")</f>
        <v>n3E6B00C2_3512_4266_AF2D_E78947E01B89</v>
      </c>
    </row>
    <row r="62" spans="1:6" x14ac:dyDescent="0.35">
      <c r="A62" s="13" t="s">
        <v>72</v>
      </c>
      <c r="B62" s="14" t="s">
        <v>1413</v>
      </c>
      <c r="D62" s="13" t="str">
        <f>IF(NodesData[[#This Row],[Class Disambiguation]]="",NodesData[[#This Row],[Common Name]],NodesData[[#This Row],[Common Name]]&amp;" ("&amp;NodesData[[#This Row],[Class Disambiguation]]&amp;")")</f>
        <v>Bell-LaPadula Model</v>
      </c>
      <c r="E62" s="13" t="s">
        <v>617</v>
      </c>
      <c r="F62" s="20" t="str" cm="1">
        <f t="array" ref="F62">"n"&amp;SUBSTITUTE(CreateGuidString(),"-","_")</f>
        <v>nB6D71A42_DD0F_4701_BD89_DCFCECCFC666</v>
      </c>
    </row>
    <row r="63" spans="1:6" x14ac:dyDescent="0.35">
      <c r="A63" s="13" t="s">
        <v>1302</v>
      </c>
      <c r="B63" s="14" t="s">
        <v>1420</v>
      </c>
      <c r="D63" s="13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F63" s="20" t="str" cm="1">
        <f t="array" ref="F63">"n"&amp;SUBSTITUTE(CreateGuidString(),"-","_")</f>
        <v>n3E8A545D_EC3A_4207_94F1_A91C6E35E4F2</v>
      </c>
    </row>
    <row r="64" spans="1:6" x14ac:dyDescent="0.35">
      <c r="A64" s="13" t="s">
        <v>618</v>
      </c>
      <c r="B64" s="14" t="s">
        <v>1415</v>
      </c>
      <c r="D64" s="13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E64" s="13" t="s">
        <v>619</v>
      </c>
      <c r="F64" s="20" t="str" cm="1">
        <f t="array" ref="F64">"n"&amp;SUBSTITUTE(CreateGuidString(),"-","_")</f>
        <v>nE81AC5A8_38C5_464F_8C26_28778B3E51B0</v>
      </c>
    </row>
    <row r="65" spans="1:6" x14ac:dyDescent="0.35">
      <c r="A65" s="13" t="s">
        <v>620</v>
      </c>
      <c r="B65" s="14" t="s">
        <v>1416</v>
      </c>
      <c r="D65" s="13" t="str">
        <f>IF(NodesData[[#This Row],[Class Disambiguation]]="",NodesData[[#This Row],[Common Name]],NodesData[[#This Row],[Common Name]]&amp;" ("&amp;NodesData[[#This Row],[Class Disambiguation]]&amp;")")</f>
        <v>Biometrics</v>
      </c>
      <c r="E65" s="13" t="s">
        <v>621</v>
      </c>
      <c r="F65" s="20" t="str" cm="1">
        <f t="array" ref="F65">"n"&amp;SUBSTITUTE(CreateGuidString(),"-","_")</f>
        <v>n8B9F80F0_3F66_40C9_BF90_379DCAA1484D</v>
      </c>
    </row>
    <row r="66" spans="1:6" x14ac:dyDescent="0.35">
      <c r="A66" s="13" t="s">
        <v>622</v>
      </c>
      <c r="B66" s="14" t="s">
        <v>1417</v>
      </c>
      <c r="D66" s="13" t="str">
        <f>IF(NodesData[[#This Row],[Class Disambiguation]]="",NodesData[[#This Row],[Common Name]],NodesData[[#This Row],[Common Name]]&amp;" ("&amp;NodesData[[#This Row],[Class Disambiguation]]&amp;")")</f>
        <v>Birth Certificate</v>
      </c>
      <c r="E66" s="13" t="s">
        <v>623</v>
      </c>
      <c r="F66" s="20" t="str" cm="1">
        <f t="array" ref="F66">"n"&amp;SUBSTITUTE(CreateGuidString(),"-","_")</f>
        <v>n225156D0_7678_405D_9191_4D48532389E7</v>
      </c>
    </row>
    <row r="67" spans="1:6" x14ac:dyDescent="0.35">
      <c r="A67" s="13" t="s">
        <v>624</v>
      </c>
      <c r="B67" s="14" t="s">
        <v>1418</v>
      </c>
      <c r="D67" s="13" t="str">
        <f>IF(NodesData[[#This Row],[Class Disambiguation]]="",NodesData[[#This Row],[Common Name]],NodesData[[#This Row],[Common Name]]&amp;" ("&amp;NodesData[[#This Row],[Class Disambiguation]]&amp;")")</f>
        <v>Blast Radius</v>
      </c>
      <c r="E67" s="13" t="s">
        <v>625</v>
      </c>
      <c r="F67" s="20" t="str" cm="1">
        <f t="array" ref="F67">"n"&amp;SUBSTITUTE(CreateGuidString(),"-","_")</f>
        <v>nAB70BE25_0263_4612_8A72_C292DA433183</v>
      </c>
    </row>
    <row r="68" spans="1:6" x14ac:dyDescent="0.35">
      <c r="A68" s="13" t="s">
        <v>79</v>
      </c>
      <c r="B68" s="14" t="s">
        <v>1419</v>
      </c>
      <c r="D68" s="13" t="str">
        <f>IF(NodesData[[#This Row],[Class Disambiguation]]="",NodesData[[#This Row],[Common Name]],NodesData[[#This Row],[Common Name]]&amp;" ("&amp;NodesData[[#This Row],[Class Disambiguation]]&amp;")")</f>
        <v>Boundary Control</v>
      </c>
      <c r="E68" s="13" t="s">
        <v>626</v>
      </c>
      <c r="F68" s="20" t="str" cm="1">
        <f t="array" ref="F68">"n"&amp;SUBSTITUTE(CreateGuidString(),"-","_")</f>
        <v>nB4127A8A_912A_4B76_9632_8E0D91DE1B45</v>
      </c>
    </row>
    <row r="69" spans="1:6" x14ac:dyDescent="0.35">
      <c r="A69" s="13" t="s">
        <v>1303</v>
      </c>
      <c r="B69" s="14" t="s">
        <v>1428</v>
      </c>
      <c r="D69" s="13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F69" s="20" t="str" cm="1">
        <f t="array" ref="F69">"n"&amp;SUBSTITUTE(CreateGuidString(),"-","_")</f>
        <v>n88C93491_6426_4B0C_B92D_87059DAFF8B7</v>
      </c>
    </row>
    <row r="70" spans="1:6" x14ac:dyDescent="0.35">
      <c r="A70" s="13" t="s">
        <v>627</v>
      </c>
      <c r="B70" s="14" t="s">
        <v>1421</v>
      </c>
      <c r="D70" s="13" t="str">
        <f>IF(NodesData[[#This Row],[Class Disambiguation]]="",NodesData[[#This Row],[Common Name]],NodesData[[#This Row],[Common Name]]&amp;" ("&amp;NodesData[[#This Row],[Class Disambiguation]]&amp;")")</f>
        <v>Broker</v>
      </c>
      <c r="E70" s="13" t="s">
        <v>628</v>
      </c>
      <c r="F70" s="20" t="str" cm="1">
        <f t="array" ref="F70">"n"&amp;SUBSTITUTE(CreateGuidString(),"-","_")</f>
        <v>nB0BAC981_E96F_40B9_BCDC_974D3C0BE921</v>
      </c>
    </row>
    <row r="71" spans="1:6" x14ac:dyDescent="0.35">
      <c r="A71" s="13" t="s">
        <v>81</v>
      </c>
      <c r="B71" s="14" t="s">
        <v>1422</v>
      </c>
      <c r="D71" s="13" t="str">
        <f>IF(NodesData[[#This Row],[Class Disambiguation]]="",NodesData[[#This Row],[Common Name]],NodesData[[#This Row],[Common Name]]&amp;" ("&amp;NodesData[[#This Row],[Class Disambiguation]]&amp;")")</f>
        <v>Brute Force Attack</v>
      </c>
      <c r="E71" s="13" t="s">
        <v>629</v>
      </c>
      <c r="F71" s="20" t="str" cm="1">
        <f t="array" ref="F71">"n"&amp;SUBSTITUTE(CreateGuidString(),"-","_")</f>
        <v>n0F87486E_1B07_41AD_B917_9005F578CE9C</v>
      </c>
    </row>
    <row r="72" spans="1:6" x14ac:dyDescent="0.35">
      <c r="A72" s="13" t="s">
        <v>630</v>
      </c>
      <c r="B72" s="14" t="s">
        <v>1423</v>
      </c>
      <c r="D72" s="13" t="str">
        <f>IF(NodesData[[#This Row],[Class Disambiguation]]="",NodesData[[#This Row],[Common Name]],NodesData[[#This Row],[Common Name]]&amp;" ("&amp;NodesData[[#This Row],[Class Disambiguation]]&amp;")")</f>
        <v>Built-in</v>
      </c>
      <c r="E72" s="13" t="s">
        <v>631</v>
      </c>
      <c r="F72" s="20" t="str" cm="1">
        <f t="array" ref="F72">"n"&amp;SUBSTITUTE(CreateGuidString(),"-","_")</f>
        <v>nD52FC6A2_66A4_409B_B7D8_998A09BB82BE</v>
      </c>
    </row>
    <row r="73" spans="1:6" x14ac:dyDescent="0.35">
      <c r="A73" s="13" t="s">
        <v>83</v>
      </c>
      <c r="B73" s="14" t="s">
        <v>1424</v>
      </c>
      <c r="C73" s="13" t="s">
        <v>1270</v>
      </c>
      <c r="D73" s="13" t="str">
        <f>IF(NodesData[[#This Row],[Class Disambiguation]]="",NodesData[[#This Row],[Common Name]],NodesData[[#This Row],[Common Name]]&amp;" ("&amp;NodesData[[#This Row],[Class Disambiguation]]&amp;")")</f>
        <v>BZR (Acronym)</v>
      </c>
      <c r="E73" s="13" t="s">
        <v>632</v>
      </c>
      <c r="F73" s="20" t="str" cm="1">
        <f t="array" ref="F73">"n"&amp;SUBSTITUTE(CreateGuidString(),"-","_")</f>
        <v>n14AC278F_3C8B_49E9_A061_FA15AFC46634</v>
      </c>
    </row>
    <row r="74" spans="1:6" x14ac:dyDescent="0.35">
      <c r="A74" s="13" t="s">
        <v>84</v>
      </c>
      <c r="B74" s="14" t="s">
        <v>1425</v>
      </c>
      <c r="D74" s="13" t="str">
        <f>IF(NodesData[[#This Row],[Class Disambiguation]]="",NodesData[[#This Row],[Common Name]],NodesData[[#This Row],[Common Name]]&amp;" ("&amp;NodesData[[#This Row],[Class Disambiguation]]&amp;")")</f>
        <v>Cached Credential</v>
      </c>
      <c r="E74" s="13" t="s">
        <v>633</v>
      </c>
      <c r="F74" s="20" t="str" cm="1">
        <f t="array" ref="F74">"n"&amp;SUBSTITUTE(CreateGuidString(),"-","_")</f>
        <v>n13FF4172_F5DC_412C_89CE_3A46B90D72FF</v>
      </c>
    </row>
    <row r="75" spans="1:6" x14ac:dyDescent="0.35">
      <c r="A75" s="13" t="s">
        <v>1348</v>
      </c>
      <c r="B75" s="14" t="s">
        <v>1912</v>
      </c>
      <c r="D75" s="19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F75" s="21" t="str" cm="1">
        <f t="array" ref="F75">"n"&amp;SUBSTITUTE(CreateGuidString(),"-","_")</f>
        <v>n70738C54_1A91_48B7_BBA4_D675F68CAAEE</v>
      </c>
    </row>
    <row r="76" spans="1:6" x14ac:dyDescent="0.35">
      <c r="A76" s="13" t="s">
        <v>1349</v>
      </c>
      <c r="B76" s="14" t="s">
        <v>1913</v>
      </c>
      <c r="D76" s="19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F76" s="21" t="str" cm="1">
        <f t="array" ref="F76">"n"&amp;SUBSTITUTE(CreateGuidString(),"-","_")</f>
        <v>n886EA0D6_14A5_449D_86F0_8A29E8DF30F7</v>
      </c>
    </row>
    <row r="77" spans="1:6" x14ac:dyDescent="0.35">
      <c r="A77" s="13" t="s">
        <v>1350</v>
      </c>
      <c r="B77" s="14" t="s">
        <v>1914</v>
      </c>
      <c r="D77" s="19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F77" s="21" t="str" cm="1">
        <f t="array" ref="F77">"n"&amp;SUBSTITUTE(CreateGuidString(),"-","_")</f>
        <v>n19CE0C76_F0DB_41CC_ABDB_944B59DF2B2E</v>
      </c>
    </row>
    <row r="78" spans="1:6" x14ac:dyDescent="0.35">
      <c r="A78" s="13" t="s">
        <v>1347</v>
      </c>
      <c r="B78" s="14" t="s">
        <v>1915</v>
      </c>
      <c r="D78" s="19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F78" s="21" t="str" cm="1">
        <f t="array" ref="F78">"n"&amp;SUBSTITUTE(CreateGuidString(),"-","_")</f>
        <v>nB67658EB_794A_4751_B32B_4D00A7E2CF0D</v>
      </c>
    </row>
    <row r="79" spans="1:6" x14ac:dyDescent="0.35">
      <c r="A79" s="13" t="s">
        <v>88</v>
      </c>
      <c r="B79" s="14" t="s">
        <v>1426</v>
      </c>
      <c r="C79" s="13" t="s">
        <v>1270</v>
      </c>
      <c r="D79" s="13" t="str">
        <f>IF(NodesData[[#This Row],[Class Disambiguation]]="",NodesData[[#This Row],[Common Name]],NodesData[[#This Row],[Common Name]]&amp;" ("&amp;NodesData[[#This Row],[Class Disambiguation]]&amp;")")</f>
        <v>CDD (Acronym)</v>
      </c>
      <c r="E79" s="13" t="s">
        <v>634</v>
      </c>
      <c r="F79" s="20" t="str" cm="1">
        <f t="array" ref="F79">"n"&amp;SUBSTITUTE(CreateGuidString(),"-","_")</f>
        <v>nF630D971_2C38_447E_9069_320DC274D280</v>
      </c>
    </row>
    <row r="80" spans="1:6" x14ac:dyDescent="0.35">
      <c r="A80" s="13" t="s">
        <v>635</v>
      </c>
      <c r="B80" s="14" t="s">
        <v>1427</v>
      </c>
      <c r="D80" s="13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E80" s="13" t="s">
        <v>636</v>
      </c>
      <c r="F80" s="20" t="str" cm="1">
        <f t="array" ref="F80">"n"&amp;SUBSTITUTE(CreateGuidString(),"-","_")</f>
        <v>n31EE27D2_955D_4AED_AF66_E2D6CE41D799</v>
      </c>
    </row>
    <row r="81" spans="1:6" x14ac:dyDescent="0.35">
      <c r="A81" s="13" t="s">
        <v>1316</v>
      </c>
      <c r="B81" s="14" t="s">
        <v>1435</v>
      </c>
      <c r="D81" s="13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F81" s="20" t="str" cm="1">
        <f t="array" ref="F81">"n"&amp;SUBSTITUTE(CreateGuidString(),"-","_")</f>
        <v>n1ED81AA9_2F80_4D56_9828_25A8EAA9C52E</v>
      </c>
    </row>
    <row r="82" spans="1:6" x14ac:dyDescent="0.35">
      <c r="A82" s="13" t="s">
        <v>637</v>
      </c>
      <c r="B82" s="14" t="s">
        <v>1429</v>
      </c>
      <c r="D82" s="13" t="str">
        <f>IF(NodesData[[#This Row],[Class Disambiguation]]="",NodesData[[#This Row],[Common Name]],NodesData[[#This Row],[Common Name]]&amp;" ("&amp;NodesData[[#This Row],[Class Disambiguation]]&amp;")")</f>
        <v>Certification</v>
      </c>
      <c r="E82" s="13" t="s">
        <v>638</v>
      </c>
      <c r="F82" s="20" t="str" cm="1">
        <f t="array" ref="F82">"n"&amp;SUBSTITUTE(CreateGuidString(),"-","_")</f>
        <v>nF7100AED_377E_4E44_8C61_4932C30E7D6A</v>
      </c>
    </row>
    <row r="83" spans="1:6" x14ac:dyDescent="0.35">
      <c r="A83" s="13" t="s">
        <v>91</v>
      </c>
      <c r="B83" s="14" t="s">
        <v>1430</v>
      </c>
      <c r="C83" s="13" t="s">
        <v>1270</v>
      </c>
      <c r="D83" s="13" t="str">
        <f>IF(NodesData[[#This Row],[Class Disambiguation]]="",NodesData[[#This Row],[Common Name]],NodesData[[#This Row],[Common Name]]&amp;" ("&amp;NodesData[[#This Row],[Class Disambiguation]]&amp;")")</f>
        <v>CIBA (Acronym)</v>
      </c>
      <c r="E83" s="13" t="s">
        <v>639</v>
      </c>
      <c r="F83" s="20" t="str" cm="1">
        <f t="array" ref="F83">"n"&amp;SUBSTITUTE(CreateGuidString(),"-","_")</f>
        <v>nE50570C9_C26D_4DFC_BF27_BE95C167241C</v>
      </c>
    </row>
    <row r="84" spans="1:6" x14ac:dyDescent="0.35">
      <c r="A84" s="13" t="s">
        <v>92</v>
      </c>
      <c r="B84" s="14" t="s">
        <v>1431</v>
      </c>
      <c r="D84" s="13" t="str">
        <f>IF(NodesData[[#This Row],[Class Disambiguation]]="",NodesData[[#This Row],[Common Name]],NodesData[[#This Row],[Common Name]]&amp;" ("&amp;NodesData[[#This Row],[Class Disambiguation]]&amp;")")</f>
        <v>Claim</v>
      </c>
      <c r="E84" s="13" t="s">
        <v>640</v>
      </c>
      <c r="F84" s="20" t="str" cm="1">
        <f t="array" ref="F84">"n"&amp;SUBSTITUTE(CreateGuidString(),"-","_")</f>
        <v>nEECD46A5_35ED_4C49_88E0_9415959C350A</v>
      </c>
    </row>
    <row r="85" spans="1:6" x14ac:dyDescent="0.35">
      <c r="A85" s="13" t="s">
        <v>94</v>
      </c>
      <c r="B85" s="14" t="s">
        <v>1432</v>
      </c>
      <c r="D85" s="13" t="str">
        <f>IF(NodesData[[#This Row],[Class Disambiguation]]="",NodesData[[#This Row],[Common Name]],NodesData[[#This Row],[Common Name]]&amp;" ("&amp;NodesData[[#This Row],[Class Disambiguation]]&amp;")")</f>
        <v>Claim Registry Model</v>
      </c>
      <c r="E85" s="13" t="s">
        <v>641</v>
      </c>
      <c r="F85" s="20" t="str" cm="1">
        <f t="array" ref="F85">"n"&amp;SUBSTITUTE(CreateGuidString(),"-","_")</f>
        <v>nFB032845_C2B7_45CB_9E5B_2338B1FEA860</v>
      </c>
    </row>
    <row r="86" spans="1:6" x14ac:dyDescent="0.35">
      <c r="A86" s="13" t="s">
        <v>642</v>
      </c>
      <c r="B86" s="14" t="s">
        <v>1433</v>
      </c>
      <c r="D86" s="13" t="str">
        <f>IF(NodesData[[#This Row],[Class Disambiguation]]="",NodesData[[#This Row],[Common Name]],NodesData[[#This Row],[Common Name]]&amp;" ("&amp;NodesData[[#This Row],[Class Disambiguation]]&amp;")")</f>
        <v>Claimant</v>
      </c>
      <c r="E86" s="13" t="s">
        <v>643</v>
      </c>
      <c r="F86" s="20" t="str" cm="1">
        <f t="array" ref="F86">"n"&amp;SUBSTITUTE(CreateGuidString(),"-","_")</f>
        <v>nF7EFBC2B_31D4_4F5C_BC51_2B87DE58F34C</v>
      </c>
    </row>
    <row r="87" spans="1:6" x14ac:dyDescent="0.35">
      <c r="A87" s="13" t="s">
        <v>644</v>
      </c>
      <c r="B87" s="14" t="s">
        <v>1434</v>
      </c>
      <c r="D87" s="13" t="str">
        <f>IF(NodesData[[#This Row],[Class Disambiguation]]="",NodesData[[#This Row],[Common Name]],NodesData[[#This Row],[Common Name]]&amp;" ("&amp;NodesData[[#This Row],[Class Disambiguation]]&amp;")")</f>
        <v>Classification</v>
      </c>
      <c r="E87" s="13" t="s">
        <v>645</v>
      </c>
      <c r="F87" s="20" t="str" cm="1">
        <f t="array" ref="F87">"n"&amp;SUBSTITUTE(CreateGuidString(),"-","_")</f>
        <v>nD83A3761_8C68_4C01_9304_7EBF9DB88CDB</v>
      </c>
    </row>
    <row r="88" spans="1:6" x14ac:dyDescent="0.35">
      <c r="A88" s="13" t="s">
        <v>96</v>
      </c>
      <c r="B88" s="14" t="s">
        <v>1444</v>
      </c>
      <c r="D88" s="13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E88" s="13" t="s">
        <v>646</v>
      </c>
      <c r="F88" s="20" t="str" cm="1">
        <f t="array" ref="F88">"n"&amp;SUBSTITUTE(CreateGuidString(),"-","_")</f>
        <v>n2989592D_3085_478B_80E8_7BA2071D03C7</v>
      </c>
    </row>
    <row r="89" spans="1:6" x14ac:dyDescent="0.35">
      <c r="A89" s="13" t="s">
        <v>647</v>
      </c>
      <c r="B89" s="14" t="s">
        <v>1436</v>
      </c>
      <c r="D89" s="13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E89" s="13" t="s">
        <v>648</v>
      </c>
      <c r="F89" s="20" t="str" cm="1">
        <f t="array" ref="F89">"n"&amp;SUBSTITUTE(CreateGuidString(),"-","_")</f>
        <v>n5F82C2BF_F9D8_4626_AE45_03077C431135</v>
      </c>
    </row>
    <row r="90" spans="1:6" x14ac:dyDescent="0.35">
      <c r="A90" s="13" t="s">
        <v>649</v>
      </c>
      <c r="B90" s="14" t="s">
        <v>1437</v>
      </c>
      <c r="C90" s="13" t="s">
        <v>1270</v>
      </c>
      <c r="D90" s="13" t="str">
        <f>IF(NodesData[[#This Row],[Class Disambiguation]]="",NodesData[[#This Row],[Common Name]],NodesData[[#This Row],[Common Name]]&amp;" ("&amp;NodesData[[#This Row],[Class Disambiguation]]&amp;")")</f>
        <v>Cloud IdMS (Acronym)</v>
      </c>
      <c r="E90" s="13" t="s">
        <v>650</v>
      </c>
      <c r="F90" s="20" t="str" cm="1">
        <f t="array" ref="F90">"n"&amp;SUBSTITUTE(CreateGuidString(),"-","_")</f>
        <v>n73554883_5317_41D9_9848_D267A09BF049</v>
      </c>
    </row>
    <row r="91" spans="1:6" x14ac:dyDescent="0.35">
      <c r="A91" s="13" t="s">
        <v>651</v>
      </c>
      <c r="B91" s="14" t="s">
        <v>1438</v>
      </c>
      <c r="D91" s="13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E91" s="13" t="s">
        <v>652</v>
      </c>
      <c r="F91" s="20" t="str" cm="1">
        <f t="array" ref="F91">"n"&amp;SUBSTITUTE(CreateGuidString(),"-","_")</f>
        <v>nC6949917_7C83_4A77_96C9_CAACD3F4A13A</v>
      </c>
    </row>
    <row r="92" spans="1:6" x14ac:dyDescent="0.35">
      <c r="A92" s="13" t="s">
        <v>653</v>
      </c>
      <c r="B92" s="14" t="s">
        <v>1439</v>
      </c>
      <c r="D92" s="13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E92" s="13" t="s">
        <v>654</v>
      </c>
      <c r="F92" s="20" t="str" cm="1">
        <f t="array" ref="F92">"n"&amp;SUBSTITUTE(CreateGuidString(),"-","_")</f>
        <v>nCD8CB7A4_11ED_469E_9F73_8241AA21BDFF</v>
      </c>
    </row>
    <row r="93" spans="1:6" x14ac:dyDescent="0.35">
      <c r="A93" s="13" t="s">
        <v>101</v>
      </c>
      <c r="B93" s="14" t="s">
        <v>1440</v>
      </c>
      <c r="D93" s="13" t="str">
        <f>IF(NodesData[[#This Row],[Class Disambiguation]]="",NodesData[[#This Row],[Common Name]],NodesData[[#This Row],[Common Name]]&amp;" ("&amp;NodesData[[#This Row],[Class Disambiguation]]&amp;")")</f>
        <v>Cloud Service User</v>
      </c>
      <c r="E93" s="13" t="s">
        <v>655</v>
      </c>
      <c r="F93" s="20" t="str" cm="1">
        <f t="array" ref="F93">"n"&amp;SUBSTITUTE(CreateGuidString(),"-","_")</f>
        <v>n7D6D5870_9336_45F2_92F1_BCE5783120B0</v>
      </c>
    </row>
    <row r="94" spans="1:6" x14ac:dyDescent="0.35">
      <c r="A94" s="12" t="s">
        <v>1352</v>
      </c>
      <c r="B94" s="14" t="s">
        <v>1916</v>
      </c>
      <c r="D94" s="19" t="str">
        <f>IF(NodesData[[#This Row],[Class Disambiguation]]="",NodesData[[#This Row],[Common Name]],NodesData[[#This Row],[Common Name]]&amp;" ("&amp;NodesData[[#This Row],[Class Disambiguation]]&amp;")")</f>
        <v>Coherent Whole</v>
      </c>
      <c r="F94" s="21" t="str" cm="1">
        <f t="array" ref="F94">"n"&amp;SUBSTITUTE(CreateGuidString(),"-","_")</f>
        <v>n83768CB9_B8CA_4CFF_8250_88F4BBD6ACBC</v>
      </c>
    </row>
    <row r="95" spans="1:6" x14ac:dyDescent="0.35">
      <c r="A95" s="13" t="s">
        <v>656</v>
      </c>
      <c r="B95" s="14" t="s">
        <v>1441</v>
      </c>
      <c r="D95" s="13" t="str">
        <f>IF(NodesData[[#This Row],[Class Disambiguation]]="",NodesData[[#This Row],[Common Name]],NodesData[[#This Row],[Common Name]]&amp;" ("&amp;NodesData[[#This Row],[Class Disambiguation]]&amp;")")</f>
        <v>Commission Error</v>
      </c>
      <c r="E95" s="13" t="s">
        <v>657</v>
      </c>
      <c r="F95" s="20" t="str" cm="1">
        <f t="array" ref="F95">"n"&amp;SUBSTITUTE(CreateGuidString(),"-","_")</f>
        <v>n5318B718_475C_4F8D_BC22_6D799236C46A</v>
      </c>
    </row>
    <row r="96" spans="1:6" x14ac:dyDescent="0.35">
      <c r="A96" s="13" t="s">
        <v>658</v>
      </c>
      <c r="B96" s="14" t="s">
        <v>1442</v>
      </c>
      <c r="D96" s="13" t="str">
        <f>IF(NodesData[[#This Row],[Class Disambiguation]]="",NodesData[[#This Row],[Common Name]],NodesData[[#This Row],[Common Name]]&amp;" ("&amp;NodesData[[#This Row],[Class Disambiguation]]&amp;")")</f>
        <v>Compromised Identity</v>
      </c>
      <c r="E96" s="13" t="s">
        <v>659</v>
      </c>
      <c r="F96" s="20" t="str" cm="1">
        <f t="array" ref="F96">"n"&amp;SUBSTITUTE(CreateGuidString(),"-","_")</f>
        <v>n627D1B5D_5A34_48FE_AFDA_59A4F0B33F5B</v>
      </c>
    </row>
    <row r="97" spans="1:6" x14ac:dyDescent="0.35">
      <c r="A97" s="13" t="s">
        <v>660</v>
      </c>
      <c r="B97" s="14" t="s">
        <v>1443</v>
      </c>
      <c r="D97" s="13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E97" s="13" t="s">
        <v>661</v>
      </c>
      <c r="F97" s="20" t="str" cm="1">
        <f t="array" ref="F97">"n"&amp;SUBSTITUTE(CreateGuidString(),"-","_")</f>
        <v>nFAE0B406_0AE7_4E9F_A846_602553168922</v>
      </c>
    </row>
    <row r="98" spans="1:6" x14ac:dyDescent="0.35">
      <c r="A98" s="13" t="s">
        <v>662</v>
      </c>
      <c r="B98" s="14" t="s">
        <v>1478</v>
      </c>
      <c r="D98" s="13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E98" s="13" t="s">
        <v>663</v>
      </c>
      <c r="F98" s="20" t="str" cm="1">
        <f t="array" ref="F98">"n"&amp;SUBSTITUTE(CreateGuidString(),"-","_")</f>
        <v>n19E5F5D1_472B_40BC_B817_4F2F84800E69</v>
      </c>
    </row>
    <row r="99" spans="1:6" x14ac:dyDescent="0.35">
      <c r="A99" s="12" t="s">
        <v>1337</v>
      </c>
      <c r="B99" s="14" t="s">
        <v>1850</v>
      </c>
      <c r="D99" s="19" t="str">
        <f>IF(NodesData[[#This Row],[Class Disambiguation]]="",NodesData[[#This Row],[Common Name]],NodesData[[#This Row],[Common Name]]&amp;" ("&amp;NodesData[[#This Row],[Class Disambiguation]]&amp;")")</f>
        <v>Control Class</v>
      </c>
      <c r="F99" s="21" t="str" cm="1">
        <f t="array" ref="F99">"n"&amp;SUBSTITUTE(CreateGuidString(),"-","_")</f>
        <v>n8B5AFB95_3B98_4EFA_8585_5ED23D1AA63C</v>
      </c>
    </row>
    <row r="100" spans="1:6" x14ac:dyDescent="0.35">
      <c r="A100" s="13" t="s">
        <v>664</v>
      </c>
      <c r="B100" s="14" t="s">
        <v>1445</v>
      </c>
      <c r="D100" s="13" t="str">
        <f>IF(NodesData[[#This Row],[Class Disambiguation]]="",NodesData[[#This Row],[Common Name]],NodesData[[#This Row],[Common Name]]&amp;" ("&amp;NodesData[[#This Row],[Class Disambiguation]]&amp;")")</f>
        <v>Control Party</v>
      </c>
      <c r="E100" s="13" t="s">
        <v>665</v>
      </c>
      <c r="F100" s="20" t="str" cm="1">
        <f t="array" ref="F100">"n"&amp;SUBSTITUTE(CreateGuidString(),"-","_")</f>
        <v>nA4BB364F_25B1_497F_A33A_1E65BBCF5234</v>
      </c>
    </row>
    <row r="101" spans="1:6" x14ac:dyDescent="0.35">
      <c r="A101" s="13" t="s">
        <v>666</v>
      </c>
      <c r="B101" s="14" t="s">
        <v>1446</v>
      </c>
      <c r="D101" s="13" t="str">
        <f>IF(NodesData[[#This Row],[Class Disambiguation]]="",NodesData[[#This Row],[Common Name]],NodesData[[#This Row],[Common Name]]&amp;" ("&amp;NodesData[[#This Row],[Class Disambiguation]]&amp;")")</f>
        <v>Core Identity</v>
      </c>
      <c r="E101" s="13" t="s">
        <v>667</v>
      </c>
      <c r="F101" s="20" t="str" cm="1">
        <f t="array" ref="F101">"n"&amp;SUBSTITUTE(CreateGuidString(),"-","_")</f>
        <v>n2E1358FE_5FAB_4BB1_9A8C_8D198A083B04</v>
      </c>
    </row>
    <row r="102" spans="1:6" x14ac:dyDescent="0.35">
      <c r="A102" s="13" t="s">
        <v>117</v>
      </c>
      <c r="B102" s="14" t="s">
        <v>1447</v>
      </c>
      <c r="D102" s="13" t="str">
        <f>IF(NodesData[[#This Row],[Class Disambiguation]]="",NodesData[[#This Row],[Common Name]],NodesData[[#This Row],[Common Name]]&amp;" ("&amp;NodesData[[#This Row],[Class Disambiguation]]&amp;")")</f>
        <v>Credential</v>
      </c>
      <c r="E102" s="13" t="s">
        <v>668</v>
      </c>
      <c r="F102" s="20" t="str" cm="1">
        <f t="array" ref="F102">"n"&amp;SUBSTITUTE(CreateGuidString(),"-","_")</f>
        <v>n9357DADC_0863_4C9D_9521_E4BCF9863D6A</v>
      </c>
    </row>
    <row r="103" spans="1:6" x14ac:dyDescent="0.35">
      <c r="A103" s="13" t="s">
        <v>118</v>
      </c>
      <c r="B103" s="14" t="s">
        <v>1448</v>
      </c>
      <c r="D103" s="13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E103" s="13" t="s">
        <v>669</v>
      </c>
      <c r="F103" s="20" t="str" cm="1">
        <f t="array" ref="F103">"n"&amp;SUBSTITUTE(CreateGuidString(),"-","_")</f>
        <v>n7FB46DE9_CF30_4256_81F9_040FE1A16157</v>
      </c>
    </row>
    <row r="104" spans="1:6" x14ac:dyDescent="0.35">
      <c r="A104" s="13" t="s">
        <v>670</v>
      </c>
      <c r="B104" s="14" t="s">
        <v>1449</v>
      </c>
      <c r="D104" s="13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E104" s="13" t="s">
        <v>671</v>
      </c>
      <c r="F104" s="20" t="str" cm="1">
        <f t="array" ref="F104">"n"&amp;SUBSTITUTE(CreateGuidString(),"-","_")</f>
        <v>nE2E0F2B0_47C7_4532_B1C1_8DB38F9D8F14</v>
      </c>
    </row>
    <row r="105" spans="1:6" x14ac:dyDescent="0.35">
      <c r="A105" s="13" t="s">
        <v>120</v>
      </c>
      <c r="B105" s="14" t="s">
        <v>1450</v>
      </c>
      <c r="D105" s="13" t="str">
        <f>IF(NodesData[[#This Row],[Class Disambiguation]]="",NodesData[[#This Row],[Common Name]],NodesData[[#This Row],[Common Name]]&amp;" ("&amp;NodesData[[#This Row],[Class Disambiguation]]&amp;")")</f>
        <v>Credential Stuffing</v>
      </c>
      <c r="E105" s="13" t="s">
        <v>672</v>
      </c>
      <c r="F105" s="20" t="str" cm="1">
        <f t="array" ref="F105">"n"&amp;SUBSTITUTE(CreateGuidString(),"-","_")</f>
        <v>nDD6F56C8_78A3_4DAB_82FE_B3AC04A85E8B</v>
      </c>
    </row>
    <row r="106" spans="1:6" x14ac:dyDescent="0.35">
      <c r="A106" s="13" t="s">
        <v>673</v>
      </c>
      <c r="B106" s="14" t="s">
        <v>1451</v>
      </c>
      <c r="D106" s="13" t="str">
        <f>IF(NodesData[[#This Row],[Class Disambiguation]]="",NodesData[[#This Row],[Common Name]],NodesData[[#This Row],[Common Name]]&amp;" ("&amp;NodesData[[#This Row],[Class Disambiguation]]&amp;")")</f>
        <v>Credential Theft</v>
      </c>
      <c r="E106" s="13" t="s">
        <v>674</v>
      </c>
      <c r="F106" s="20" t="str" cm="1">
        <f t="array" ref="F106">"n"&amp;SUBSTITUTE(CreateGuidString(),"-","_")</f>
        <v>nC19BBDBA_FEC2_4A22_8324_BEA36D9E8016</v>
      </c>
    </row>
    <row r="107" spans="1:6" x14ac:dyDescent="0.35">
      <c r="A107" s="13" t="s">
        <v>675</v>
      </c>
      <c r="B107" s="14" t="s">
        <v>1452</v>
      </c>
      <c r="D107" s="13" t="str">
        <f>IF(NodesData[[#This Row],[Class Disambiguation]]="",NodesData[[#This Row],[Common Name]],NodesData[[#This Row],[Common Name]]&amp;" ("&amp;NodesData[[#This Row],[Class Disambiguation]]&amp;")")</f>
        <v>Cryptographic Key</v>
      </c>
      <c r="E107" s="13" t="s">
        <v>676</v>
      </c>
      <c r="F107" s="20" t="str" cm="1">
        <f t="array" ref="F107">"n"&amp;SUBSTITUTE(CreateGuidString(),"-","_")</f>
        <v>nF38CEA52_5135_4A8C_A4BD_E240F863F01F</v>
      </c>
    </row>
    <row r="108" spans="1:6" x14ac:dyDescent="0.35">
      <c r="A108" s="13" t="s">
        <v>123</v>
      </c>
      <c r="B108" s="14" t="s">
        <v>1453</v>
      </c>
      <c r="C108" s="13" t="s">
        <v>1270</v>
      </c>
      <c r="D108" s="13" t="str">
        <f>IF(NodesData[[#This Row],[Class Disambiguation]]="",NodesData[[#This Row],[Common Name]],NodesData[[#This Row],[Common Name]]&amp;" ("&amp;NodesData[[#This Row],[Class Disambiguation]]&amp;")")</f>
        <v>CSC (Acronym)</v>
      </c>
      <c r="E108" s="13" t="s">
        <v>677</v>
      </c>
      <c r="F108" s="20" t="str" cm="1">
        <f t="array" ref="F108">"n"&amp;SUBSTITUTE(CreateGuidString(),"-","_")</f>
        <v>nA6462FBB_FE86_4254_901D_2217DBD8DA97</v>
      </c>
    </row>
    <row r="109" spans="1:6" x14ac:dyDescent="0.35">
      <c r="A109" s="13" t="s">
        <v>124</v>
      </c>
      <c r="B109" s="14" t="s">
        <v>1454</v>
      </c>
      <c r="C109" s="13" t="s">
        <v>1270</v>
      </c>
      <c r="D109" s="13" t="str">
        <f>IF(NodesData[[#This Row],[Class Disambiguation]]="",NodesData[[#This Row],[Common Name]],NodesData[[#This Row],[Common Name]]&amp;" ("&amp;NodesData[[#This Row],[Class Disambiguation]]&amp;")")</f>
        <v>CSP (Acronym)</v>
      </c>
      <c r="E109" s="13" t="s">
        <v>678</v>
      </c>
      <c r="F109" s="20" t="str" cm="1">
        <f t="array" ref="F109">"n"&amp;SUBSTITUTE(CreateGuidString(),"-","_")</f>
        <v>n9BCF4419_63C1_4E82_9161_C4A0AE817A2A</v>
      </c>
    </row>
    <row r="110" spans="1:6" x14ac:dyDescent="0.35">
      <c r="A110" s="13" t="s">
        <v>125</v>
      </c>
      <c r="B110" s="14" t="s">
        <v>1455</v>
      </c>
      <c r="C110" s="13" t="s">
        <v>1270</v>
      </c>
      <c r="D110" s="13" t="str">
        <f>IF(NodesData[[#This Row],[Class Disambiguation]]="",NodesData[[#This Row],[Common Name]],NodesData[[#This Row],[Common Name]]&amp;" ("&amp;NodesData[[#This Row],[Class Disambiguation]]&amp;")")</f>
        <v>CSU (Acronym)</v>
      </c>
      <c r="E110" s="13" t="s">
        <v>679</v>
      </c>
      <c r="F110" s="20" t="str" cm="1">
        <f t="array" ref="F110">"n"&amp;SUBSTITUTE(CreateGuidString(),"-","_")</f>
        <v>nAF74DDE8_0193_4EC3_A11A_3B6FBB4D3DC1</v>
      </c>
    </row>
    <row r="111" spans="1:6" x14ac:dyDescent="0.35">
      <c r="A111" s="13" t="s">
        <v>680</v>
      </c>
      <c r="B111" s="14" t="s">
        <v>1456</v>
      </c>
      <c r="D111" s="13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E111" s="13" t="s">
        <v>681</v>
      </c>
      <c r="F111" s="20" t="str" cm="1">
        <f t="array" ref="F111">"n"&amp;SUBSTITUTE(CreateGuidString(),"-","_")</f>
        <v>n78983C81_DCC1_46EB_AB0A_DAA391C923B3</v>
      </c>
    </row>
    <row r="112" spans="1:6" x14ac:dyDescent="0.35">
      <c r="A112" s="13" t="s">
        <v>682</v>
      </c>
      <c r="B112" s="14" t="s">
        <v>1457</v>
      </c>
      <c r="D112" s="13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E112" s="13" t="s">
        <v>683</v>
      </c>
      <c r="F112" s="20" t="str" cm="1">
        <f t="array" ref="F112">"n"&amp;SUBSTITUTE(CreateGuidString(),"-","_")</f>
        <v>n2FEB6FD1_150D_49E8_B35B_70E6A1594438</v>
      </c>
    </row>
    <row r="113" spans="1:6" x14ac:dyDescent="0.35">
      <c r="A113" s="13" t="s">
        <v>684</v>
      </c>
      <c r="B113" s="14" t="s">
        <v>1458</v>
      </c>
      <c r="D113" s="13" t="str">
        <f>IF(NodesData[[#This Row],[Class Disambiguation]]="",NodesData[[#This Row],[Common Name]],NodesData[[#This Row],[Common Name]]&amp;" ("&amp;NodesData[[#This Row],[Class Disambiguation]]&amp;")")</f>
        <v>Customer Identity</v>
      </c>
      <c r="E113" s="13" t="s">
        <v>685</v>
      </c>
      <c r="F113" s="20" t="str" cm="1">
        <f t="array" ref="F113">"n"&amp;SUBSTITUTE(CreateGuidString(),"-","_")</f>
        <v>n4860F58C_EC39_4984_9E47_01E335401D11</v>
      </c>
    </row>
    <row r="114" spans="1:6" x14ac:dyDescent="0.35">
      <c r="A114" s="13" t="s">
        <v>686</v>
      </c>
      <c r="B114" s="14" t="s">
        <v>1459</v>
      </c>
      <c r="D114" s="13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E114" s="13" t="s">
        <v>687</v>
      </c>
      <c r="F114" s="20" t="str" cm="1">
        <f t="array" ref="F114">"n"&amp;SUBSTITUTE(CreateGuidString(),"-","_")</f>
        <v>n269BFE7B_38CC_4C74_A2BE_97569791F007</v>
      </c>
    </row>
    <row r="115" spans="1:6" x14ac:dyDescent="0.35">
      <c r="A115" s="13" t="s">
        <v>688</v>
      </c>
      <c r="B115" s="14" t="s">
        <v>1460</v>
      </c>
      <c r="D115" s="13" t="str">
        <f>IF(NodesData[[#This Row],[Class Disambiguation]]="",NodesData[[#This Row],[Common Name]],NodesData[[#This Row],[Common Name]]&amp;" ("&amp;NodesData[[#This Row],[Class Disambiguation]]&amp;")")</f>
        <v>Customer On-Boarding</v>
      </c>
      <c r="E115" s="13" t="s">
        <v>689</v>
      </c>
      <c r="F115" s="20" t="str" cm="1">
        <f t="array" ref="F115">"n"&amp;SUBSTITUTE(CreateGuidString(),"-","_")</f>
        <v>n828A4381_8F5F_4440_8687_4683AD9D6316</v>
      </c>
    </row>
    <row r="116" spans="1:6" x14ac:dyDescent="0.35">
      <c r="A116" s="13" t="s">
        <v>690</v>
      </c>
      <c r="B116" s="14" t="s">
        <v>1461</v>
      </c>
      <c r="D116" s="13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E116" s="13" t="s">
        <v>691</v>
      </c>
      <c r="F116" s="20" t="str" cm="1">
        <f t="array" ref="F116">"n"&amp;SUBSTITUTE(CreateGuidString(),"-","_")</f>
        <v>n7FCB0BC5_15C2_42BB_99BD_D574BC74D0DE</v>
      </c>
    </row>
    <row r="117" spans="1:6" x14ac:dyDescent="0.35">
      <c r="A117" s="13" t="s">
        <v>132</v>
      </c>
      <c r="B117" s="14" t="s">
        <v>1462</v>
      </c>
      <c r="D117" s="13" t="str">
        <f>IF(NodesData[[#This Row],[Class Disambiguation]]="",NodesData[[#This Row],[Common Name]],NodesData[[#This Row],[Common Name]]&amp;" ("&amp;NodesData[[#This Row],[Class Disambiguation]]&amp;")")</f>
        <v>Cyber-sabotage</v>
      </c>
      <c r="E117" s="13" t="s">
        <v>692</v>
      </c>
      <c r="F117" s="20" t="str" cm="1">
        <f t="array" ref="F117">"n"&amp;SUBSTITUTE(CreateGuidString(),"-","_")</f>
        <v>nC30D03D4_1A99_4F12_9C75_6777DFCDF521</v>
      </c>
    </row>
    <row r="118" spans="1:6" x14ac:dyDescent="0.35">
      <c r="A118" s="13" t="s">
        <v>133</v>
      </c>
      <c r="B118" s="14" t="s">
        <v>1463</v>
      </c>
      <c r="C118" s="13" t="s">
        <v>1270</v>
      </c>
      <c r="D118" s="13" t="str">
        <f>IF(NodesData[[#This Row],[Class Disambiguation]]="",NodesData[[#This Row],[Common Name]],NodesData[[#This Row],[Common Name]]&amp;" ("&amp;NodesData[[#This Row],[Class Disambiguation]]&amp;")")</f>
        <v>DAC (Acronym)</v>
      </c>
      <c r="E118" s="13" t="s">
        <v>693</v>
      </c>
      <c r="F118" s="20" t="str" cm="1">
        <f t="array" ref="F118">"n"&amp;SUBSTITUTE(CreateGuidString(),"-","_")</f>
        <v>nFD4E3B38_5B7B_46E1_B827_5F89B7F9D8A5</v>
      </c>
    </row>
    <row r="119" spans="1:6" x14ac:dyDescent="0.35">
      <c r="A119" s="13" t="s">
        <v>1345</v>
      </c>
      <c r="B119" s="14" t="s">
        <v>1843</v>
      </c>
      <c r="D119" s="19" t="str">
        <f>IF(NodesData[[#This Row],[Class Disambiguation]]="",NodesData[[#This Row],[Common Name]],NodesData[[#This Row],[Common Name]]&amp;" ("&amp;NodesData[[#This Row],[Class Disambiguation]]&amp;")")</f>
        <v>Data</v>
      </c>
      <c r="F119" s="20" t="str" cm="1">
        <f t="array" ref="F119">"n"&amp;SUBSTITUTE(CreateGuidString(),"-","_")</f>
        <v>n3956C8A7_01DD_442F_83E5_661902B5CB0B</v>
      </c>
    </row>
    <row r="120" spans="1:6" x14ac:dyDescent="0.35">
      <c r="A120" s="13" t="s">
        <v>134</v>
      </c>
      <c r="B120" s="14" t="s">
        <v>1464</v>
      </c>
      <c r="D120" s="13" t="str">
        <f>IF(NodesData[[#This Row],[Class Disambiguation]]="",NodesData[[#This Row],[Common Name]],NodesData[[#This Row],[Common Name]]&amp;" ("&amp;NodesData[[#This Row],[Class Disambiguation]]&amp;")")</f>
        <v>Data Anonymization</v>
      </c>
      <c r="E120" s="13" t="s">
        <v>694</v>
      </c>
      <c r="F120" s="20" t="str" cm="1">
        <f t="array" ref="F120">"n"&amp;SUBSTITUTE(CreateGuidString(),"-","_")</f>
        <v>nDAA90248_2794_4C62_A1E3_016DD3AC98BF</v>
      </c>
    </row>
    <row r="121" spans="1:6" x14ac:dyDescent="0.35">
      <c r="A121" s="13" t="s">
        <v>695</v>
      </c>
      <c r="B121" s="14" t="s">
        <v>1465</v>
      </c>
      <c r="D121" s="13" t="str">
        <f>IF(NodesData[[#This Row],[Class Disambiguation]]="",NodesData[[#This Row],[Common Name]],NodesData[[#This Row],[Common Name]]&amp;" ("&amp;NodesData[[#This Row],[Class Disambiguation]]&amp;")")</f>
        <v>Data Custodian</v>
      </c>
      <c r="E121" s="13" t="s">
        <v>696</v>
      </c>
      <c r="F121" s="20" t="str" cm="1">
        <f t="array" ref="F121">"n"&amp;SUBSTITUTE(CreateGuidString(),"-","_")</f>
        <v>n46D89643_480B_419C_A91E_005E0D6D3D75</v>
      </c>
    </row>
    <row r="122" spans="1:6" x14ac:dyDescent="0.35">
      <c r="A122" s="13" t="s">
        <v>697</v>
      </c>
      <c r="B122" s="14" t="s">
        <v>1467</v>
      </c>
      <c r="D122" s="13" t="str">
        <f>IF(NodesData[[#This Row],[Class Disambiguation]]="",NodesData[[#This Row],[Common Name]],NodesData[[#This Row],[Common Name]]&amp;" ("&amp;NodesData[[#This Row],[Class Disambiguation]]&amp;")")</f>
        <v>Data Lineage</v>
      </c>
      <c r="E122" s="13" t="s">
        <v>698</v>
      </c>
      <c r="F122" s="20" t="str" cm="1">
        <f t="array" ref="F122">"n"&amp;SUBSTITUTE(CreateGuidString(),"-","_")</f>
        <v>n6A90969F_36E3_44ED_AE3E_7191D760EA44</v>
      </c>
    </row>
    <row r="123" spans="1:6" x14ac:dyDescent="0.35">
      <c r="A123" s="13" t="s">
        <v>699</v>
      </c>
      <c r="B123" s="14" t="s">
        <v>1468</v>
      </c>
      <c r="D123" s="13" t="str">
        <f>IF(NodesData[[#This Row],[Class Disambiguation]]="",NodesData[[#This Row],[Common Name]],NodesData[[#This Row],[Common Name]]&amp;" ("&amp;NodesData[[#This Row],[Class Disambiguation]]&amp;")")</f>
        <v>Data Obfuscation</v>
      </c>
      <c r="E123" s="13" t="s">
        <v>700</v>
      </c>
      <c r="F123" s="20" t="str" cm="1">
        <f t="array" ref="F123">"n"&amp;SUBSTITUTE(CreateGuidString(),"-","_")</f>
        <v>n9071EA70_2492_4298_BB34_53A4669608C5</v>
      </c>
    </row>
    <row r="124" spans="1:6" x14ac:dyDescent="0.35">
      <c r="A124" s="13" t="s">
        <v>1346</v>
      </c>
      <c r="B124" s="14" t="s">
        <v>1845</v>
      </c>
      <c r="D124" s="19" t="str">
        <f>IF(NodesData[[#This Row],[Class Disambiguation]]="",NodesData[[#This Row],[Common Name]],NodesData[[#This Row],[Common Name]]&amp;" ("&amp;NodesData[[#This Row],[Class Disambiguation]]&amp;")")</f>
        <v>Data Operation</v>
      </c>
      <c r="F124" s="21" t="str" cm="1">
        <f t="array" ref="F124">"n"&amp;SUBSTITUTE(CreateGuidString(),"-","_")</f>
        <v>n16684E7A_407C_4BE0_B873_E9F49DB36AD8</v>
      </c>
    </row>
    <row r="125" spans="1:6" x14ac:dyDescent="0.35">
      <c r="A125" s="13" t="s">
        <v>701</v>
      </c>
      <c r="B125" s="14" t="s">
        <v>1469</v>
      </c>
      <c r="D125" s="13" t="str">
        <f>IF(NodesData[[#This Row],[Class Disambiguation]]="",NodesData[[#This Row],[Common Name]],NodesData[[#This Row],[Common Name]]&amp;" ("&amp;NodesData[[#This Row],[Class Disambiguation]]&amp;")")</f>
        <v>Data Owner</v>
      </c>
      <c r="E125" s="13" t="s">
        <v>702</v>
      </c>
      <c r="F125" s="20" t="str" cm="1">
        <f t="array" ref="F125">"n"&amp;SUBSTITUTE(CreateGuidString(),"-","_")</f>
        <v>n304C942A_F1ED_46F1_AB51_A1083BED8135</v>
      </c>
    </row>
    <row r="126" spans="1:6" x14ac:dyDescent="0.35">
      <c r="A126" s="13" t="s">
        <v>703</v>
      </c>
      <c r="B126" s="14" t="s">
        <v>1466</v>
      </c>
      <c r="D126" s="13" t="str">
        <f>IF(NodesData[[#This Row],[Class Disambiguation]]="",NodesData[[#This Row],[Common Name]],NodesData[[#This Row],[Common Name]]&amp;" ("&amp;NodesData[[#This Row],[Class Disambiguation]]&amp;")")</f>
        <v>Data-Level Policy</v>
      </c>
      <c r="E126" s="13" t="s">
        <v>704</v>
      </c>
      <c r="F126" s="20" t="str" cm="1">
        <f t="array" ref="F126">"n"&amp;SUBSTITUTE(CreateGuidString(),"-","_")</f>
        <v>nFB7936E0_32F3_4DBD_86D5_F2C683726599</v>
      </c>
    </row>
    <row r="127" spans="1:6" x14ac:dyDescent="0.35">
      <c r="A127" s="13" t="s">
        <v>705</v>
      </c>
      <c r="B127" s="14" t="s">
        <v>1471</v>
      </c>
      <c r="D127" s="13" t="str">
        <f>IF(NodesData[[#This Row],[Class Disambiguation]]="",NodesData[[#This Row],[Common Name]],NodesData[[#This Row],[Common Name]]&amp;" ("&amp;NodesData[[#This Row],[Class Disambiguation]]&amp;")")</f>
        <v>Death Certificate</v>
      </c>
      <c r="E127" s="13" t="s">
        <v>706</v>
      </c>
      <c r="F127" s="20" t="str" cm="1">
        <f t="array" ref="F127">"n"&amp;SUBSTITUTE(CreateGuidString(),"-","_")</f>
        <v>n80F809D7_9870_4F61_A750_EF1074A56358</v>
      </c>
    </row>
    <row r="128" spans="1:6" x14ac:dyDescent="0.35">
      <c r="A128" s="13" t="s">
        <v>707</v>
      </c>
      <c r="B128" s="14" t="s">
        <v>1472</v>
      </c>
      <c r="D128" s="13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E128" s="13" t="s">
        <v>708</v>
      </c>
      <c r="F128" s="20" t="str" cm="1">
        <f t="array" ref="F128">"n"&amp;SUBSTITUTE(CreateGuidString(),"-","_")</f>
        <v>nE66ACC13_620F_4B05_89F5_445A655214BF</v>
      </c>
    </row>
    <row r="129" spans="1:6" x14ac:dyDescent="0.35">
      <c r="A129" s="13" t="s">
        <v>709</v>
      </c>
      <c r="B129" s="14" t="s">
        <v>1470</v>
      </c>
      <c r="D129" s="13" t="str">
        <f>IF(NodesData[[#This Row],[Class Disambiguation]]="",NodesData[[#This Row],[Common Name]],NodesData[[#This Row],[Common Name]]&amp;" ("&amp;NodesData[[#This Row],[Class Disambiguation]]&amp;")")</f>
        <v>De-duplication</v>
      </c>
      <c r="E129" s="13" t="s">
        <v>710</v>
      </c>
      <c r="F129" s="20" t="str" cm="1">
        <f t="array" ref="F129">"n"&amp;SUBSTITUTE(CreateGuidString(),"-","_")</f>
        <v>nAFA15F93_303C_407A_9E56_6D66147B22ED</v>
      </c>
    </row>
    <row r="130" spans="1:6" x14ac:dyDescent="0.35">
      <c r="A130" s="13" t="s">
        <v>711</v>
      </c>
      <c r="B130" s="14" t="s">
        <v>1473</v>
      </c>
      <c r="D130" s="13" t="str">
        <f>IF(NodesData[[#This Row],[Class Disambiguation]]="",NodesData[[#This Row],[Common Name]],NodesData[[#This Row],[Common Name]]&amp;" ("&amp;NodesData[[#This Row],[Class Disambiguation]]&amp;")")</f>
        <v>Deprovisioning</v>
      </c>
      <c r="E130" s="13" t="s">
        <v>712</v>
      </c>
      <c r="F130" s="20" t="str" cm="1">
        <f t="array" ref="F130">"n"&amp;SUBSTITUTE(CreateGuidString(),"-","_")</f>
        <v>n200F990E_9F04_4E60_B947_B1FE36EF8E4F</v>
      </c>
    </row>
    <row r="131" spans="1:6" x14ac:dyDescent="0.35">
      <c r="A131" s="13" t="s">
        <v>145</v>
      </c>
      <c r="B131" s="14" t="s">
        <v>1474</v>
      </c>
      <c r="C131" s="13" t="s">
        <v>1270</v>
      </c>
      <c r="D131" s="13" t="str">
        <f>IF(NodesData[[#This Row],[Class Disambiguation]]="",NodesData[[#This Row],[Common Name]],NodesData[[#This Row],[Common Name]]&amp;" ("&amp;NodesData[[#This Row],[Class Disambiguation]]&amp;")")</f>
        <v>DID (Acronym)</v>
      </c>
      <c r="E131" s="13" t="s">
        <v>713</v>
      </c>
      <c r="F131" s="20" t="str" cm="1">
        <f t="array" ref="F131">"n"&amp;SUBSTITUTE(CreateGuidString(),"-","_")</f>
        <v>n8A697576_282E_4179_AF3D_D1A712AA96F7</v>
      </c>
    </row>
    <row r="132" spans="1:6" x14ac:dyDescent="0.35">
      <c r="A132" s="13" t="s">
        <v>714</v>
      </c>
      <c r="B132" s="14" t="s">
        <v>1475</v>
      </c>
      <c r="D132" s="13" t="str">
        <f>IF(NodesData[[#This Row],[Class Disambiguation]]="",NodesData[[#This Row],[Common Name]],NodesData[[#This Row],[Common Name]]&amp;" ("&amp;NodesData[[#This Row],[Class Disambiguation]]&amp;")")</f>
        <v>Digital Continuity</v>
      </c>
      <c r="E132" s="13" t="s">
        <v>715</v>
      </c>
      <c r="F132" s="20" t="str" cm="1">
        <f t="array" ref="F132">"n"&amp;SUBSTITUTE(CreateGuidString(),"-","_")</f>
        <v>nBF6FF8E4_4215_4F7D_B2EE_E04B8C6616A1</v>
      </c>
    </row>
    <row r="133" spans="1:6" x14ac:dyDescent="0.35">
      <c r="A133" s="13" t="s">
        <v>147</v>
      </c>
      <c r="B133" s="14" t="s">
        <v>1476</v>
      </c>
      <c r="D133" s="13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E133" s="13" t="s">
        <v>716</v>
      </c>
      <c r="F133" s="20" t="str" cm="1">
        <f t="array" ref="F133">"n"&amp;SUBSTITUTE(CreateGuidString(),"-","_")</f>
        <v>nDF24F404_56EB_453E_9439_352D047F1275</v>
      </c>
    </row>
    <row r="134" spans="1:6" x14ac:dyDescent="0.35">
      <c r="A134" s="13" t="s">
        <v>148</v>
      </c>
      <c r="B134" s="14" t="s">
        <v>1477</v>
      </c>
      <c r="D134" s="13" t="str">
        <f>IF(NodesData[[#This Row],[Class Disambiguation]]="",NodesData[[#This Row],[Common Name]],NodesData[[#This Row],[Common Name]]&amp;" ("&amp;NodesData[[#This Row],[Class Disambiguation]]&amp;")")</f>
        <v>Digital Identity</v>
      </c>
      <c r="E134" s="13" t="s">
        <v>717</v>
      </c>
      <c r="F134" s="20" t="str" cm="1">
        <f t="array" ref="F134">"n"&amp;SUBSTITUTE(CreateGuidString(),"-","_")</f>
        <v>nCDB679F3_4C04_4141_9A0A_597405719DB2</v>
      </c>
    </row>
    <row r="135" spans="1:6" x14ac:dyDescent="0.35">
      <c r="A135" s="13" t="s">
        <v>149</v>
      </c>
      <c r="B135" s="14" t="s">
        <v>1483</v>
      </c>
      <c r="D135" s="13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E135" s="13" t="s">
        <v>718</v>
      </c>
      <c r="F135" s="20" t="str" cm="1">
        <f t="array" ref="F135">"n"&amp;SUBSTITUTE(CreateGuidString(),"-","_")</f>
        <v>nBBEAF4BB_5141_4EAB_9BC6_063029F1D1D5</v>
      </c>
    </row>
    <row r="136" spans="1:6" x14ac:dyDescent="0.35">
      <c r="A136" s="13" t="s">
        <v>719</v>
      </c>
      <c r="B136" s="14" t="s">
        <v>1479</v>
      </c>
      <c r="D136" s="13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E136" s="13" t="s">
        <v>720</v>
      </c>
      <c r="F136" s="20" t="str" cm="1">
        <f t="array" ref="F136">"n"&amp;SUBSTITUTE(CreateGuidString(),"-","_")</f>
        <v>nD5785E8E_1274_412F_B8D2_D50650C54AAC</v>
      </c>
    </row>
    <row r="137" spans="1:6" x14ac:dyDescent="0.35">
      <c r="A137" s="13" t="s">
        <v>721</v>
      </c>
      <c r="B137" s="14" t="s">
        <v>1480</v>
      </c>
      <c r="D137" s="13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E137" s="13" t="s">
        <v>722</v>
      </c>
      <c r="F137" s="20" t="str" cm="1">
        <f t="array" ref="F137">"n"&amp;SUBSTITUTE(CreateGuidString(),"-","_")</f>
        <v>n220DDA1B_725D_4B25_B688_C34DE854B5F8</v>
      </c>
    </row>
    <row r="138" spans="1:6" x14ac:dyDescent="0.35">
      <c r="A138" s="13" t="s">
        <v>723</v>
      </c>
      <c r="B138" s="14" t="s">
        <v>1481</v>
      </c>
      <c r="D138" s="13" t="str">
        <f>IF(NodesData[[#This Row],[Class Disambiguation]]="",NodesData[[#This Row],[Common Name]],NodesData[[#This Row],[Common Name]]&amp;" ("&amp;NodesData[[#This Row],[Class Disambiguation]]&amp;")")</f>
        <v>Distributed Identity</v>
      </c>
      <c r="E138" s="13" t="s">
        <v>724</v>
      </c>
      <c r="F138" s="20" t="str" cm="1">
        <f t="array" ref="F138">"n"&amp;SUBSTITUTE(CreateGuidString(),"-","_")</f>
        <v>n7312403B_7D96_49AE_B325_A380F1EC4E08</v>
      </c>
    </row>
    <row r="139" spans="1:6" x14ac:dyDescent="0.35">
      <c r="A139" s="13" t="s">
        <v>725</v>
      </c>
      <c r="B139" s="14" t="s">
        <v>1482</v>
      </c>
      <c r="D139" s="13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E139" s="13" t="s">
        <v>726</v>
      </c>
      <c r="F139" s="20" t="str" cm="1">
        <f t="array" ref="F139">"n"&amp;SUBSTITUTE(CreateGuidString(),"-","_")</f>
        <v>nA6E6DAC5_A486_4C1F_8392_8BFB4A6F35A2</v>
      </c>
    </row>
    <row r="140" spans="1:6" x14ac:dyDescent="0.35">
      <c r="A140" s="13" t="s">
        <v>727</v>
      </c>
      <c r="B140" s="14" t="s">
        <v>1504</v>
      </c>
      <c r="D140" s="13" t="str">
        <f>IF(NodesData[[#This Row],[Class Disambiguation]]="",NodesData[[#This Row],[Common Name]],NodesData[[#This Row],[Common Name]]&amp;" ("&amp;NodesData[[#This Row],[Class Disambiguation]]&amp;")")</f>
        <v>Dual Authorization</v>
      </c>
      <c r="E140" s="13" t="s">
        <v>728</v>
      </c>
      <c r="F140" s="20" t="str" cm="1">
        <f t="array" ref="F140">"n"&amp;SUBSTITUTE(CreateGuidString(),"-","_")</f>
        <v>nE3B6E02D_A91A_45B1_A6FA_84D39716DE92</v>
      </c>
    </row>
    <row r="141" spans="1:6" x14ac:dyDescent="0.35">
      <c r="A141" s="13" t="s">
        <v>729</v>
      </c>
      <c r="B141" s="14" t="s">
        <v>1485</v>
      </c>
      <c r="C141" s="13" t="s">
        <v>1270</v>
      </c>
      <c r="D141" s="13" t="str">
        <f>IF(NodesData[[#This Row],[Class Disambiguation]]="",NodesData[[#This Row],[Common Name]],NodesData[[#This Row],[Common Name]]&amp;" ("&amp;NodesData[[#This Row],[Class Disambiguation]]&amp;")")</f>
        <v>ECS (Acronym)</v>
      </c>
      <c r="E141" s="13" t="s">
        <v>730</v>
      </c>
      <c r="F141" s="20" t="str" cm="1">
        <f t="array" ref="F141">"n"&amp;SUBSTITUTE(CreateGuidString(),"-","_")</f>
        <v>n8F742CF3_7035_4FC4_AC1D_BA0207D52E9D</v>
      </c>
    </row>
    <row r="142" spans="1:6" x14ac:dyDescent="0.35">
      <c r="A142" s="13" t="s">
        <v>731</v>
      </c>
      <c r="B142" s="14" t="s">
        <v>1484</v>
      </c>
      <c r="C142" s="13" t="s">
        <v>1270</v>
      </c>
      <c r="D142" s="13" t="str">
        <f>IF(NodesData[[#This Row],[Class Disambiguation]]="",NodesData[[#This Row],[Common Name]],NodesData[[#This Row],[Common Name]]&amp;" ("&amp;NodesData[[#This Row],[Class Disambiguation]]&amp;")")</f>
        <v>e-Identity (Acronym)</v>
      </c>
      <c r="E142" s="13" t="s">
        <v>732</v>
      </c>
      <c r="F142" s="20" t="str" cm="1">
        <f t="array" ref="F142">"n"&amp;SUBSTITUTE(CreateGuidString(),"-","_")</f>
        <v>nFFED2606_6FCC_4F2F_8B22_5F625FA99DE2</v>
      </c>
    </row>
    <row r="143" spans="1:6" x14ac:dyDescent="0.35">
      <c r="A143" s="13" t="s">
        <v>733</v>
      </c>
      <c r="B143" s="14" t="s">
        <v>1486</v>
      </c>
      <c r="C143" s="13" t="s">
        <v>1270</v>
      </c>
      <c r="D143" s="13" t="str">
        <f>IF(NodesData[[#This Row],[Class Disambiguation]]="",NodesData[[#This Row],[Common Name]],NodesData[[#This Row],[Common Name]]&amp;" ("&amp;NodesData[[#This Row],[Class Disambiguation]]&amp;")")</f>
        <v>EIdM (Acronym)</v>
      </c>
      <c r="E143" s="13" t="s">
        <v>734</v>
      </c>
      <c r="F143" s="20" t="str" cm="1">
        <f t="array" ref="F143">"n"&amp;SUBSTITUTE(CreateGuidString(),"-","_")</f>
        <v>n7220B040_0C16_42A8_B4B0_573F9D2DDA2E</v>
      </c>
    </row>
    <row r="144" spans="1:6" x14ac:dyDescent="0.35">
      <c r="A144" s="13" t="s">
        <v>1317</v>
      </c>
      <c r="B144" s="14" t="s">
        <v>1487</v>
      </c>
      <c r="D144" s="13" t="str">
        <f>IF(NodesData[[#This Row],[Class Disambiguation]]="",NodesData[[#This Row],[Common Name]],NodesData[[#This Row],[Common Name]]&amp;" ("&amp;NodesData[[#This Row],[Class Disambiguation]]&amp;")")</f>
        <v>Email OTP</v>
      </c>
      <c r="F144" s="20" t="str" cm="1">
        <f t="array" ref="F144">"n"&amp;SUBSTITUTE(CreateGuidString(),"-","_")</f>
        <v>n230FD73C_2617_467B_8B51_DDCB40ECFCAA</v>
      </c>
    </row>
    <row r="145" spans="1:6" x14ac:dyDescent="0.35">
      <c r="A145" s="13" t="s">
        <v>735</v>
      </c>
      <c r="B145" s="14" t="s">
        <v>1488</v>
      </c>
      <c r="D145" s="13" t="str">
        <f>IF(NodesData[[#This Row],[Class Disambiguation]]="",NodesData[[#This Row],[Common Name]],NodesData[[#This Row],[Common Name]]&amp;" ("&amp;NodesData[[#This Row],[Class Disambiguation]]&amp;")")</f>
        <v>Employee</v>
      </c>
      <c r="E145" s="13" t="s">
        <v>736</v>
      </c>
      <c r="F145" s="20" t="str" cm="1">
        <f t="array" ref="F145">"n"&amp;SUBSTITUTE(CreateGuidString(),"-","_")</f>
        <v>nEE20BBE8_86CE_4E98_B1B5_60EB714B7399</v>
      </c>
    </row>
    <row r="146" spans="1:6" x14ac:dyDescent="0.35">
      <c r="A146" s="13" t="s">
        <v>737</v>
      </c>
      <c r="B146" s="14" t="s">
        <v>1489</v>
      </c>
      <c r="D146" s="13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E146" s="13" t="s">
        <v>738</v>
      </c>
      <c r="F146" s="20" t="str" cm="1">
        <f t="array" ref="F146">"n"&amp;SUBSTITUTE(CreateGuidString(),"-","_")</f>
        <v>n66CF6505_954C_438C_86E9_259254713D10</v>
      </c>
    </row>
    <row r="147" spans="1:6" x14ac:dyDescent="0.35">
      <c r="A147" s="13" t="s">
        <v>739</v>
      </c>
      <c r="B147" s="14" t="s">
        <v>1490</v>
      </c>
      <c r="D147" s="13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E147" s="13" t="s">
        <v>740</v>
      </c>
      <c r="F147" s="20" t="str" cm="1">
        <f t="array" ref="F147">"n"&amp;SUBSTITUTE(CreateGuidString(),"-","_")</f>
        <v>n4A475F68_E348_4723_891E_4850941D05E6</v>
      </c>
    </row>
    <row r="148" spans="1:6" x14ac:dyDescent="0.35">
      <c r="A148" s="13" t="s">
        <v>741</v>
      </c>
      <c r="B148" s="14" t="s">
        <v>1491</v>
      </c>
      <c r="D148" s="13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E148" s="13" t="s">
        <v>742</v>
      </c>
      <c r="F148" s="20" t="str" cm="1">
        <f t="array" ref="F148">"n"&amp;SUBSTITUTE(CreateGuidString(),"-","_")</f>
        <v>n4475498C_FF1D_4D1C_AF98_D26D7A7E7773</v>
      </c>
    </row>
    <row r="149" spans="1:6" x14ac:dyDescent="0.35">
      <c r="A149" s="13" t="s">
        <v>743</v>
      </c>
      <c r="B149" s="14" t="s">
        <v>1492</v>
      </c>
      <c r="D149" s="13" t="str">
        <f>IF(NodesData[[#This Row],[Class Disambiguation]]="",NodesData[[#This Row],[Common Name]],NodesData[[#This Row],[Common Name]]&amp;" ("&amp;NodesData[[#This Row],[Class Disambiguation]]&amp;")")</f>
        <v>Entitlement</v>
      </c>
      <c r="E149" s="13" t="s">
        <v>744</v>
      </c>
      <c r="F149" s="20" t="str" cm="1">
        <f t="array" ref="F149">"n"&amp;SUBSTITUTE(CreateGuidString(),"-","_")</f>
        <v>nEFE36940_3187_48DE_A2A3_9E2DB385FEF5</v>
      </c>
    </row>
    <row r="150" spans="1:6" x14ac:dyDescent="0.35">
      <c r="A150" s="13" t="s">
        <v>745</v>
      </c>
      <c r="B150" s="14" t="s">
        <v>1494</v>
      </c>
      <c r="D150" s="13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E150" s="13" t="s">
        <v>746</v>
      </c>
      <c r="F150" s="20" t="str" cm="1">
        <f t="array" ref="F150">"n"&amp;SUBSTITUTE(CreateGuidString(),"-","_")</f>
        <v>nAF69CB8E_E3CC_4A0A_868F_151C76A80E49</v>
      </c>
    </row>
    <row r="151" spans="1:6" x14ac:dyDescent="0.35">
      <c r="A151" s="13" t="s">
        <v>747</v>
      </c>
      <c r="B151" s="14" t="s">
        <v>1495</v>
      </c>
      <c r="D151" s="13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E151" s="13" t="s">
        <v>748</v>
      </c>
      <c r="F151" s="20" t="str" cm="1">
        <f t="array" ref="F151">"n"&amp;SUBSTITUTE(CreateGuidString(),"-","_")</f>
        <v>n35EDDB1F_A5AC_4051_AFF9_CB0139B5A9BB</v>
      </c>
    </row>
    <row r="152" spans="1:6" x14ac:dyDescent="0.35">
      <c r="A152" s="13" t="s">
        <v>749</v>
      </c>
      <c r="B152" s="14" t="s">
        <v>1496</v>
      </c>
      <c r="D152" s="13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E152" s="13" t="s">
        <v>750</v>
      </c>
      <c r="F152" s="20" t="str" cm="1">
        <f t="array" ref="F152">"n"&amp;SUBSTITUTE(CreateGuidString(),"-","_")</f>
        <v>n985E70B6_073E_4DEF_81D6_9E2F5ECCB25D</v>
      </c>
    </row>
    <row r="153" spans="1:6" x14ac:dyDescent="0.35">
      <c r="A153" s="13" t="s">
        <v>751</v>
      </c>
      <c r="B153" s="14" t="s">
        <v>1493</v>
      </c>
      <c r="D153" s="13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E153" s="13" t="s">
        <v>752</v>
      </c>
      <c r="F153" s="20" t="str" cm="1">
        <f t="array" ref="F153">"n"&amp;SUBSTITUTE(CreateGuidString(),"-","_")</f>
        <v>nB681175B_A938_4629_9D23_3E83DDDF3C37</v>
      </c>
    </row>
    <row r="154" spans="1:6" x14ac:dyDescent="0.35">
      <c r="A154" s="13" t="s">
        <v>753</v>
      </c>
      <c r="B154" s="14" t="s">
        <v>1497</v>
      </c>
      <c r="D154" s="13" t="str">
        <f>IF(NodesData[[#This Row],[Class Disambiguation]]="",NodesData[[#This Row],[Common Name]],NodesData[[#This Row],[Common Name]]&amp;" ("&amp;NodesData[[#This Row],[Class Disambiguation]]&amp;")")</f>
        <v>Entity</v>
      </c>
      <c r="E154" s="13" t="s">
        <v>754</v>
      </c>
      <c r="F154" s="20" t="str" cm="1">
        <f t="array" ref="F154">"n"&amp;SUBSTITUTE(CreateGuidString(),"-","_")</f>
        <v>n36BFE444_1675_478F_B11E_EF7BE6788AA1</v>
      </c>
    </row>
    <row r="155" spans="1:6" x14ac:dyDescent="0.35">
      <c r="A155" s="13" t="s">
        <v>755</v>
      </c>
      <c r="B155" s="14" t="s">
        <v>1498</v>
      </c>
      <c r="C155" s="13" t="s">
        <v>1270</v>
      </c>
      <c r="D155" s="13" t="str">
        <f>IF(NodesData[[#This Row],[Class Disambiguation]]="",NodesData[[#This Row],[Common Name]],NodesData[[#This Row],[Common Name]]&amp;" ("&amp;NodesData[[#This Row],[Class Disambiguation]]&amp;")")</f>
        <v>ESSO (Acronym)</v>
      </c>
      <c r="E155" s="13" t="s">
        <v>756</v>
      </c>
      <c r="F155" s="20" t="str" cm="1">
        <f t="array" ref="F155">"n"&amp;SUBSTITUTE(CreateGuidString(),"-","_")</f>
        <v>n05AD90DB_637A_46BE_BDA7_EA39AF4B5F5C</v>
      </c>
    </row>
    <row r="156" spans="1:6" x14ac:dyDescent="0.35">
      <c r="A156" s="13" t="s">
        <v>757</v>
      </c>
      <c r="B156" s="14" t="s">
        <v>1499</v>
      </c>
      <c r="D156" s="13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E156" s="13" t="s">
        <v>758</v>
      </c>
      <c r="F156" s="20" t="str" cm="1">
        <f t="array" ref="F156">"n"&amp;SUBSTITUTE(CreateGuidString(),"-","_")</f>
        <v>n6EF73E1C_6A00_4C9F_94AD_1CC22CD45AD3</v>
      </c>
    </row>
    <row r="157" spans="1:6" x14ac:dyDescent="0.35">
      <c r="A157" s="13" t="s">
        <v>759</v>
      </c>
      <c r="B157" s="14" t="s">
        <v>1500</v>
      </c>
      <c r="D157" s="13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E157" s="13" t="s">
        <v>760</v>
      </c>
      <c r="F157" s="20" t="str" cm="1">
        <f t="array" ref="F157">"n"&amp;SUBSTITUTE(CreateGuidString(),"-","_")</f>
        <v>n0D6EEAA1_3351_48B4_990C_1E2BC7F9D7E7</v>
      </c>
    </row>
    <row r="158" spans="1:6" x14ac:dyDescent="0.35">
      <c r="A158" s="13" t="s">
        <v>761</v>
      </c>
      <c r="B158" s="14" t="s">
        <v>1501</v>
      </c>
      <c r="D158" s="13" t="str">
        <f>IF(NodesData[[#This Row],[Class Disambiguation]]="",NodesData[[#This Row],[Common Name]],NodesData[[#This Row],[Common Name]]&amp;" ("&amp;NodesData[[#This Row],[Class Disambiguation]]&amp;")")</f>
        <v>Exploited Identity</v>
      </c>
      <c r="E158" s="13" t="s">
        <v>762</v>
      </c>
      <c r="F158" s="20" t="str" cm="1">
        <f t="array" ref="F158">"n"&amp;SUBSTITUTE(CreateGuidString(),"-","_")</f>
        <v>n9176CA8C_A621_474A_B762_0F7C87F52A36</v>
      </c>
    </row>
    <row r="159" spans="1:6" x14ac:dyDescent="0.35">
      <c r="A159" s="13" t="s">
        <v>763</v>
      </c>
      <c r="B159" s="14" t="s">
        <v>1502</v>
      </c>
      <c r="D159" s="13" t="str">
        <f>IF(NodesData[[#This Row],[Class Disambiguation]]="",NodesData[[#This Row],[Common Name]],NodesData[[#This Row],[Common Name]]&amp;" ("&amp;NodesData[[#This Row],[Class Disambiguation]]&amp;")")</f>
        <v>Extended Enterprise</v>
      </c>
      <c r="E159" s="13" t="s">
        <v>764</v>
      </c>
      <c r="F159" s="20" t="str" cm="1">
        <f t="array" ref="F159">"n"&amp;SUBSTITUTE(CreateGuidString(),"-","_")</f>
        <v>n61960F79_8417_43A9_A3FC_BC6B51DC5F8B</v>
      </c>
    </row>
    <row r="160" spans="1:6" x14ac:dyDescent="0.35">
      <c r="A160" s="13" t="s">
        <v>765</v>
      </c>
      <c r="B160" s="14" t="s">
        <v>1503</v>
      </c>
      <c r="D160" s="13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E160" s="13" t="s">
        <v>766</v>
      </c>
      <c r="F160" s="20" t="str" cm="1">
        <f t="array" ref="F160">"n"&amp;SUBSTITUTE(CreateGuidString(),"-","_")</f>
        <v>nF38CADAB_7268_4BE6_B914_BC8B030A7C75</v>
      </c>
    </row>
    <row r="161" spans="1:6" x14ac:dyDescent="0.35">
      <c r="A161" s="13" t="s">
        <v>1844</v>
      </c>
      <c r="B161" s="14" t="s">
        <v>1848</v>
      </c>
      <c r="D161" s="19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F161" s="21" t="str" cm="1">
        <f t="array" ref="F161">"n"&amp;SUBSTITUTE(CreateGuidString(),"-","_")</f>
        <v>nF577D6D2_89A4_49DB_B2BC_1CAE813D96DF</v>
      </c>
    </row>
    <row r="162" spans="1:6" x14ac:dyDescent="0.35">
      <c r="A162" s="13" t="s">
        <v>1304</v>
      </c>
      <c r="B162" s="14" t="s">
        <v>1513</v>
      </c>
      <c r="D162" s="13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F162" s="20" t="str" cm="1">
        <f t="array" ref="F162">"n"&amp;SUBSTITUTE(CreateGuidString(),"-","_")</f>
        <v>n5F68815E_FF3A_49B6_9D5D_80BBDDD70A56</v>
      </c>
    </row>
    <row r="163" spans="1:6" x14ac:dyDescent="0.35">
      <c r="A163" s="13" t="s">
        <v>178</v>
      </c>
      <c r="B163" s="14" t="s">
        <v>1505</v>
      </c>
      <c r="D163" s="13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E163" s="13" t="s">
        <v>767</v>
      </c>
      <c r="F163" s="20" t="str" cm="1">
        <f t="array" ref="F163">"n"&amp;SUBSTITUTE(CreateGuidString(),"-","_")</f>
        <v>n26219C5B_C35A_4537_BF65_D5EC5AFA12D3</v>
      </c>
    </row>
    <row r="164" spans="1:6" x14ac:dyDescent="0.35">
      <c r="A164" s="13" t="s">
        <v>179</v>
      </c>
      <c r="B164" s="14" t="s">
        <v>1506</v>
      </c>
      <c r="C164" s="13" t="s">
        <v>1270</v>
      </c>
      <c r="D164" s="13" t="str">
        <f>IF(NodesData[[#This Row],[Class Disambiguation]]="",NodesData[[#This Row],[Common Name]],NodesData[[#This Row],[Common Name]]&amp;" ("&amp;NodesData[[#This Row],[Class Disambiguation]]&amp;")")</f>
        <v>FAPI (Acronym)</v>
      </c>
      <c r="E164" s="13" t="s">
        <v>768</v>
      </c>
      <c r="F164" s="20" t="str" cm="1">
        <f t="array" ref="F164">"n"&amp;SUBSTITUTE(CreateGuidString(),"-","_")</f>
        <v>nF0281BFD_7E05_444D_B79A_C10097C62CF9</v>
      </c>
    </row>
    <row r="165" spans="1:6" x14ac:dyDescent="0.35">
      <c r="A165" s="13" t="s">
        <v>769</v>
      </c>
      <c r="B165" s="14" t="s">
        <v>1507</v>
      </c>
      <c r="D165" s="13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E165" s="13" t="s">
        <v>770</v>
      </c>
      <c r="F165" s="20" t="str" cm="1">
        <f t="array" ref="F165">"n"&amp;SUBSTITUTE(CreateGuidString(),"-","_")</f>
        <v>n2142E110_94C5_4691_BF4D_DB3E522711FB</v>
      </c>
    </row>
    <row r="166" spans="1:6" x14ac:dyDescent="0.35">
      <c r="A166" s="13" t="s">
        <v>771</v>
      </c>
      <c r="B166" s="14" t="s">
        <v>1508</v>
      </c>
      <c r="D166" s="13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E166" s="13" t="s">
        <v>772</v>
      </c>
      <c r="F166" s="20" t="str" cm="1">
        <f t="array" ref="F166">"n"&amp;SUBSTITUTE(CreateGuidString(),"-","_")</f>
        <v>n470C4BE6_41C9_43B1_8C31_34B934151C38</v>
      </c>
    </row>
    <row r="167" spans="1:6" x14ac:dyDescent="0.35">
      <c r="A167" s="13" t="s">
        <v>773</v>
      </c>
      <c r="B167" s="14" t="s">
        <v>1509</v>
      </c>
      <c r="D167" s="13" t="str">
        <f>IF(NodesData[[#This Row],[Class Disambiguation]]="",NodesData[[#This Row],[Common Name]],NodesData[[#This Row],[Common Name]]&amp;" ("&amp;NodesData[[#This Row],[Class Disambiguation]]&amp;")")</f>
        <v>Federated SSO</v>
      </c>
      <c r="E167" s="13" t="s">
        <v>774</v>
      </c>
      <c r="F167" s="20" t="str" cm="1">
        <f t="array" ref="F167">"n"&amp;SUBSTITUTE(CreateGuidString(),"-","_")</f>
        <v>n9C748109_80D2_4827_A50D_83748F73141E</v>
      </c>
    </row>
    <row r="168" spans="1:6" x14ac:dyDescent="0.35">
      <c r="A168" s="13" t="s">
        <v>775</v>
      </c>
      <c r="B168" s="14" t="s">
        <v>1510</v>
      </c>
      <c r="D168" s="13" t="str">
        <f>IF(NodesData[[#This Row],[Class Disambiguation]]="",NodesData[[#This Row],[Common Name]],NodesData[[#This Row],[Common Name]]&amp;" ("&amp;NodesData[[#This Row],[Class Disambiguation]]&amp;")")</f>
        <v>Federation Bridge</v>
      </c>
      <c r="E168" s="13" t="s">
        <v>776</v>
      </c>
      <c r="F168" s="20" t="str" cm="1">
        <f t="array" ref="F168">"n"&amp;SUBSTITUTE(CreateGuidString(),"-","_")</f>
        <v>n9397DD23_9DB7_4550_BB73_22145FDF23E1</v>
      </c>
    </row>
    <row r="169" spans="1:6" x14ac:dyDescent="0.35">
      <c r="A169" s="13" t="s">
        <v>777</v>
      </c>
      <c r="B169" s="14" t="s">
        <v>1511</v>
      </c>
      <c r="C169" s="13" t="s">
        <v>1270</v>
      </c>
      <c r="D169" s="13" t="str">
        <f>IF(NodesData[[#This Row],[Class Disambiguation]]="",NodesData[[#This Row],[Common Name]],NodesData[[#This Row],[Common Name]]&amp;" ("&amp;NodesData[[#This Row],[Class Disambiguation]]&amp;")")</f>
        <v>FIM (Acronym)</v>
      </c>
      <c r="E169" s="13" t="s">
        <v>778</v>
      </c>
      <c r="F169" s="20" t="str" cm="1">
        <f t="array" ref="F169">"n"&amp;SUBSTITUTE(CreateGuidString(),"-","_")</f>
        <v>n463CC54D_9869_4407_90C8_EC337C139CCA</v>
      </c>
    </row>
    <row r="170" spans="1:6" x14ac:dyDescent="0.35">
      <c r="A170" s="13" t="s">
        <v>185</v>
      </c>
      <c r="B170" s="14" t="s">
        <v>1512</v>
      </c>
      <c r="D170" s="13" t="str">
        <f>IF(NodesData[[#This Row],[Class Disambiguation]]="",NodesData[[#This Row],[Common Name]],NodesData[[#This Row],[Common Name]]&amp;" ("&amp;NodesData[[#This Row],[Class Disambiguation]]&amp;")")</f>
        <v>Financial-grade API</v>
      </c>
      <c r="E170" s="13" t="s">
        <v>779</v>
      </c>
      <c r="F170" s="20" t="str" cm="1">
        <f t="array" ref="F170">"n"&amp;SUBSTITUTE(CreateGuidString(),"-","_")</f>
        <v>nDD62C672_E132_4EEF_BFA8_AD19383F6735</v>
      </c>
    </row>
    <row r="171" spans="1:6" x14ac:dyDescent="0.35">
      <c r="A171" s="13" t="s">
        <v>1306</v>
      </c>
      <c r="B171" s="14" t="s">
        <v>1520</v>
      </c>
      <c r="D171" s="13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F171" s="20" t="str" cm="1">
        <f t="array" ref="F171">"n"&amp;SUBSTITUTE(CreateGuidString(),"-","_")</f>
        <v>n7C2100F7_B570_4DE0_B824_1D5368107ACE</v>
      </c>
    </row>
    <row r="172" spans="1:6" x14ac:dyDescent="0.35">
      <c r="A172" s="13" t="s">
        <v>186</v>
      </c>
      <c r="B172" s="14" t="s">
        <v>1514</v>
      </c>
      <c r="C172" s="13" t="s">
        <v>1270</v>
      </c>
      <c r="D172" s="13" t="str">
        <f>IF(NodesData[[#This Row],[Class Disambiguation]]="",NodesData[[#This Row],[Common Name]],NodesData[[#This Row],[Common Name]]&amp;" ("&amp;NodesData[[#This Row],[Class Disambiguation]]&amp;")")</f>
        <v>FinTech (Acronym)</v>
      </c>
      <c r="E172" s="13" t="s">
        <v>780</v>
      </c>
      <c r="F172" s="20" t="str" cm="1">
        <f t="array" ref="F172">"n"&amp;SUBSTITUTE(CreateGuidString(),"-","_")</f>
        <v>n67D0502C_10C9_4F12_A8CA_06B5C19D89DE</v>
      </c>
    </row>
    <row r="173" spans="1:6" x14ac:dyDescent="0.35">
      <c r="A173" s="13" t="s">
        <v>781</v>
      </c>
      <c r="B173" s="14" t="s">
        <v>1515</v>
      </c>
      <c r="D173" s="13" t="str">
        <f>IF(NodesData[[#This Row],[Class Disambiguation]]="",NodesData[[#This Row],[Common Name]],NodesData[[#This Row],[Common Name]]&amp;" ("&amp;NodesData[[#This Row],[Class Disambiguation]]&amp;")")</f>
        <v>Flexibility</v>
      </c>
      <c r="E173" s="13" t="s">
        <v>782</v>
      </c>
      <c r="F173" s="20" t="str" cm="1">
        <f t="array" ref="F173">"n"&amp;SUBSTITUTE(CreateGuidString(),"-","_")</f>
        <v>n761F8882_01FD_4A42_9587_AD3C53B8EBF1</v>
      </c>
    </row>
    <row r="174" spans="1:6" x14ac:dyDescent="0.35">
      <c r="A174" s="13" t="s">
        <v>783</v>
      </c>
      <c r="B174" s="14" t="s">
        <v>1516</v>
      </c>
      <c r="D174" s="13" t="str">
        <f>IF(NodesData[[#This Row],[Class Disambiguation]]="",NodesData[[#This Row],[Common Name]],NodesData[[#This Row],[Common Name]]&amp;" ("&amp;NodesData[[#This Row],[Class Disambiguation]]&amp;")")</f>
        <v>Flow Analysis</v>
      </c>
      <c r="E174" s="13" t="s">
        <v>784</v>
      </c>
      <c r="F174" s="20" t="str" cm="1">
        <f t="array" ref="F174">"n"&amp;SUBSTITUTE(CreateGuidString(),"-","_")</f>
        <v>nAF225F5C_CDCD_44B6_9CB1_584849C0F9E5</v>
      </c>
    </row>
    <row r="175" spans="1:6" x14ac:dyDescent="0.35">
      <c r="A175" s="13" t="s">
        <v>785</v>
      </c>
      <c r="B175" s="14" t="s">
        <v>1517</v>
      </c>
      <c r="D175" s="13" t="str">
        <f>IF(NodesData[[#This Row],[Class Disambiguation]]="",NodesData[[#This Row],[Common Name]],NodesData[[#This Row],[Common Name]]&amp;" ("&amp;NodesData[[#This Row],[Class Disambiguation]]&amp;")")</f>
        <v>Forged Identity</v>
      </c>
      <c r="E175" s="13" t="s">
        <v>786</v>
      </c>
      <c r="F175" s="20" t="str" cm="1">
        <f t="array" ref="F175">"n"&amp;SUBSTITUTE(CreateGuidString(),"-","_")</f>
        <v>n914146D5_A9B7_46A8_8C5A_1E7F750491C5</v>
      </c>
    </row>
    <row r="176" spans="1:6" x14ac:dyDescent="0.35">
      <c r="A176" s="13" t="s">
        <v>787</v>
      </c>
      <c r="B176" s="14" t="s">
        <v>1518</v>
      </c>
      <c r="D176" s="13" t="str">
        <f>IF(NodesData[[#This Row],[Class Disambiguation]]="",NodesData[[#This Row],[Common Name]],NodesData[[#This Row],[Common Name]]&amp;" ("&amp;NodesData[[#This Row],[Class Disambiguation]]&amp;")")</f>
        <v>Formal Verification</v>
      </c>
      <c r="E176" s="13" t="s">
        <v>788</v>
      </c>
      <c r="F176" s="20" t="str" cm="1">
        <f t="array" ref="F176">"n"&amp;SUBSTITUTE(CreateGuidString(),"-","_")</f>
        <v>nC12C5907_3010_412C_BFBB_3EA5C6B12EA0</v>
      </c>
    </row>
    <row r="177" spans="1:6" x14ac:dyDescent="0.35">
      <c r="A177" s="13" t="s">
        <v>192</v>
      </c>
      <c r="B177" s="14" t="s">
        <v>1519</v>
      </c>
      <c r="D177" s="13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E177" s="13" t="s">
        <v>789</v>
      </c>
      <c r="F177" s="20" t="str" cm="1">
        <f t="array" ref="F177">"n"&amp;SUBSTITUTE(CreateGuidString(),"-","_")</f>
        <v>n361842FB_E831_4BF3_B1F7_B3E992BFC01B</v>
      </c>
    </row>
    <row r="178" spans="1:6" x14ac:dyDescent="0.35">
      <c r="A178" s="13" t="s">
        <v>1300</v>
      </c>
      <c r="B178" s="14" t="s">
        <v>1523</v>
      </c>
      <c r="D178" s="13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F178" s="20" t="str" cm="1">
        <f t="array" ref="F178">"n"&amp;SUBSTITUTE(CreateGuidString(),"-","_")</f>
        <v>nE7B04268_DB14_49AF_9750_809A728D7A52</v>
      </c>
    </row>
    <row r="179" spans="1:6" x14ac:dyDescent="0.35">
      <c r="A179" s="13" t="s">
        <v>790</v>
      </c>
      <c r="B179" s="14" t="s">
        <v>1521</v>
      </c>
      <c r="D179" s="13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E179" s="13" t="s">
        <v>791</v>
      </c>
      <c r="F179" s="20" t="str" cm="1">
        <f t="array" ref="F179">"n"&amp;SUBSTITUTE(CreateGuidString(),"-","_")</f>
        <v>n7B3F93A8_6B97_4B05_B42E_3C69AC4017BF</v>
      </c>
    </row>
    <row r="180" spans="1:6" x14ac:dyDescent="0.35">
      <c r="A180" s="13" t="s">
        <v>792</v>
      </c>
      <c r="B180" s="14" t="s">
        <v>1522</v>
      </c>
      <c r="D180" s="13" t="str">
        <f>IF(NodesData[[#This Row],[Class Disambiguation]]="",NodesData[[#This Row],[Common Name]],NodesData[[#This Row],[Common Name]]&amp;" ("&amp;NodesData[[#This Row],[Class Disambiguation]]&amp;")")</f>
        <v>Functional System</v>
      </c>
      <c r="E180" s="13" t="s">
        <v>793</v>
      </c>
      <c r="F180" s="20" t="str" cm="1">
        <f t="array" ref="F180">"n"&amp;SUBSTITUTE(CreateGuidString(),"-","_")</f>
        <v>n23F0C3D0_D9E6_47DA_8A97_58C1D2223530</v>
      </c>
    </row>
    <row r="181" spans="1:6" x14ac:dyDescent="0.35">
      <c r="A181" s="13" t="s">
        <v>1307</v>
      </c>
      <c r="B181" s="14" t="s">
        <v>1524</v>
      </c>
      <c r="D181" s="13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F181" s="20" t="str" cm="1">
        <f t="array" ref="F181">"n"&amp;SUBSTITUTE(CreateGuidString(),"-","_")</f>
        <v>n74B46C55_B10D_43F2_8E6B_E0BDB8758D71</v>
      </c>
    </row>
    <row r="182" spans="1:6" x14ac:dyDescent="0.35">
      <c r="A182" s="13" t="s">
        <v>1305</v>
      </c>
      <c r="B182" s="14" t="s">
        <v>1525</v>
      </c>
      <c r="D182" s="13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F182" s="20" t="str" cm="1">
        <f t="array" ref="F182">"n"&amp;SUBSTITUTE(CreateGuidString(),"-","_")</f>
        <v>n4FB55A1B_BF43_4220_B4C6_A284BF784392</v>
      </c>
    </row>
    <row r="183" spans="1:6" x14ac:dyDescent="0.35">
      <c r="A183" s="13" t="s">
        <v>1325</v>
      </c>
      <c r="B183" s="14" t="s">
        <v>1527</v>
      </c>
      <c r="D183" s="13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F183" s="20" t="str" cm="1">
        <f t="array" ref="F183">"n"&amp;SUBSTITUTE(CreateGuidString(),"-","_")</f>
        <v>nCB6334BF_D4AA_4B2A_B0ED_ADB2AE32CC21</v>
      </c>
    </row>
    <row r="184" spans="1:6" x14ac:dyDescent="0.35">
      <c r="A184" s="13" t="s">
        <v>794</v>
      </c>
      <c r="B184" s="14" t="s">
        <v>1526</v>
      </c>
      <c r="D184" s="13" t="str">
        <f>IF(NodesData[[#This Row],[Class Disambiguation]]="",NodesData[[#This Row],[Common Name]],NodesData[[#This Row],[Common Name]]&amp;" ("&amp;NodesData[[#This Row],[Class Disambiguation]]&amp;")")</f>
        <v>Guest Account</v>
      </c>
      <c r="E184" s="13" t="s">
        <v>795</v>
      </c>
      <c r="F184" s="20" t="str" cm="1">
        <f t="array" ref="F184">"n"&amp;SUBSTITUTE(CreateGuidString(),"-","_")</f>
        <v>n703AD417_FF77_4C7D_B24D_C1DFE8D041D7</v>
      </c>
    </row>
    <row r="185" spans="1:6" x14ac:dyDescent="0.35">
      <c r="A185" s="13" t="s">
        <v>1308</v>
      </c>
      <c r="B185" s="14" t="s">
        <v>1528</v>
      </c>
      <c r="D185" s="13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F185" s="20" t="str" cm="1">
        <f t="array" ref="F185">"n"&amp;SUBSTITUTE(CreateGuidString(),"-","_")</f>
        <v>n5AE44977_3A6D_4711_947C_12DBB31CC9C1</v>
      </c>
    </row>
    <row r="186" spans="1:6" x14ac:dyDescent="0.35">
      <c r="A186" s="13" t="s">
        <v>1309</v>
      </c>
      <c r="B186" s="14" t="s">
        <v>1566</v>
      </c>
      <c r="D186" s="13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F186" s="20" t="str" cm="1">
        <f t="array" ref="F186">"n"&amp;SUBSTITUTE(CreateGuidString(),"-","_")</f>
        <v>nB0803710_640C_47B3_8C2E_E4AF6CCE0C45</v>
      </c>
    </row>
    <row r="187" spans="1:6" x14ac:dyDescent="0.35">
      <c r="A187" s="13" t="s">
        <v>796</v>
      </c>
      <c r="B187" s="14" t="s">
        <v>1529</v>
      </c>
      <c r="D187" s="13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E187" s="13" t="s">
        <v>797</v>
      </c>
      <c r="F187" s="20" t="str" cm="1">
        <f t="array" ref="F187">"n"&amp;SUBSTITUTE(CreateGuidString(),"-","_")</f>
        <v>nA6D60601_2104_49E1_8CC4_218546661C76</v>
      </c>
    </row>
    <row r="188" spans="1:6" x14ac:dyDescent="0.35">
      <c r="A188" s="13" t="s">
        <v>798</v>
      </c>
      <c r="B188" s="14" t="s">
        <v>1530</v>
      </c>
      <c r="D188" s="13" t="str">
        <f>IF(NodesData[[#This Row],[Class Disambiguation]]="",NodesData[[#This Row],[Common Name]],NodesData[[#This Row],[Common Name]]&amp;" ("&amp;NodesData[[#This Row],[Class Disambiguation]]&amp;")")</f>
        <v>Human Error</v>
      </c>
      <c r="E188" s="13" t="s">
        <v>799</v>
      </c>
      <c r="F188" s="20" t="str" cm="1">
        <f t="array" ref="F188">"n"&amp;SUBSTITUTE(CreateGuidString(),"-","_")</f>
        <v>n18E6D6E9_AA88_4EF0_A376_B417BC561559</v>
      </c>
    </row>
    <row r="189" spans="1:6" x14ac:dyDescent="0.35">
      <c r="A189" s="13" t="s">
        <v>800</v>
      </c>
      <c r="B189" s="14" t="s">
        <v>1531</v>
      </c>
      <c r="D189" s="13" t="str">
        <f>IF(NodesData[[#This Row],[Class Disambiguation]]="",NodesData[[#This Row],[Common Name]],NodesData[[#This Row],[Common Name]]&amp;" ("&amp;NodesData[[#This Row],[Class Disambiguation]]&amp;")")</f>
        <v>Human Reliability</v>
      </c>
      <c r="E189" s="13" t="s">
        <v>801</v>
      </c>
      <c r="F189" s="20" t="str" cm="1">
        <f t="array" ref="F189">"n"&amp;SUBSTITUTE(CreateGuidString(),"-","_")</f>
        <v>n3402EAAE_14B2_4A80_AAAB_01A65AA5E3DF</v>
      </c>
    </row>
    <row r="190" spans="1:6" x14ac:dyDescent="0.35">
      <c r="A190" s="13" t="s">
        <v>201</v>
      </c>
      <c r="B190" s="14" t="s">
        <v>1532</v>
      </c>
      <c r="C190" s="13" t="s">
        <v>1270</v>
      </c>
      <c r="D190" s="13" t="str">
        <f>IF(NodesData[[#This Row],[Class Disambiguation]]="",NodesData[[#This Row],[Common Name]],NodesData[[#This Row],[Common Name]]&amp;" ("&amp;NodesData[[#This Row],[Class Disambiguation]]&amp;")")</f>
        <v>IAG (Acronym)</v>
      </c>
      <c r="E190" s="13" t="s">
        <v>802</v>
      </c>
      <c r="F190" s="20" t="str" cm="1">
        <f t="array" ref="F190">"n"&amp;SUBSTITUTE(CreateGuidString(),"-","_")</f>
        <v>nA3DE990A_2DB3_4ABE_B2FB_CF227B6141DB</v>
      </c>
    </row>
    <row r="191" spans="1:6" x14ac:dyDescent="0.35">
      <c r="A191" s="13" t="s">
        <v>202</v>
      </c>
      <c r="B191" s="14" t="s">
        <v>1533</v>
      </c>
      <c r="C191" s="13" t="s">
        <v>1270</v>
      </c>
      <c r="D191" s="13" t="str">
        <f>IF(NodesData[[#This Row],[Class Disambiguation]]="",NodesData[[#This Row],[Common Name]],NodesData[[#This Row],[Common Name]]&amp;" ("&amp;NodesData[[#This Row],[Class Disambiguation]]&amp;")")</f>
        <v>IAM (Acronym)</v>
      </c>
      <c r="E191" s="13" t="s">
        <v>803</v>
      </c>
      <c r="F191" s="20" t="str" cm="1">
        <f t="array" ref="F191">"n"&amp;SUBSTITUTE(CreateGuidString(),"-","_")</f>
        <v>n89886E98_8FA7_482E_937E_37BDE958D20F</v>
      </c>
    </row>
    <row r="192" spans="1:6" x14ac:dyDescent="0.35">
      <c r="A192" s="13" t="s">
        <v>804</v>
      </c>
      <c r="B192" s="14" t="s">
        <v>1534</v>
      </c>
      <c r="C192" s="13" t="s">
        <v>1270</v>
      </c>
      <c r="D192" s="13" t="str">
        <f>IF(NodesData[[#This Row],[Class Disambiguation]]="",NodesData[[#This Row],[Common Name]],NodesData[[#This Row],[Common Name]]&amp;" ("&amp;NodesData[[#This Row],[Class Disambiguation]]&amp;")")</f>
        <v>IAM ARN (Acronym)</v>
      </c>
      <c r="E192" s="13" t="s">
        <v>805</v>
      </c>
      <c r="F192" s="20" t="str" cm="1">
        <f t="array" ref="F192">"n"&amp;SUBSTITUTE(CreateGuidString(),"-","_")</f>
        <v>n6990DB8D_9ED1_4B16_AE57_513A163FF95F</v>
      </c>
    </row>
    <row r="193" spans="1:6" x14ac:dyDescent="0.35">
      <c r="A193" s="13" t="s">
        <v>806</v>
      </c>
      <c r="B193" s="14" t="s">
        <v>1535</v>
      </c>
      <c r="D193" s="13" t="str">
        <f>IF(NodesData[[#This Row],[Class Disambiguation]]="",NodesData[[#This Row],[Common Name]],NodesData[[#This Row],[Common Name]]&amp;" ("&amp;NodesData[[#This Row],[Class Disambiguation]]&amp;")")</f>
        <v>IAM Management</v>
      </c>
      <c r="E193" s="13" t="s">
        <v>807</v>
      </c>
      <c r="F193" s="20" t="str" cm="1">
        <f t="array" ref="F193">"n"&amp;SUBSTITUTE(CreateGuidString(),"-","_")</f>
        <v>nC6B233D2_127D_45CA_91A9_486363A61A7A</v>
      </c>
    </row>
    <row r="194" spans="1:6" x14ac:dyDescent="0.35">
      <c r="A194" s="13" t="s">
        <v>808</v>
      </c>
      <c r="B194" s="14" t="s">
        <v>1536</v>
      </c>
      <c r="C194" s="13" t="s">
        <v>1270</v>
      </c>
      <c r="D194" s="13" t="str">
        <f>IF(NodesData[[#This Row],[Class Disambiguation]]="",NodesData[[#This Row],[Common Name]],NodesData[[#This Row],[Common Name]]&amp;" ("&amp;NodesData[[#This Row],[Class Disambiguation]]&amp;")")</f>
        <v>IAP (Acronym)</v>
      </c>
      <c r="E194" s="13" t="s">
        <v>809</v>
      </c>
      <c r="F194" s="20" t="str" cm="1">
        <f t="array" ref="F194">"n"&amp;SUBSTITUTE(CreateGuidString(),"-","_")</f>
        <v>n6D37C1D0_9DBC_47B9_ACDD_9A857443337B</v>
      </c>
    </row>
    <row r="195" spans="1:6" x14ac:dyDescent="0.35">
      <c r="A195" s="13" t="s">
        <v>810</v>
      </c>
      <c r="B195" s="14" t="s">
        <v>1537</v>
      </c>
      <c r="C195" s="13" t="s">
        <v>1270</v>
      </c>
      <c r="D195" s="13" t="str">
        <f>IF(NodesData[[#This Row],[Class Disambiguation]]="",NodesData[[#This Row],[Common Name]],NodesData[[#This Row],[Common Name]]&amp;" ("&amp;NodesData[[#This Row],[Class Disambiguation]]&amp;")")</f>
        <v>IDaaS (Acronym)</v>
      </c>
      <c r="E195" s="13" t="s">
        <v>811</v>
      </c>
      <c r="F195" s="20" t="str" cm="1">
        <f t="array" ref="F195">"n"&amp;SUBSTITUTE(CreateGuidString(),"-","_")</f>
        <v>nD73E09BC_1BFD_479B_9BD3_40002273829B</v>
      </c>
    </row>
    <row r="196" spans="1:6" x14ac:dyDescent="0.35">
      <c r="A196" s="13" t="s">
        <v>812</v>
      </c>
      <c r="B196" s="14" t="s">
        <v>1538</v>
      </c>
      <c r="D196" s="13" t="str">
        <f>IF(NodesData[[#This Row],[Class Disambiguation]]="",NodesData[[#This Row],[Common Name]],NodesData[[#This Row],[Common Name]]&amp;" ("&amp;NodesData[[#This Row],[Class Disambiguation]]&amp;")")</f>
        <v>Ideal Type</v>
      </c>
      <c r="E196" s="13" t="s">
        <v>813</v>
      </c>
      <c r="F196" s="20" t="str" cm="1">
        <f t="array" ref="F196">"n"&amp;SUBSTITUTE(CreateGuidString(),"-","_")</f>
        <v>nE37440C1_69E1_41A9_8C5C_B964F390C6BD</v>
      </c>
    </row>
    <row r="197" spans="1:6" x14ac:dyDescent="0.35">
      <c r="A197" s="13" t="s">
        <v>814</v>
      </c>
      <c r="B197" s="14" t="s">
        <v>1539</v>
      </c>
      <c r="D197" s="13" t="str">
        <f>IF(NodesData[[#This Row],[Class Disambiguation]]="",NodesData[[#This Row],[Common Name]],NodesData[[#This Row],[Common Name]]&amp;" ("&amp;NodesData[[#This Row],[Class Disambiguation]]&amp;")")</f>
        <v>Identification</v>
      </c>
      <c r="E197" s="13" t="s">
        <v>815</v>
      </c>
      <c r="F197" s="20" t="str" cm="1">
        <f t="array" ref="F197">"n"&amp;SUBSTITUTE(CreateGuidString(),"-","_")</f>
        <v>nEF7DE769_F6A7_41BC_BDD2_D8EEEE17D1BA</v>
      </c>
    </row>
    <row r="198" spans="1:6" x14ac:dyDescent="0.35">
      <c r="A198" s="13" t="s">
        <v>816</v>
      </c>
      <c r="B198" s="14" t="s">
        <v>1540</v>
      </c>
      <c r="D198" s="13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E198" s="13" t="s">
        <v>817</v>
      </c>
      <c r="F198" s="20" t="str" cm="1">
        <f t="array" ref="F198">"n"&amp;SUBSTITUTE(CreateGuidString(),"-","_")</f>
        <v>n85B3B8F9_5308_49B5_ABC2_C15B9FAD70AF</v>
      </c>
    </row>
    <row r="199" spans="1:6" x14ac:dyDescent="0.35">
      <c r="A199" s="13" t="s">
        <v>818</v>
      </c>
      <c r="B199" s="14" t="s">
        <v>1541</v>
      </c>
      <c r="D199" s="13" t="str">
        <f>IF(NodesData[[#This Row],[Class Disambiguation]]="",NodesData[[#This Row],[Common Name]],NodesData[[#This Row],[Common Name]]&amp;" ("&amp;NodesData[[#This Row],[Class Disambiguation]]&amp;")")</f>
        <v>Identifier</v>
      </c>
      <c r="E199" s="13" t="s">
        <v>819</v>
      </c>
      <c r="F199" s="20" t="str" cm="1">
        <f t="array" ref="F199">"n"&amp;SUBSTITUTE(CreateGuidString(),"-","_")</f>
        <v>n79DC607E_FCBC_4940_B33C_B29DB83B9C52</v>
      </c>
    </row>
    <row r="200" spans="1:6" x14ac:dyDescent="0.35">
      <c r="A200" s="13" t="s">
        <v>211</v>
      </c>
      <c r="B200" s="14" t="s">
        <v>1542</v>
      </c>
      <c r="D200" s="13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E200" s="13" t="s">
        <v>820</v>
      </c>
      <c r="F200" s="20" t="str" cm="1">
        <f t="array" ref="F200">"n"&amp;SUBSTITUTE(CreateGuidString(),"-","_")</f>
        <v>nAB7F3691_A928_4F0A_8449_5B66819FAA6D</v>
      </c>
    </row>
    <row r="201" spans="1:6" x14ac:dyDescent="0.35">
      <c r="A201" s="13" t="s">
        <v>821</v>
      </c>
      <c r="B201" s="14" t="s">
        <v>1543</v>
      </c>
      <c r="D201" s="13" t="str">
        <f>IF(NodesData[[#This Row],[Class Disambiguation]]="",NodesData[[#This Row],[Common Name]],NodesData[[#This Row],[Common Name]]&amp;" ("&amp;NodesData[[#This Row],[Class Disambiguation]]&amp;")")</f>
        <v>Identity</v>
      </c>
      <c r="E201" s="13" t="s">
        <v>822</v>
      </c>
      <c r="F201" s="20" t="str" cm="1">
        <f t="array" ref="F201">"n"&amp;SUBSTITUTE(CreateGuidString(),"-","_")</f>
        <v>n959C7733_BD7C_4DEB_A935_20B34290BA1F</v>
      </c>
    </row>
    <row r="202" spans="1:6" x14ac:dyDescent="0.35">
      <c r="A202" s="13" t="s">
        <v>213</v>
      </c>
      <c r="B202" s="14" t="s">
        <v>1544</v>
      </c>
      <c r="D202" s="13" t="str">
        <f>IF(NodesData[[#This Row],[Class Disambiguation]]="",NodesData[[#This Row],[Common Name]],NodesData[[#This Row],[Common Name]]&amp;" ("&amp;NodesData[[#This Row],[Class Disambiguation]]&amp;")")</f>
        <v>Identity Aggregation</v>
      </c>
      <c r="E202" s="13" t="s">
        <v>823</v>
      </c>
      <c r="F202" s="20" t="str" cm="1">
        <f t="array" ref="F202">"n"&amp;SUBSTITUTE(CreateGuidString(),"-","_")</f>
        <v>n001A696B_94F7_4834_A96D_E563C5FDD208</v>
      </c>
    </row>
    <row r="203" spans="1:6" x14ac:dyDescent="0.35">
      <c r="A203" s="13" t="s">
        <v>214</v>
      </c>
      <c r="B203" s="14" t="s">
        <v>1545</v>
      </c>
      <c r="D203" s="13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E203" s="13" t="s">
        <v>824</v>
      </c>
      <c r="F203" s="20" t="str" cm="1">
        <f t="array" ref="F203">"n"&amp;SUBSTITUTE(CreateGuidString(),"-","_")</f>
        <v>nC56F98F8_413A_4044_B1FB_5B7C264CD4EC</v>
      </c>
    </row>
    <row r="204" spans="1:6" x14ac:dyDescent="0.35">
      <c r="A204" s="13" t="s">
        <v>215</v>
      </c>
      <c r="B204" s="14" t="s">
        <v>1546</v>
      </c>
      <c r="D204" s="13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E204" s="13" t="s">
        <v>825</v>
      </c>
      <c r="F204" s="20" t="str" cm="1">
        <f t="array" ref="F204">"n"&amp;SUBSTITUTE(CreateGuidString(),"-","_")</f>
        <v>nC8CA4D5A_CFD1_4A04_8AE2_41CE69A5651C</v>
      </c>
    </row>
    <row r="205" spans="1:6" x14ac:dyDescent="0.35">
      <c r="A205" s="13" t="s">
        <v>217</v>
      </c>
      <c r="B205" s="14" t="s">
        <v>1548</v>
      </c>
      <c r="D205" s="13" t="str">
        <f>IF(NodesData[[#This Row],[Class Disambiguation]]="",NodesData[[#This Row],[Common Name]],NodesData[[#This Row],[Common Name]]&amp;" ("&amp;NodesData[[#This Row],[Class Disambiguation]]&amp;")")</f>
        <v>Identity Assurance</v>
      </c>
      <c r="E205" s="13" t="s">
        <v>826</v>
      </c>
      <c r="F205" s="20" t="str" cm="1">
        <f t="array" ref="F205">"n"&amp;SUBSTITUTE(CreateGuidString(),"-","_")</f>
        <v>nF391F35F_9EF8_407F_9EF6_675C22E85861</v>
      </c>
    </row>
    <row r="206" spans="1:6" x14ac:dyDescent="0.35">
      <c r="A206" s="13" t="s">
        <v>827</v>
      </c>
      <c r="B206" s="14" t="s">
        <v>1549</v>
      </c>
      <c r="D206" s="13" t="str">
        <f>IF(NodesData[[#This Row],[Class Disambiguation]]="",NodesData[[#This Row],[Common Name]],NodesData[[#This Row],[Common Name]]&amp;" ("&amp;NodesData[[#This Row],[Class Disambiguation]]&amp;")")</f>
        <v>Identity Attribute</v>
      </c>
      <c r="E206" s="13" t="s">
        <v>828</v>
      </c>
      <c r="F206" s="20" t="str" cm="1">
        <f t="array" ref="F206">"n"&amp;SUBSTITUTE(CreateGuidString(),"-","_")</f>
        <v>n0C6272C1_C115_43BE_82E1_68B133BADE20</v>
      </c>
    </row>
    <row r="207" spans="1:6" x14ac:dyDescent="0.35">
      <c r="A207" s="13" t="s">
        <v>220</v>
      </c>
      <c r="B207" s="14" t="s">
        <v>1551</v>
      </c>
      <c r="D207" s="13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E207" s="13" t="s">
        <v>829</v>
      </c>
      <c r="F207" s="20" t="str" cm="1">
        <f t="array" ref="F207">"n"&amp;SUBSTITUTE(CreateGuidString(),"-","_")</f>
        <v>nBFF663DD_89BF_4C24_BB06_D24E30901481</v>
      </c>
    </row>
    <row r="208" spans="1:6" x14ac:dyDescent="0.35">
      <c r="A208" s="13" t="s">
        <v>221</v>
      </c>
      <c r="B208" s="14" t="s">
        <v>1552</v>
      </c>
      <c r="D208" s="13" t="str">
        <f>IF(NodesData[[#This Row],[Class Disambiguation]]="",NodesData[[#This Row],[Common Name]],NodesData[[#This Row],[Common Name]]&amp;" ("&amp;NodesData[[#This Row],[Class Disambiguation]]&amp;")")</f>
        <v>Identity Federation</v>
      </c>
      <c r="E208" s="13" t="s">
        <v>830</v>
      </c>
      <c r="F208" s="20" t="str" cm="1">
        <f t="array" ref="F208">"n"&amp;SUBSTITUTE(CreateGuidString(),"-","_")</f>
        <v>nD5DDABAF_DF09_4D2D_A2C6_BDF09D3F3990</v>
      </c>
    </row>
    <row r="209" spans="1:6" x14ac:dyDescent="0.35">
      <c r="A209" s="13" t="s">
        <v>222</v>
      </c>
      <c r="B209" s="14" t="s">
        <v>1553</v>
      </c>
      <c r="D209" s="13" t="str">
        <f>IF(NodesData[[#This Row],[Class Disambiguation]]="",NodesData[[#This Row],[Common Name]],NodesData[[#This Row],[Common Name]]&amp;" ("&amp;NodesData[[#This Row],[Class Disambiguation]]&amp;")")</f>
        <v>Identity Guardian</v>
      </c>
      <c r="E209" s="13" t="s">
        <v>831</v>
      </c>
      <c r="F209" s="20" t="str" cm="1">
        <f t="array" ref="F209">"n"&amp;SUBSTITUTE(CreateGuidString(),"-","_")</f>
        <v>n99118B53_4F7D_49A4_8089_BA44D0886968</v>
      </c>
    </row>
    <row r="210" spans="1:6" x14ac:dyDescent="0.35">
      <c r="A210" s="13" t="s">
        <v>832</v>
      </c>
      <c r="B210" s="14" t="s">
        <v>1554</v>
      </c>
      <c r="D210" s="13" t="str">
        <f>IF(NodesData[[#This Row],[Class Disambiguation]]="",NodesData[[#This Row],[Common Name]],NodesData[[#This Row],[Common Name]]&amp;" ("&amp;NodesData[[#This Row],[Class Disambiguation]]&amp;")")</f>
        <v>Identity Lifecycle</v>
      </c>
      <c r="E210" s="13" t="s">
        <v>833</v>
      </c>
      <c r="F210" s="20" t="str" cm="1">
        <f t="array" ref="F210">"n"&amp;SUBSTITUTE(CreateGuidString(),"-","_")</f>
        <v>nB5743CA1_9C57_4C31_8BCE_D1B7CEF9610F</v>
      </c>
    </row>
    <row r="211" spans="1:6" x14ac:dyDescent="0.35">
      <c r="A211" s="13" t="s">
        <v>834</v>
      </c>
      <c r="B211" s="14" t="s">
        <v>1555</v>
      </c>
      <c r="D211" s="13" t="str">
        <f>IF(NodesData[[#This Row],[Class Disambiguation]]="",NodesData[[#This Row],[Common Name]],NodesData[[#This Row],[Common Name]]&amp;" ("&amp;NodesData[[#This Row],[Class Disambiguation]]&amp;")")</f>
        <v>Identity Management</v>
      </c>
      <c r="E211" s="13" t="s">
        <v>835</v>
      </c>
      <c r="F211" s="20" t="str" cm="1">
        <f t="array" ref="F211">"n"&amp;SUBSTITUTE(CreateGuidString(),"-","_")</f>
        <v>nBCA46C51_E248_4456_BC58_E66469F0B2A9</v>
      </c>
    </row>
    <row r="212" spans="1:6" x14ac:dyDescent="0.35">
      <c r="A212" s="13" t="s">
        <v>836</v>
      </c>
      <c r="B212" s="14" t="s">
        <v>1556</v>
      </c>
      <c r="D212" s="13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E212" s="13" t="s">
        <v>837</v>
      </c>
      <c r="F212" s="20" t="str" cm="1">
        <f t="array" ref="F212">"n"&amp;SUBSTITUTE(CreateGuidString(),"-","_")</f>
        <v>nF2711995_02C7_4580_B0DD_0FEBA9A2F663</v>
      </c>
    </row>
    <row r="213" spans="1:6" x14ac:dyDescent="0.35">
      <c r="A213" s="13" t="s">
        <v>226</v>
      </c>
      <c r="B213" s="14" t="s">
        <v>1557</v>
      </c>
      <c r="D213" s="13" t="str">
        <f>IF(NodesData[[#This Row],[Class Disambiguation]]="",NodesData[[#This Row],[Common Name]],NodesData[[#This Row],[Common Name]]&amp;" ("&amp;NodesData[[#This Row],[Class Disambiguation]]&amp;")")</f>
        <v>Identity Portability</v>
      </c>
      <c r="E213" s="13" t="s">
        <v>838</v>
      </c>
      <c r="F213" s="20" t="str" cm="1">
        <f t="array" ref="F213">"n"&amp;SUBSTITUTE(CreateGuidString(),"-","_")</f>
        <v>n6B58C205_7E6B_46EB_ADE2_2DF82B2371E8</v>
      </c>
    </row>
    <row r="214" spans="1:6" x14ac:dyDescent="0.35">
      <c r="A214" s="13" t="s">
        <v>839</v>
      </c>
      <c r="B214" s="14" t="s">
        <v>1558</v>
      </c>
      <c r="D214" s="13" t="str">
        <f>IF(NodesData[[#This Row],[Class Disambiguation]]="",NodesData[[#This Row],[Common Name]],NodesData[[#This Row],[Common Name]]&amp;" ("&amp;NodesData[[#This Row],[Class Disambiguation]]&amp;")")</f>
        <v>Identity Proofing</v>
      </c>
      <c r="E214" s="13" t="s">
        <v>840</v>
      </c>
      <c r="F214" s="20" t="str" cm="1">
        <f t="array" ref="F214">"n"&amp;SUBSTITUTE(CreateGuidString(),"-","_")</f>
        <v>nB33E57CB_F209_4376_BB93_E343EE04F8DE</v>
      </c>
    </row>
    <row r="215" spans="1:6" x14ac:dyDescent="0.35">
      <c r="A215" s="13" t="s">
        <v>841</v>
      </c>
      <c r="B215" s="14" t="s">
        <v>1559</v>
      </c>
      <c r="D215" s="13" t="str">
        <f>IF(NodesData[[#This Row],[Class Disambiguation]]="",NodesData[[#This Row],[Common Name]],NodesData[[#This Row],[Common Name]]&amp;" ("&amp;NodesData[[#This Row],[Class Disambiguation]]&amp;")")</f>
        <v>Identity Propagation</v>
      </c>
      <c r="E215" s="13" t="s">
        <v>842</v>
      </c>
      <c r="F215" s="20" t="str" cm="1">
        <f t="array" ref="F215">"n"&amp;SUBSTITUTE(CreateGuidString(),"-","_")</f>
        <v>n14D446E7_A0D2_41EE_AF3E_6A8A096C7C37</v>
      </c>
    </row>
    <row r="216" spans="1:6" x14ac:dyDescent="0.35">
      <c r="A216" s="13" t="s">
        <v>843</v>
      </c>
      <c r="B216" s="14" t="s">
        <v>1560</v>
      </c>
      <c r="D216" s="13" t="str">
        <f>IF(NodesData[[#This Row],[Class Disambiguation]]="",NodesData[[#This Row],[Common Name]],NodesData[[#This Row],[Common Name]]&amp;" ("&amp;NodesData[[#This Row],[Class Disambiguation]]&amp;")")</f>
        <v>Identity Provider</v>
      </c>
      <c r="E216" s="13" t="s">
        <v>844</v>
      </c>
      <c r="F216" s="20" t="str" cm="1">
        <f t="array" ref="F216">"n"&amp;SUBSTITUTE(CreateGuidString(),"-","_")</f>
        <v>n3C2C5BC9_8C40_4AFD_9F14_1091F49EE448</v>
      </c>
    </row>
    <row r="217" spans="1:6" x14ac:dyDescent="0.35">
      <c r="A217" s="13" t="s">
        <v>845</v>
      </c>
      <c r="B217" s="14" t="s">
        <v>1561</v>
      </c>
      <c r="D217" s="13" t="str">
        <f>IF(NodesData[[#This Row],[Class Disambiguation]]="",NodesData[[#This Row],[Common Name]],NodesData[[#This Row],[Common Name]]&amp;" ("&amp;NodesData[[#This Row],[Class Disambiguation]]&amp;")")</f>
        <v>Identity Repository</v>
      </c>
      <c r="E217" s="13" t="s">
        <v>846</v>
      </c>
      <c r="F217" s="20" t="str" cm="1">
        <f t="array" ref="F217">"n"&amp;SUBSTITUTE(CreateGuidString(),"-","_")</f>
        <v>n1E519FE2_3D1A_4667_B60B_EDEE9B4681C9</v>
      </c>
    </row>
    <row r="218" spans="1:6" x14ac:dyDescent="0.35">
      <c r="A218" s="13" t="s">
        <v>847</v>
      </c>
      <c r="B218" s="14" t="s">
        <v>1547</v>
      </c>
      <c r="D218" s="13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E218" s="13" t="s">
        <v>848</v>
      </c>
      <c r="F218" s="20" t="str" cm="1">
        <f t="array" ref="F218">"n"&amp;SUBSTITUTE(CreateGuidString(),"-","_")</f>
        <v>n0548ADB9_4D3E_4D8D_821A_FAD19845BD3F</v>
      </c>
    </row>
    <row r="219" spans="1:6" x14ac:dyDescent="0.35">
      <c r="A219" s="13" t="s">
        <v>849</v>
      </c>
      <c r="B219" s="14" t="s">
        <v>1550</v>
      </c>
      <c r="D219" s="13" t="str">
        <f>IF(NodesData[[#This Row],[Class Disambiguation]]="",NodesData[[#This Row],[Common Name]],NodesData[[#This Row],[Common Name]]&amp;" ("&amp;NodesData[[#This Row],[Class Disambiguation]]&amp;")")</f>
        <v>Identity-Aware Proxy</v>
      </c>
      <c r="E219" s="13" t="s">
        <v>850</v>
      </c>
      <c r="F219" s="20" t="str" cm="1">
        <f t="array" ref="F219">"n"&amp;SUBSTITUTE(CreateGuidString(),"-","_")</f>
        <v>n64148F7D_DB71_4707_8EA2_578B313E529F</v>
      </c>
    </row>
    <row r="220" spans="1:6" x14ac:dyDescent="0.35">
      <c r="A220" s="13" t="s">
        <v>851</v>
      </c>
      <c r="B220" s="14" t="s">
        <v>1562</v>
      </c>
      <c r="C220" s="13" t="s">
        <v>1270</v>
      </c>
      <c r="D220" s="13" t="str">
        <f>IF(NodesData[[#This Row],[Class Disambiguation]]="",NodesData[[#This Row],[Common Name]],NodesData[[#This Row],[Common Name]]&amp;" ("&amp;NodesData[[#This Row],[Class Disambiguation]]&amp;")")</f>
        <v>IdMS (Acronym)</v>
      </c>
      <c r="E220" s="13" t="s">
        <v>852</v>
      </c>
      <c r="F220" s="20" t="str" cm="1">
        <f t="array" ref="F220">"n"&amp;SUBSTITUTE(CreateGuidString(),"-","_")</f>
        <v>nFC929A15_8B70_4C70_9C64_D662A4C1A1F0</v>
      </c>
    </row>
    <row r="221" spans="1:6" x14ac:dyDescent="0.35">
      <c r="A221" s="13" t="s">
        <v>853</v>
      </c>
      <c r="B221" s="14" t="s">
        <v>1563</v>
      </c>
      <c r="C221" s="13" t="s">
        <v>1270</v>
      </c>
      <c r="D221" s="13" t="str">
        <f>IF(NodesData[[#This Row],[Class Disambiguation]]="",NodesData[[#This Row],[Common Name]],NodesData[[#This Row],[Common Name]]&amp;" ("&amp;NodesData[[#This Row],[Class Disambiguation]]&amp;")")</f>
        <v>IdP (Acronym)</v>
      </c>
      <c r="E221" s="13" t="s">
        <v>854</v>
      </c>
      <c r="F221" s="20" t="str" cm="1">
        <f t="array" ref="F221">"n"&amp;SUBSTITUTE(CreateGuidString(),"-","_")</f>
        <v>n256F6B1A_9499_4EB6_83A9_85E9623ECE65</v>
      </c>
    </row>
    <row r="222" spans="1:6" x14ac:dyDescent="0.35">
      <c r="A222" s="13" t="s">
        <v>855</v>
      </c>
      <c r="B222" s="14" t="s">
        <v>1564</v>
      </c>
      <c r="C222" s="13" t="s">
        <v>1270</v>
      </c>
      <c r="D222" s="13" t="str">
        <f>IF(NodesData[[#This Row],[Class Disambiguation]]="",NodesData[[#This Row],[Common Name]],NodesData[[#This Row],[Common Name]]&amp;" ("&amp;NodesData[[#This Row],[Class Disambiguation]]&amp;")")</f>
        <v>IMG (Acronym)</v>
      </c>
      <c r="E222" s="13" t="s">
        <v>856</v>
      </c>
      <c r="F222" s="20" t="str" cm="1">
        <f t="array" ref="F222">"n"&amp;SUBSTITUTE(CreateGuidString(),"-","_")</f>
        <v>nF320B517_0AAE_470B_8C61_86BE84A24488</v>
      </c>
    </row>
    <row r="223" spans="1:6" x14ac:dyDescent="0.35">
      <c r="A223" s="13" t="s">
        <v>857</v>
      </c>
      <c r="B223" s="14" t="s">
        <v>1565</v>
      </c>
      <c r="D223" s="13" t="str">
        <f>IF(NodesData[[#This Row],[Class Disambiguation]]="",NodesData[[#This Row],[Common Name]],NodesData[[#This Row],[Common Name]]&amp;" ("&amp;NodesData[[#This Row],[Class Disambiguation]]&amp;")")</f>
        <v>Impersonation</v>
      </c>
      <c r="E223" s="13" t="s">
        <v>858</v>
      </c>
      <c r="F223" s="20" t="str" cm="1">
        <f t="array" ref="F223">"n"&amp;SUBSTITUTE(CreateGuidString(),"-","_")</f>
        <v>nF778894C_BC0E_42C6_91F9_B019B54DDCE2</v>
      </c>
    </row>
    <row r="224" spans="1:6" x14ac:dyDescent="0.35">
      <c r="A224" s="13" t="s">
        <v>1298</v>
      </c>
      <c r="B224" s="14" t="s">
        <v>1584</v>
      </c>
      <c r="D224" s="13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F224" s="20" t="str" cm="1">
        <f t="array" ref="F224">"n"&amp;SUBSTITUTE(CreateGuidString(),"-","_")</f>
        <v>nC1D57B9C_AD07_4787_9F6F_6B7E4180414C</v>
      </c>
    </row>
    <row r="225" spans="1:6" x14ac:dyDescent="0.35">
      <c r="A225" s="13" t="s">
        <v>859</v>
      </c>
      <c r="B225" s="14" t="s">
        <v>1567</v>
      </c>
      <c r="D225" s="13" t="str">
        <f>IF(NodesData[[#This Row],[Class Disambiguation]]="",NodesData[[#This Row],[Common Name]],NodesData[[#This Row],[Common Name]]&amp;" ("&amp;NodesData[[#This Row],[Class Disambiguation]]&amp;")")</f>
        <v>Information</v>
      </c>
      <c r="E225" s="13" t="s">
        <v>860</v>
      </c>
      <c r="F225" s="20" t="str" cm="1">
        <f t="array" ref="F225">"n"&amp;SUBSTITUTE(CreateGuidString(),"-","_")</f>
        <v>n5743ACCA_17C7_453A_8FCD_8B5C43C6DED8</v>
      </c>
    </row>
    <row r="226" spans="1:6" x14ac:dyDescent="0.35">
      <c r="A226" s="13" t="s">
        <v>861</v>
      </c>
      <c r="B226" s="14" t="s">
        <v>1568</v>
      </c>
      <c r="D226" s="13" t="str">
        <f>IF(NodesData[[#This Row],[Class Disambiguation]]="",NodesData[[#This Row],[Common Name]],NodesData[[#This Row],[Common Name]]&amp;" ("&amp;NodesData[[#This Row],[Class Disambiguation]]&amp;")")</f>
        <v>Information Asset</v>
      </c>
      <c r="E226" s="13" t="s">
        <v>862</v>
      </c>
      <c r="F226" s="20" t="str" cm="1">
        <f t="array" ref="F226">"n"&amp;SUBSTITUTE(CreateGuidString(),"-","_")</f>
        <v>n6493CFD9_ACE5_4288_A61D_C7C64C6BBDCB</v>
      </c>
    </row>
    <row r="227" spans="1:6" x14ac:dyDescent="0.35">
      <c r="A227" s="13" t="s">
        <v>863</v>
      </c>
      <c r="B227" s="14" t="s">
        <v>1569</v>
      </c>
      <c r="D227" s="13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E227" s="13" t="s">
        <v>864</v>
      </c>
      <c r="F227" s="20" t="str" cm="1">
        <f t="array" ref="F227">"n"&amp;SUBSTITUTE(CreateGuidString(),"-","_")</f>
        <v>nC9E8D120_DB66_4EC1_A07C_8BD2A2948C31</v>
      </c>
    </row>
    <row r="228" spans="1:6" x14ac:dyDescent="0.35">
      <c r="A228" s="13" t="s">
        <v>865</v>
      </c>
      <c r="B228" s="14" t="s">
        <v>1570</v>
      </c>
      <c r="D228" s="13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E228" s="13" t="s">
        <v>866</v>
      </c>
      <c r="F228" s="20" t="str" cm="1">
        <f t="array" ref="F228">"n"&amp;SUBSTITUTE(CreateGuidString(),"-","_")</f>
        <v>n4AF8F5AF_8D11_4CB4_A4F9_02B078448B47</v>
      </c>
    </row>
    <row r="229" spans="1:6" x14ac:dyDescent="0.35">
      <c r="A229" s="13" t="s">
        <v>867</v>
      </c>
      <c r="B229" s="14" t="s">
        <v>1571</v>
      </c>
      <c r="D229" s="13" t="str">
        <f>IF(NodesData[[#This Row],[Class Disambiguation]]="",NodesData[[#This Row],[Common Name]],NodesData[[#This Row],[Common Name]]&amp;" ("&amp;NodesData[[#This Row],[Class Disambiguation]]&amp;")")</f>
        <v>Information Owner</v>
      </c>
      <c r="E229" s="13" t="s">
        <v>868</v>
      </c>
      <c r="F229" s="20" t="str" cm="1">
        <f t="array" ref="F229">"n"&amp;SUBSTITUTE(CreateGuidString(),"-","_")</f>
        <v>n9185CFD7_148A_4302_8596_AB26C89901F5</v>
      </c>
    </row>
    <row r="230" spans="1:6" x14ac:dyDescent="0.35">
      <c r="A230" s="13" t="s">
        <v>247</v>
      </c>
      <c r="B230" s="14" t="s">
        <v>1572</v>
      </c>
      <c r="D230" s="13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E230" s="13" t="s">
        <v>869</v>
      </c>
      <c r="F230" s="20" t="str" cm="1">
        <f t="array" ref="F230">"n"&amp;SUBSTITUTE(CreateGuidString(),"-","_")</f>
        <v>n358763FE_C2A8_48E3_BCCD_64367482F699</v>
      </c>
    </row>
    <row r="231" spans="1:6" x14ac:dyDescent="0.35">
      <c r="A231" s="13" t="s">
        <v>248</v>
      </c>
      <c r="B231" s="14" t="s">
        <v>1573</v>
      </c>
      <c r="D231" s="13" t="str">
        <f>IF(NodesData[[#This Row],[Class Disambiguation]]="",NodesData[[#This Row],[Common Name]],NodesData[[#This Row],[Common Name]]&amp;" ("&amp;NodesData[[#This Row],[Class Disambiguation]]&amp;")")</f>
        <v>Information System</v>
      </c>
      <c r="E231" s="13" t="s">
        <v>870</v>
      </c>
      <c r="F231" s="20" t="str" cm="1">
        <f t="array" ref="F231">"n"&amp;SUBSTITUTE(CreateGuidString(),"-","_")</f>
        <v>n9A780C4A_126E_4136_92D2_86B95BA31181</v>
      </c>
    </row>
    <row r="232" spans="1:6" x14ac:dyDescent="0.35">
      <c r="A232" s="13" t="s">
        <v>1294</v>
      </c>
      <c r="B232" s="14" t="s">
        <v>1574</v>
      </c>
      <c r="D232" s="13" t="str">
        <f>IF(NodesData[[#This Row],[Class Disambiguation]]="",NodesData[[#This Row],[Common Name]],NodesData[[#This Row],[Common Name]]&amp;" ("&amp;NodesData[[#This Row],[Class Disambiguation]]&amp;")")</f>
        <v>Inherence Factor</v>
      </c>
      <c r="F232" s="20" t="str" cm="1">
        <f t="array" ref="F232">"n"&amp;SUBSTITUTE(CreateGuidString(),"-","_")</f>
        <v>n34670912_63D7_449B_BB79_A49A2B7E3373</v>
      </c>
    </row>
    <row r="233" spans="1:6" x14ac:dyDescent="0.35">
      <c r="A233" s="13" t="s">
        <v>250</v>
      </c>
      <c r="B233" s="14" t="s">
        <v>1575</v>
      </c>
      <c r="D233" s="13" t="str">
        <f>IF(NodesData[[#This Row],[Class Disambiguation]]="",NodesData[[#This Row],[Common Name]],NodesData[[#This Row],[Common Name]]&amp;" ("&amp;NodesData[[#This Row],[Class Disambiguation]]&amp;")")</f>
        <v>Inside Attacker</v>
      </c>
      <c r="E233" s="13" t="s">
        <v>871</v>
      </c>
      <c r="F233" s="20" t="str" cm="1">
        <f t="array" ref="F233">"n"&amp;SUBSTITUTE(CreateGuidString(),"-","_")</f>
        <v>n3D3BC6A7_F4E3_4263_AD8B_413CF0525D7E</v>
      </c>
    </row>
    <row r="234" spans="1:6" x14ac:dyDescent="0.35">
      <c r="A234" s="13" t="s">
        <v>251</v>
      </c>
      <c r="B234" s="14" t="s">
        <v>1576</v>
      </c>
      <c r="D234" s="13" t="str">
        <f>IF(NodesData[[#This Row],[Class Disambiguation]]="",NodesData[[#This Row],[Common Name]],NodesData[[#This Row],[Common Name]]&amp;" ("&amp;NodesData[[#This Row],[Class Disambiguation]]&amp;")")</f>
        <v>Insider</v>
      </c>
      <c r="E234" s="13" t="s">
        <v>872</v>
      </c>
      <c r="F234" s="20" t="str" cm="1">
        <f t="array" ref="F234">"n"&amp;SUBSTITUTE(CreateGuidString(),"-","_")</f>
        <v>n1659D894_4E26_418F_A1A1_011333E6A5F2</v>
      </c>
    </row>
    <row r="235" spans="1:6" x14ac:dyDescent="0.35">
      <c r="A235" s="13" t="s">
        <v>252</v>
      </c>
      <c r="B235" s="14" t="s">
        <v>1577</v>
      </c>
      <c r="D235" s="13" t="str">
        <f>IF(NodesData[[#This Row],[Class Disambiguation]]="",NodesData[[#This Row],[Common Name]],NodesData[[#This Row],[Common Name]]&amp;" ("&amp;NodesData[[#This Row],[Class Disambiguation]]&amp;")")</f>
        <v>Insider Attack</v>
      </c>
      <c r="E235" s="13" t="s">
        <v>873</v>
      </c>
      <c r="F235" s="20" t="str" cm="1">
        <f t="array" ref="F235">"n"&amp;SUBSTITUTE(CreateGuidString(),"-","_")</f>
        <v>n6318FE2A_A38B_425A_8FC5_DD03578824B5</v>
      </c>
    </row>
    <row r="236" spans="1:6" x14ac:dyDescent="0.35">
      <c r="A236" s="13" t="s">
        <v>253</v>
      </c>
      <c r="B236" s="14" t="s">
        <v>1578</v>
      </c>
      <c r="D236" s="13" t="str">
        <f>IF(NodesData[[#This Row],[Class Disambiguation]]="",NodesData[[#This Row],[Common Name]],NodesData[[#This Row],[Common Name]]&amp;" ("&amp;NodesData[[#This Row],[Class Disambiguation]]&amp;")")</f>
        <v>Insider Threat</v>
      </c>
      <c r="E236" s="13" t="s">
        <v>874</v>
      </c>
      <c r="F236" s="20" t="str" cm="1">
        <f t="array" ref="F236">"n"&amp;SUBSTITUTE(CreateGuidString(),"-","_")</f>
        <v>n0C9DF8C8_F3CB_4811_ADCC_0A190901A4C6</v>
      </c>
    </row>
    <row r="237" spans="1:6" x14ac:dyDescent="0.35">
      <c r="A237" s="13" t="s">
        <v>875</v>
      </c>
      <c r="B237" s="14" t="s">
        <v>1579</v>
      </c>
      <c r="D237" s="13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E237" s="13" t="s">
        <v>876</v>
      </c>
      <c r="F237" s="20" t="str" cm="1">
        <f t="array" ref="F237">"n"&amp;SUBSTITUTE(CreateGuidString(),"-","_")</f>
        <v>nA9A94886_C454_4D2E_9094_43E8B3199B45</v>
      </c>
    </row>
    <row r="238" spans="1:6" x14ac:dyDescent="0.35">
      <c r="A238" s="13" t="s">
        <v>877</v>
      </c>
      <c r="B238" s="14" t="s">
        <v>1580</v>
      </c>
      <c r="D238" s="13" t="str">
        <f>IF(NodesData[[#This Row],[Class Disambiguation]]="",NodesData[[#This Row],[Common Name]],NodesData[[#This Row],[Common Name]]&amp;" ("&amp;NodesData[[#This Row],[Class Disambiguation]]&amp;")")</f>
        <v>Intentional Error</v>
      </c>
      <c r="E238" s="13" t="s">
        <v>878</v>
      </c>
      <c r="F238" s="20" t="str" cm="1">
        <f t="array" ref="F238">"n"&amp;SUBSTITUTE(CreateGuidString(),"-","_")</f>
        <v>nCD42E545_0874_4BA7_B1C8_BA1FBFDBA879</v>
      </c>
    </row>
    <row r="239" spans="1:6" x14ac:dyDescent="0.35">
      <c r="A239" s="13" t="s">
        <v>879</v>
      </c>
      <c r="B239" s="14" t="s">
        <v>1581</v>
      </c>
      <c r="D239" s="13" t="str">
        <f>IF(NodesData[[#This Row],[Class Disambiguation]]="",NodesData[[#This Row],[Common Name]],NodesData[[#This Row],[Common Name]]&amp;" ("&amp;NodesData[[#This Row],[Class Disambiguation]]&amp;")")</f>
        <v>Interested Party</v>
      </c>
      <c r="E239" s="13" t="s">
        <v>880</v>
      </c>
      <c r="F239" s="20" t="str" cm="1">
        <f t="array" ref="F239">"n"&amp;SUBSTITUTE(CreateGuidString(),"-","_")</f>
        <v>nD6EC85F9_9554_48C0_B82F_64B83A44BBF5</v>
      </c>
    </row>
    <row r="240" spans="1:6" x14ac:dyDescent="0.35">
      <c r="A240" s="13" t="s">
        <v>881</v>
      </c>
      <c r="B240" s="14" t="s">
        <v>1582</v>
      </c>
      <c r="D240" s="13" t="str">
        <f>IF(NodesData[[#This Row],[Class Disambiguation]]="",NodesData[[#This Row],[Common Name]],NodesData[[#This Row],[Common Name]]&amp;" ("&amp;NodesData[[#This Row],[Class Disambiguation]]&amp;")")</f>
        <v>Interoperability</v>
      </c>
      <c r="E240" s="13" t="s">
        <v>882</v>
      </c>
      <c r="F240" s="20" t="str" cm="1">
        <f t="array" ref="F240">"n"&amp;SUBSTITUTE(CreateGuidString(),"-","_")</f>
        <v>n6464BB80_0E54_4355_A0A0_A8DFDE6E39FA</v>
      </c>
    </row>
    <row r="241" spans="1:6" x14ac:dyDescent="0.35">
      <c r="A241" s="13" t="s">
        <v>883</v>
      </c>
      <c r="B241" s="14" t="s">
        <v>1583</v>
      </c>
      <c r="D241" s="13" t="str">
        <f>IF(NodesData[[#This Row],[Class Disambiguation]]="",NodesData[[#This Row],[Common Name]],NodesData[[#This Row],[Common Name]]&amp;" ("&amp;NodesData[[#This Row],[Class Disambiguation]]&amp;")")</f>
        <v>Interval Scale</v>
      </c>
      <c r="E241" s="13" t="s">
        <v>884</v>
      </c>
      <c r="F241" s="20" t="str" cm="1">
        <f t="array" ref="F241">"n"&amp;SUBSTITUTE(CreateGuidString(),"-","_")</f>
        <v>nC11007AB_491E_4139_ADE6_CB2826FF4A29</v>
      </c>
    </row>
    <row r="242" spans="1:6" x14ac:dyDescent="0.35">
      <c r="A242" s="13" t="s">
        <v>1310</v>
      </c>
      <c r="B242" s="14" t="s">
        <v>1597</v>
      </c>
      <c r="D242" s="13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F242" s="20" t="str" cm="1">
        <f t="array" ref="F242">"n"&amp;SUBSTITUTE(CreateGuidString(),"-","_")</f>
        <v>n7291042D_48A3_4689_AB73_7683E0C13067</v>
      </c>
    </row>
    <row r="243" spans="1:6" x14ac:dyDescent="0.35">
      <c r="A243" s="13" t="s">
        <v>885</v>
      </c>
      <c r="B243" s="14" t="s">
        <v>1585</v>
      </c>
      <c r="D243" s="13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E243" s="13" t="s">
        <v>886</v>
      </c>
      <c r="F243" s="20" t="str" cm="1">
        <f t="array" ref="F243">"n"&amp;SUBSTITUTE(CreateGuidString(),"-","_")</f>
        <v>n642D166C_2010_47C4_87C9_B6BF845FDCA2</v>
      </c>
    </row>
    <row r="244" spans="1:6" x14ac:dyDescent="0.35">
      <c r="A244" s="13" t="s">
        <v>887</v>
      </c>
      <c r="B244" s="14" t="s">
        <v>1586</v>
      </c>
      <c r="D244" s="13" t="str">
        <f>IF(NodesData[[#This Row],[Class Disambiguation]]="",NodesData[[#This Row],[Common Name]],NodesData[[#This Row],[Common Name]]&amp;" ("&amp;NodesData[[#This Row],[Class Disambiguation]]&amp;")")</f>
        <v>IT Asset Scope</v>
      </c>
      <c r="E244" s="13" t="s">
        <v>888</v>
      </c>
      <c r="F244" s="20" t="str" cm="1">
        <f t="array" ref="F244">"n"&amp;SUBSTITUTE(CreateGuidString(),"-","_")</f>
        <v>n5451D704_DB5E_44A3_8889_F61E57B4AC53</v>
      </c>
    </row>
    <row r="245" spans="1:6" x14ac:dyDescent="0.35">
      <c r="A245" s="13" t="s">
        <v>1341</v>
      </c>
      <c r="B245" s="14" t="s">
        <v>1842</v>
      </c>
      <c r="D245" s="19" t="str">
        <f>IF(NodesData[[#This Row],[Class Disambiguation]]="",NodesData[[#This Row],[Common Name]],NodesData[[#This Row],[Common Name]]&amp;" ("&amp;NodesData[[#This Row],[Class Disambiguation]]&amp;")")</f>
        <v>IT Component</v>
      </c>
      <c r="F245" s="20" t="str" cm="1">
        <f t="array" ref="F245">"n"&amp;SUBSTITUTE(CreateGuidString(),"-","_")</f>
        <v>nA3CDB296_18A0_4EB0_BB6E_E5E0C7B60E23</v>
      </c>
    </row>
    <row r="246" spans="1:6" x14ac:dyDescent="0.35">
      <c r="A246" s="13" t="s">
        <v>1342</v>
      </c>
      <c r="B246" s="14" t="s">
        <v>1846</v>
      </c>
      <c r="D246" s="19" t="str">
        <f>IF(NodesData[[#This Row],[Class Disambiguation]]="",NodesData[[#This Row],[Common Name]],NodesData[[#This Row],[Common Name]]&amp;" ("&amp;NodesData[[#This Row],[Class Disambiguation]]&amp;")")</f>
        <v>IT Hardware</v>
      </c>
      <c r="F246" s="21" t="str" cm="1">
        <f t="array" ref="F246">"n"&amp;SUBSTITUTE(CreateGuidString(),"-","_")</f>
        <v>n4056645C_F29E_4D83_9A76_09813680781A</v>
      </c>
    </row>
    <row r="247" spans="1:6" x14ac:dyDescent="0.35">
      <c r="A247" s="13" t="s">
        <v>1344</v>
      </c>
      <c r="B247" s="14" t="s">
        <v>1847</v>
      </c>
      <c r="D247" s="19" t="str">
        <f>IF(NodesData[[#This Row],[Class Disambiguation]]="",NodesData[[#This Row],[Common Name]],NodesData[[#This Row],[Common Name]]&amp;" ("&amp;NodesData[[#This Row],[Class Disambiguation]]&amp;")")</f>
        <v>IT Software</v>
      </c>
      <c r="F247" s="21" t="str" cm="1">
        <f t="array" ref="F247">"n"&amp;SUBSTITUTE(CreateGuidString(),"-","_")</f>
        <v>n22D25EE4_BCAC_4409_9CCB_128CB8AA0F6E</v>
      </c>
    </row>
    <row r="248" spans="1:6" x14ac:dyDescent="0.35">
      <c r="A248" s="13" t="s">
        <v>261</v>
      </c>
      <c r="B248" s="14" t="s">
        <v>1587</v>
      </c>
      <c r="D248" s="13" t="str">
        <f>IF(NodesData[[#This Row],[Class Disambiguation]]="",NodesData[[#This Row],[Common Name]],NodesData[[#This Row],[Common Name]]&amp;" ("&amp;NodesData[[#This Row],[Class Disambiguation]]&amp;")")</f>
        <v>IT System</v>
      </c>
      <c r="E248" s="13" t="s">
        <v>889</v>
      </c>
      <c r="F248" s="20" t="str" cm="1">
        <f t="array" ref="F248">"n"&amp;SUBSTITUTE(CreateGuidString(),"-","_")</f>
        <v>n6DC3C92C_F965_4E28_B2A4_3CEC3FF4437F</v>
      </c>
    </row>
    <row r="249" spans="1:6" x14ac:dyDescent="0.35">
      <c r="A249" s="13" t="s">
        <v>890</v>
      </c>
      <c r="B249" s="14" t="s">
        <v>1588</v>
      </c>
      <c r="C249" s="13" t="s">
        <v>1270</v>
      </c>
      <c r="D249" s="13" t="str">
        <f>IF(NodesData[[#This Row],[Class Disambiguation]]="",NodesData[[#This Row],[Common Name]],NodesData[[#This Row],[Common Name]]&amp;" ("&amp;NodesData[[#This Row],[Class Disambiguation]]&amp;")")</f>
        <v>JML (Acronym)</v>
      </c>
      <c r="E249" s="13" t="s">
        <v>891</v>
      </c>
      <c r="F249" s="20" t="str" cm="1">
        <f t="array" ref="F249">"n"&amp;SUBSTITUTE(CreateGuidString(),"-","_")</f>
        <v>n8254CEF6_BF76_477B_9EC2_E4119F38CAE9</v>
      </c>
    </row>
    <row r="250" spans="1:6" x14ac:dyDescent="0.35">
      <c r="A250" s="13" t="s">
        <v>892</v>
      </c>
      <c r="B250" s="14" t="s">
        <v>1589</v>
      </c>
      <c r="D250" s="13" t="str">
        <f>IF(NodesData[[#This Row],[Class Disambiguation]]="",NodesData[[#This Row],[Common Name]],NodesData[[#This Row],[Common Name]]&amp;" ("&amp;NodesData[[#This Row],[Class Disambiguation]]&amp;")")</f>
        <v>Joiner</v>
      </c>
      <c r="E250" s="13" t="s">
        <v>893</v>
      </c>
      <c r="F250" s="20" t="str" cm="1">
        <f t="array" ref="F250">"n"&amp;SUBSTITUTE(CreateGuidString(),"-","_")</f>
        <v>n93958701_C5E7_4FCD_846D_41D00552FC2C</v>
      </c>
    </row>
    <row r="251" spans="1:6" x14ac:dyDescent="0.35">
      <c r="A251" s="13" t="s">
        <v>894</v>
      </c>
      <c r="B251" s="14" t="s">
        <v>1590</v>
      </c>
      <c r="D251" s="13" t="str">
        <f>IF(NodesData[[#This Row],[Class Disambiguation]]="",NodesData[[#This Row],[Common Name]],NodesData[[#This Row],[Common Name]]&amp;" ("&amp;NodesData[[#This Row],[Class Disambiguation]]&amp;")")</f>
        <v>Joiner Hire Date</v>
      </c>
      <c r="E251" s="13" t="s">
        <v>895</v>
      </c>
      <c r="F251" s="20" t="str" cm="1">
        <f t="array" ref="F251">"n"&amp;SUBSTITUTE(CreateGuidString(),"-","_")</f>
        <v>n5C514EAB_50C0_4FA9_AD32_E6E4D6B249B7</v>
      </c>
    </row>
    <row r="252" spans="1:6" x14ac:dyDescent="0.35">
      <c r="A252" s="13" t="s">
        <v>896</v>
      </c>
      <c r="B252" s="14" t="s">
        <v>1591</v>
      </c>
      <c r="D252" s="13" t="str">
        <f>IF(NodesData[[#This Row],[Class Disambiguation]]="",NodesData[[#This Row],[Common Name]],NodesData[[#This Row],[Common Name]]&amp;" ("&amp;NodesData[[#This Row],[Class Disambiguation]]&amp;")")</f>
        <v>Joiner Lead Time</v>
      </c>
      <c r="E252" s="13" t="s">
        <v>897</v>
      </c>
      <c r="F252" s="20" t="str" cm="1">
        <f t="array" ref="F252">"n"&amp;SUBSTITUTE(CreateGuidString(),"-","_")</f>
        <v>n4D939D4F_721A_441B_AD82_DA90FA3C1543</v>
      </c>
    </row>
    <row r="253" spans="1:6" x14ac:dyDescent="0.35">
      <c r="A253" s="13" t="s">
        <v>898</v>
      </c>
      <c r="B253" s="14" t="s">
        <v>1592</v>
      </c>
      <c r="D253" s="13" t="str">
        <f>IF(NodesData[[#This Row],[Class Disambiguation]]="",NodesData[[#This Row],[Common Name]],NodesData[[#This Row],[Common Name]]&amp;" ("&amp;NodesData[[#This Row],[Class Disambiguation]]&amp;")")</f>
        <v>Joiner Process</v>
      </c>
      <c r="E253" s="13" t="s">
        <v>899</v>
      </c>
      <c r="F253" s="20" t="str" cm="1">
        <f t="array" ref="F253">"n"&amp;SUBSTITUTE(CreateGuidString(),"-","_")</f>
        <v>nF7679923_28A7_4C32_84E6_904C010F9CF1</v>
      </c>
    </row>
    <row r="254" spans="1:6" x14ac:dyDescent="0.35">
      <c r="A254" s="13" t="s">
        <v>900</v>
      </c>
      <c r="B254" s="14" t="s">
        <v>1593</v>
      </c>
      <c r="D254" s="13" t="str">
        <f>IF(NodesData[[#This Row],[Class Disambiguation]]="",NodesData[[#This Row],[Common Name]],NodesData[[#This Row],[Common Name]]&amp;" ("&amp;NodesData[[#This Row],[Class Disambiguation]]&amp;")")</f>
        <v>Joiner Start Date</v>
      </c>
      <c r="E254" s="13" t="s">
        <v>901</v>
      </c>
      <c r="F254" s="20" t="str" cm="1">
        <f t="array" ref="F254">"n"&amp;SUBSTITUTE(CreateGuidString(),"-","_")</f>
        <v>n3CEED6AC_EAA2_4D48_8402_61563ED8C3E3</v>
      </c>
    </row>
    <row r="255" spans="1:6" x14ac:dyDescent="0.35">
      <c r="A255" s="13" t="s">
        <v>902</v>
      </c>
      <c r="B255" s="14" t="s">
        <v>1594</v>
      </c>
      <c r="D255" s="13" t="str">
        <f>IF(NodesData[[#This Row],[Class Disambiguation]]="",NodesData[[#This Row],[Common Name]],NodesData[[#This Row],[Common Name]]&amp;" ("&amp;NodesData[[#This Row],[Class Disambiguation]]&amp;")")</f>
        <v>Key Criteria Type</v>
      </c>
      <c r="E255" s="13" t="s">
        <v>903</v>
      </c>
      <c r="F255" s="20" t="str" cm="1">
        <f t="array" ref="F255">"n"&amp;SUBSTITUTE(CreateGuidString(),"-","_")</f>
        <v>n4164F9FE_F1AD_4AC7_968A_093140A75DC6</v>
      </c>
    </row>
    <row r="256" spans="1:6" x14ac:dyDescent="0.35">
      <c r="A256" s="13" t="s">
        <v>904</v>
      </c>
      <c r="B256" s="14" t="s">
        <v>1595</v>
      </c>
      <c r="D256" s="13" t="str">
        <f>IF(NodesData[[#This Row],[Class Disambiguation]]="",NodesData[[#This Row],[Common Name]],NodesData[[#This Row],[Common Name]]&amp;" ("&amp;NodesData[[#This Row],[Class Disambiguation]]&amp;")")</f>
        <v>Key Information</v>
      </c>
      <c r="E256" s="13" t="s">
        <v>905</v>
      </c>
      <c r="F256" s="20" t="str" cm="1">
        <f t="array" ref="F256">"n"&amp;SUBSTITUTE(CreateGuidString(),"-","_")</f>
        <v>nB660A7FB_7469_4761_85EB_2D7B95155490</v>
      </c>
    </row>
    <row r="257" spans="1:6" x14ac:dyDescent="0.35">
      <c r="A257" s="13" t="s">
        <v>906</v>
      </c>
      <c r="B257" s="14" t="s">
        <v>1596</v>
      </c>
      <c r="D257" s="13" t="str">
        <f>IF(NodesData[[#This Row],[Class Disambiguation]]="",NodesData[[#This Row],[Common Name]],NodesData[[#This Row],[Common Name]]&amp;" ("&amp;NodesData[[#This Row],[Class Disambiguation]]&amp;")")</f>
        <v>Keying Material</v>
      </c>
      <c r="E257" s="13" t="s">
        <v>907</v>
      </c>
      <c r="F257" s="20" t="str" cm="1">
        <f t="array" ref="F257">"n"&amp;SUBSTITUTE(CreateGuidString(),"-","_")</f>
        <v>n78B08024_E415_4E6F_B8AA_D084487D3957</v>
      </c>
    </row>
    <row r="258" spans="1:6" x14ac:dyDescent="0.35">
      <c r="A258" s="13" t="s">
        <v>1311</v>
      </c>
      <c r="B258" s="14" t="s">
        <v>1599</v>
      </c>
      <c r="D258" s="13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F258" s="20" t="str" cm="1">
        <f t="array" ref="F258">"n"&amp;SUBSTITUTE(CreateGuidString(),"-","_")</f>
        <v>n9A54E39C_04E7_4E54_A225_B683087C5A46</v>
      </c>
    </row>
    <row r="259" spans="1:6" x14ac:dyDescent="0.35">
      <c r="A259" s="13" t="s">
        <v>2</v>
      </c>
      <c r="B259" s="14" t="s">
        <v>1598</v>
      </c>
      <c r="D259" s="13" t="str">
        <f>IF(NodesData[[#This Row],[Class Disambiguation]]="",NodesData[[#This Row],[Common Name]],NodesData[[#This Row],[Common Name]]&amp;" ("&amp;NodesData[[#This Row],[Class Disambiguation]]&amp;")")</f>
        <v>Knowledge Factor</v>
      </c>
      <c r="F259" s="20" t="str" cm="1">
        <f t="array" ref="F259">"n"&amp;SUBSTITUTE(CreateGuidString(),"-","_")</f>
        <v>n12523D6A_50C8_470F_98BE_8E79EDC312CD</v>
      </c>
    </row>
    <row r="260" spans="1:6" x14ac:dyDescent="0.35">
      <c r="A260" s="13" t="s">
        <v>1313</v>
      </c>
      <c r="B260" s="14" t="s">
        <v>1620</v>
      </c>
      <c r="D260" s="13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F260" s="20" t="str" cm="1">
        <f t="array" ref="F260">"n"&amp;SUBSTITUTE(CreateGuidString(),"-","_")</f>
        <v>nC88BEE69_3C13_4F92_9455_8BC6AC373824</v>
      </c>
    </row>
    <row r="261" spans="1:6" x14ac:dyDescent="0.35">
      <c r="A261" s="13" t="s">
        <v>908</v>
      </c>
      <c r="B261" s="14" t="s">
        <v>1600</v>
      </c>
      <c r="C261" s="13" t="s">
        <v>1270</v>
      </c>
      <c r="D261" s="13" t="str">
        <f>IF(NodesData[[#This Row],[Class Disambiguation]]="",NodesData[[#This Row],[Common Name]],NodesData[[#This Row],[Common Name]]&amp;" ("&amp;NodesData[[#This Row],[Class Disambiguation]]&amp;")")</f>
        <v>KYC (Acronym)</v>
      </c>
      <c r="E261" s="13" t="s">
        <v>909</v>
      </c>
      <c r="F261" s="20" t="str" cm="1">
        <f t="array" ref="F261">"n"&amp;SUBSTITUTE(CreateGuidString(),"-","_")</f>
        <v>n3E577C0C_9AED_4E76_9B95_13D069557A7D</v>
      </c>
    </row>
    <row r="262" spans="1:6" x14ac:dyDescent="0.35">
      <c r="A262" s="13" t="s">
        <v>910</v>
      </c>
      <c r="B262" s="14" t="s">
        <v>1601</v>
      </c>
      <c r="D262" s="13" t="str">
        <f>IF(NodesData[[#This Row],[Class Disambiguation]]="",NodesData[[#This Row],[Common Name]],NodesData[[#This Row],[Common Name]]&amp;" ("&amp;NodesData[[#This Row],[Class Disambiguation]]&amp;")")</f>
        <v>KYC Registry</v>
      </c>
      <c r="E262" s="13" t="s">
        <v>911</v>
      </c>
      <c r="F262" s="20" t="str" cm="1">
        <f t="array" ref="F262">"n"&amp;SUBSTITUTE(CreateGuidString(),"-","_")</f>
        <v>n63B1E483_F21C_4A7B_892E_9B6F3BE6E090</v>
      </c>
    </row>
    <row r="263" spans="1:6" x14ac:dyDescent="0.35">
      <c r="A263" s="13" t="s">
        <v>912</v>
      </c>
      <c r="B263" s="14" t="s">
        <v>1602</v>
      </c>
      <c r="D263" s="13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E263" s="13" t="s">
        <v>913</v>
      </c>
      <c r="F263" s="20" t="str" cm="1">
        <f t="array" ref="F263">"n"&amp;SUBSTITUTE(CreateGuidString(),"-","_")</f>
        <v>nCE993EAD_BEA5_4ADA_AE61_BA973473E0FD</v>
      </c>
    </row>
    <row r="264" spans="1:6" x14ac:dyDescent="0.35">
      <c r="A264" s="13" t="s">
        <v>914</v>
      </c>
      <c r="B264" s="14" t="s">
        <v>1603</v>
      </c>
      <c r="D264" s="13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E264" s="13" t="s">
        <v>915</v>
      </c>
      <c r="F264" s="20" t="str" cm="1">
        <f t="array" ref="F264">"n"&amp;SUBSTITUTE(CreateGuidString(),"-","_")</f>
        <v>nEDD533C0_5DFD_4128_89EF_FE251350431B</v>
      </c>
    </row>
    <row r="265" spans="1:6" x14ac:dyDescent="0.35">
      <c r="A265" s="13" t="s">
        <v>916</v>
      </c>
      <c r="B265" s="14" t="s">
        <v>1604</v>
      </c>
      <c r="C265" s="13" t="s">
        <v>1270</v>
      </c>
      <c r="D265" s="13" t="str">
        <f>IF(NodesData[[#This Row],[Class Disambiguation]]="",NodesData[[#This Row],[Common Name]],NodesData[[#This Row],[Common Name]]&amp;" ("&amp;NodesData[[#This Row],[Class Disambiguation]]&amp;")")</f>
        <v>LBAC (Acronym)</v>
      </c>
      <c r="E265" s="13" t="s">
        <v>917</v>
      </c>
      <c r="F265" s="20" t="str" cm="1">
        <f t="array" ref="F265">"n"&amp;SUBSTITUTE(CreateGuidString(),"-","_")</f>
        <v>n3594D0ED_DADD_4692_B7DD_0E0DD31C87FB</v>
      </c>
    </row>
    <row r="266" spans="1:6" x14ac:dyDescent="0.35">
      <c r="A266" s="13" t="s">
        <v>918</v>
      </c>
      <c r="B266" s="14" t="s">
        <v>1605</v>
      </c>
      <c r="D266" s="13" t="str">
        <f>IF(NodesData[[#This Row],[Class Disambiguation]]="",NodesData[[#This Row],[Common Name]],NodesData[[#This Row],[Common Name]]&amp;" ("&amp;NodesData[[#This Row],[Class Disambiguation]]&amp;")")</f>
        <v>Leading Indicator</v>
      </c>
      <c r="E266" s="13" t="s">
        <v>919</v>
      </c>
      <c r="F266" s="20" t="str" cm="1">
        <f t="array" ref="F266">"n"&amp;SUBSTITUTE(CreateGuidString(),"-","_")</f>
        <v>n0B5E2BD7_380D_4481_8E1B_322A6414CA4C</v>
      </c>
    </row>
    <row r="267" spans="1:6" x14ac:dyDescent="0.35">
      <c r="A267" s="13" t="s">
        <v>920</v>
      </c>
      <c r="B267" s="14" t="s">
        <v>1606</v>
      </c>
      <c r="D267" s="13" t="str">
        <f>IF(NodesData[[#This Row],[Class Disambiguation]]="",NodesData[[#This Row],[Common Name]],NodesData[[#This Row],[Common Name]]&amp;" ("&amp;NodesData[[#This Row],[Class Disambiguation]]&amp;")")</f>
        <v>Least Privilege</v>
      </c>
      <c r="E267" s="13" t="s">
        <v>921</v>
      </c>
      <c r="F267" s="20" t="str" cm="1">
        <f t="array" ref="F267">"n"&amp;SUBSTITUTE(CreateGuidString(),"-","_")</f>
        <v>nBF165955_CCA7_4740_84A7_51D34294424F</v>
      </c>
    </row>
    <row r="268" spans="1:6" x14ac:dyDescent="0.35">
      <c r="A268" s="13" t="s">
        <v>922</v>
      </c>
      <c r="B268" s="14" t="s">
        <v>1607</v>
      </c>
      <c r="D268" s="13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E268" s="13" t="s">
        <v>923</v>
      </c>
      <c r="F268" s="20" t="str" cm="1">
        <f t="array" ref="F268">"n"&amp;SUBSTITUTE(CreateGuidString(),"-","_")</f>
        <v>n28D44539_81D0_4AAD_8D98_05756DA06DBE</v>
      </c>
    </row>
    <row r="269" spans="1:6" x14ac:dyDescent="0.35">
      <c r="A269" s="13" t="s">
        <v>924</v>
      </c>
      <c r="B269" s="14" t="s">
        <v>1608</v>
      </c>
      <c r="D269" s="13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E269" s="13" t="s">
        <v>925</v>
      </c>
      <c r="F269" s="20" t="str" cm="1">
        <f t="array" ref="F269">"n"&amp;SUBSTITUTE(CreateGuidString(),"-","_")</f>
        <v>n683FA6BC_5670_4E53_AEDA_BCBFE7CFB236</v>
      </c>
    </row>
    <row r="270" spans="1:6" x14ac:dyDescent="0.35">
      <c r="A270" s="13" t="s">
        <v>926</v>
      </c>
      <c r="B270" s="14" t="s">
        <v>1609</v>
      </c>
      <c r="C270" s="13" t="s">
        <v>1270</v>
      </c>
      <c r="D270" s="13" t="str">
        <f>IF(NodesData[[#This Row],[Class Disambiguation]]="",NodesData[[#This Row],[Common Name]],NodesData[[#This Row],[Common Name]]&amp;" ("&amp;NodesData[[#This Row],[Class Disambiguation]]&amp;")")</f>
        <v>LEI (Acronym)</v>
      </c>
      <c r="E270" s="13" t="s">
        <v>927</v>
      </c>
      <c r="F270" s="20" t="str" cm="1">
        <f t="array" ref="F270">"n"&amp;SUBSTITUTE(CreateGuidString(),"-","_")</f>
        <v>n04F7A927_FE8A_44F8_8A7A_B02A498B9725</v>
      </c>
    </row>
    <row r="271" spans="1:6" x14ac:dyDescent="0.35">
      <c r="A271" s="13" t="s">
        <v>928</v>
      </c>
      <c r="B271" s="14" t="s">
        <v>1610</v>
      </c>
      <c r="D271" s="13" t="str">
        <f>IF(NodesData[[#This Row],[Class Disambiguation]]="",NodesData[[#This Row],[Common Name]],NodesData[[#This Row],[Common Name]]&amp;" ("&amp;NodesData[[#This Row],[Class Disambiguation]]&amp;")")</f>
        <v>Levels of Assurance</v>
      </c>
      <c r="E271" s="13" t="s">
        <v>929</v>
      </c>
      <c r="F271" s="20" t="str" cm="1">
        <f t="array" ref="F271">"n"&amp;SUBSTITUTE(CreateGuidString(),"-","_")</f>
        <v>n93721DA0_8DB3_4192_819D_BFC231476670</v>
      </c>
    </row>
    <row r="272" spans="1:6" x14ac:dyDescent="0.35">
      <c r="A272" s="13" t="s">
        <v>930</v>
      </c>
      <c r="B272" s="14" t="s">
        <v>1611</v>
      </c>
      <c r="D272" s="13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E272" s="13" t="s">
        <v>931</v>
      </c>
      <c r="F272" s="20" t="str" cm="1">
        <f t="array" ref="F272">"n"&amp;SUBSTITUTE(CreateGuidString(),"-","_")</f>
        <v>nE99CFAA5_6B7D_437C_A6ED_A3C28B9D6C65</v>
      </c>
    </row>
    <row r="273" spans="1:6" x14ac:dyDescent="0.35">
      <c r="A273" s="13" t="s">
        <v>932</v>
      </c>
      <c r="B273" s="14" t="s">
        <v>1612</v>
      </c>
      <c r="C273" s="13" t="s">
        <v>1270</v>
      </c>
      <c r="D273" s="13" t="str">
        <f>IF(NodesData[[#This Row],[Class Disambiguation]]="",NodesData[[#This Row],[Common Name]],NodesData[[#This Row],[Common Name]]&amp;" ("&amp;NodesData[[#This Row],[Class Disambiguation]]&amp;")")</f>
        <v>LOA (Acronym)</v>
      </c>
      <c r="E273" s="13" t="s">
        <v>933</v>
      </c>
      <c r="F273" s="20" t="str" cm="1">
        <f t="array" ref="F273">"n"&amp;SUBSTITUTE(CreateGuidString(),"-","_")</f>
        <v>n1A174305_C55F_48F1_BB4F_7BA43663D256</v>
      </c>
    </row>
    <row r="274" spans="1:6" x14ac:dyDescent="0.35">
      <c r="A274" s="13" t="s">
        <v>1296</v>
      </c>
      <c r="B274" s="14" t="s">
        <v>1613</v>
      </c>
      <c r="D274" s="13" t="str">
        <f>IF(NodesData[[#This Row],[Class Disambiguation]]="",NodesData[[#This Row],[Common Name]],NodesData[[#This Row],[Common Name]]&amp;" ("&amp;NodesData[[#This Row],[Class Disambiguation]]&amp;")")</f>
        <v>Location Factor</v>
      </c>
      <c r="F274" s="20" t="str" cm="1">
        <f t="array" ref="F274">"n"&amp;SUBSTITUTE(CreateGuidString(),"-","_")</f>
        <v>n39B69CFE_609D_4EE0_AE32_5143D96297FF</v>
      </c>
    </row>
    <row r="275" spans="1:6" x14ac:dyDescent="0.35">
      <c r="A275" s="13" t="s">
        <v>285</v>
      </c>
      <c r="B275" s="14" t="s">
        <v>1614</v>
      </c>
      <c r="D275" s="13" t="str">
        <f>IF(NodesData[[#This Row],[Class Disambiguation]]="",NodesData[[#This Row],[Common Name]],NodesData[[#This Row],[Common Name]]&amp;" ("&amp;NodesData[[#This Row],[Class Disambiguation]]&amp;")")</f>
        <v>Logic Bomb</v>
      </c>
      <c r="E275" s="13" t="s">
        <v>934</v>
      </c>
      <c r="F275" s="20" t="str" cm="1">
        <f t="array" ref="F275">"n"&amp;SUBSTITUTE(CreateGuidString(),"-","_")</f>
        <v>nAF53E9EF_8740_496B_898D_70B1C217D227</v>
      </c>
    </row>
    <row r="276" spans="1:6" x14ac:dyDescent="0.35">
      <c r="A276" s="13" t="s">
        <v>286</v>
      </c>
      <c r="B276" s="14" t="s">
        <v>1615</v>
      </c>
      <c r="D276" s="13" t="str">
        <f>IF(NodesData[[#This Row],[Class Disambiguation]]="",NodesData[[#This Row],[Common Name]],NodesData[[#This Row],[Common Name]]&amp;" ("&amp;NodesData[[#This Row],[Class Disambiguation]]&amp;")")</f>
        <v>Login</v>
      </c>
      <c r="E276" s="13" t="s">
        <v>935</v>
      </c>
      <c r="F276" s="20" t="str" cm="1">
        <f t="array" ref="F276">"n"&amp;SUBSTITUTE(CreateGuidString(),"-","_")</f>
        <v>n7CE09FFF_0339_4BD8_B9D4_86500F9D7CEF</v>
      </c>
    </row>
    <row r="277" spans="1:6" x14ac:dyDescent="0.35">
      <c r="A277" s="13" t="s">
        <v>287</v>
      </c>
      <c r="B277" s="14" t="s">
        <v>1616</v>
      </c>
      <c r="C277" s="13" t="s">
        <v>1270</v>
      </c>
      <c r="D277" s="13" t="str">
        <f>IF(NodesData[[#This Row],[Class Disambiguation]]="",NodesData[[#This Row],[Common Name]],NodesData[[#This Row],[Common Name]]&amp;" ("&amp;NodesData[[#This Row],[Class Disambiguation]]&amp;")")</f>
        <v>Login ID (Acronym)</v>
      </c>
      <c r="E277" s="13" t="s">
        <v>936</v>
      </c>
      <c r="F277" s="20" t="str" cm="1">
        <f t="array" ref="F277">"n"&amp;SUBSTITUTE(CreateGuidString(),"-","_")</f>
        <v>nD547ED54_5A56_40C6_8728_731593E5C202</v>
      </c>
    </row>
    <row r="278" spans="1:6" x14ac:dyDescent="0.35">
      <c r="A278" s="13" t="s">
        <v>288</v>
      </c>
      <c r="B278" s="14" t="s">
        <v>1617</v>
      </c>
      <c r="D278" s="13" t="str">
        <f>IF(NodesData[[#This Row],[Class Disambiguation]]="",NodesData[[#This Row],[Common Name]],NodesData[[#This Row],[Common Name]]&amp;" ("&amp;NodesData[[#This Row],[Class Disambiguation]]&amp;")")</f>
        <v>Login Name</v>
      </c>
      <c r="E278" s="13" t="s">
        <v>937</v>
      </c>
      <c r="F278" s="20" t="str" cm="1">
        <f t="array" ref="F278">"n"&amp;SUBSTITUTE(CreateGuidString(),"-","_")</f>
        <v>nE91A3634_F190_4E0A_8B25_451BA21225D0</v>
      </c>
    </row>
    <row r="279" spans="1:6" x14ac:dyDescent="0.35">
      <c r="A279" s="13" t="s">
        <v>938</v>
      </c>
      <c r="B279" s="14" t="s">
        <v>1618</v>
      </c>
      <c r="D279" s="13" t="str">
        <f>IF(NodesData[[#This Row],[Class Disambiguation]]="",NodesData[[#This Row],[Common Name]],NodesData[[#This Row],[Common Name]]&amp;" ("&amp;NodesData[[#This Row],[Class Disambiguation]]&amp;")")</f>
        <v>Mechanism</v>
      </c>
      <c r="E279" s="13" t="s">
        <v>939</v>
      </c>
      <c r="F279" s="20" t="str" cm="1">
        <f t="array" ref="F279">"n"&amp;SUBSTITUTE(CreateGuidString(),"-","_")</f>
        <v>n586E54FB_1872_49CA_8718_AE10CCF11EBB</v>
      </c>
    </row>
    <row r="280" spans="1:6" x14ac:dyDescent="0.35">
      <c r="A280" s="13" t="s">
        <v>940</v>
      </c>
      <c r="B280" s="14" t="s">
        <v>1619</v>
      </c>
      <c r="D280" s="13" t="str">
        <f>IF(NodesData[[#This Row],[Class Disambiguation]]="",NodesData[[#This Row],[Common Name]],NodesData[[#This Row],[Common Name]]&amp;" ("&amp;NodesData[[#This Row],[Class Disambiguation]]&amp;")")</f>
        <v>Metadirectory</v>
      </c>
      <c r="E280" s="13" t="s">
        <v>941</v>
      </c>
      <c r="F280" s="20" t="str" cm="1">
        <f t="array" ref="F280">"n"&amp;SUBSTITUTE(CreateGuidString(),"-","_")</f>
        <v>n9E5A10DA_AD6F_433B_9320_E00DF633059A</v>
      </c>
    </row>
    <row r="281" spans="1:6" x14ac:dyDescent="0.35">
      <c r="A281" s="13" t="s">
        <v>942</v>
      </c>
      <c r="B281" s="14" t="s">
        <v>1621</v>
      </c>
      <c r="D281" s="13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E281" s="13" t="s">
        <v>943</v>
      </c>
      <c r="F281" s="20" t="str" cm="1">
        <f t="array" ref="F281">"n"&amp;SUBSTITUTE(CreateGuidString(),"-","_")</f>
        <v>n612B6AE1_2867_4C8F_81D4_29FDCCD073AD</v>
      </c>
    </row>
    <row r="282" spans="1:6" x14ac:dyDescent="0.35">
      <c r="A282" s="13" t="s">
        <v>944</v>
      </c>
      <c r="B282" s="14" t="s">
        <v>1622</v>
      </c>
      <c r="D282" s="13" t="str">
        <f>IF(NodesData[[#This Row],[Class Disambiguation]]="",NodesData[[#This Row],[Common Name]],NodesData[[#This Row],[Common Name]]&amp;" ("&amp;NodesData[[#This Row],[Class Disambiguation]]&amp;")")</f>
        <v>Multilevel Security</v>
      </c>
      <c r="E282" s="13" t="s">
        <v>945</v>
      </c>
      <c r="F282" s="20" t="str" cm="1">
        <f t="array" ref="F282">"n"&amp;SUBSTITUTE(CreateGuidString(),"-","_")</f>
        <v>nBC4FDD09_F0A5_42D3_82DF_288851D7906F</v>
      </c>
    </row>
    <row r="283" spans="1:6" x14ac:dyDescent="0.35">
      <c r="A283" s="12" t="s">
        <v>1841</v>
      </c>
      <c r="B283" s="14" t="s">
        <v>1624</v>
      </c>
      <c r="D283" s="13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F283" s="20" t="str" cm="1">
        <f t="array" ref="F283">"n"&amp;SUBSTITUTE(CreateGuidString(),"-","_")</f>
        <v>n80444D92_2AC0_45BA_AAE3_DF5253AA5BB8</v>
      </c>
    </row>
    <row r="284" spans="1:6" x14ac:dyDescent="0.35">
      <c r="A284" s="13" t="s">
        <v>305</v>
      </c>
      <c r="B284" s="14" t="s">
        <v>1623</v>
      </c>
      <c r="D284" s="13" t="str">
        <f>IF(NodesData[[#This Row],[Class Disambiguation]]="",NodesData[[#This Row],[Common Name]],NodesData[[#This Row],[Common Name]]&amp;" ("&amp;NodesData[[#This Row],[Class Disambiguation]]&amp;")")</f>
        <v>Multiple Accounts</v>
      </c>
      <c r="E284" s="13" t="s">
        <v>946</v>
      </c>
      <c r="F284" s="20" t="str" cm="1">
        <f t="array" ref="F284">"n"&amp;SUBSTITUTE(CreateGuidString(),"-","_")</f>
        <v>nC03DD081_2D8F_44A6_BF18_F9F3685E6E76</v>
      </c>
    </row>
    <row r="285" spans="1:6" x14ac:dyDescent="0.35">
      <c r="A285" s="13" t="s">
        <v>947</v>
      </c>
      <c r="B285" s="14" t="s">
        <v>1630</v>
      </c>
      <c r="D285" s="13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E285" s="13" t="s">
        <v>948</v>
      </c>
      <c r="F285" s="20" t="str" cm="1">
        <f t="array" ref="F285">"n"&amp;SUBSTITUTE(CreateGuidString(),"-","_")</f>
        <v>n0E11A9DD_2D94_40F7_B805_593594BD1470</v>
      </c>
    </row>
    <row r="286" spans="1:6" x14ac:dyDescent="0.35">
      <c r="A286" s="13" t="s">
        <v>307</v>
      </c>
      <c r="B286" s="14" t="s">
        <v>1625</v>
      </c>
      <c r="D286" s="13" t="str">
        <f>IF(NodesData[[#This Row],[Class Disambiguation]]="",NodesData[[#This Row],[Common Name]],NodesData[[#This Row],[Common Name]]&amp;" ("&amp;NodesData[[#This Row],[Class Disambiguation]]&amp;")")</f>
        <v>Need-to-Know</v>
      </c>
      <c r="E286" s="13" t="s">
        <v>949</v>
      </c>
      <c r="F286" s="20" t="str" cm="1">
        <f t="array" ref="F286">"n"&amp;SUBSTITUTE(CreateGuidString(),"-","_")</f>
        <v>nC277293B_A634_46CC_AF0E_B59E4FC2BCE5</v>
      </c>
    </row>
    <row r="287" spans="1:6" x14ac:dyDescent="0.35">
      <c r="A287" s="13" t="s">
        <v>950</v>
      </c>
      <c r="B287" s="14" t="s">
        <v>1626</v>
      </c>
      <c r="D287" s="13" t="str">
        <f>IF(NodesData[[#This Row],[Class Disambiguation]]="",NodesData[[#This Row],[Common Name]],NodesData[[#This Row],[Common Name]]&amp;" ("&amp;NodesData[[#This Row],[Class Disambiguation]]&amp;")")</f>
        <v>New Joiner</v>
      </c>
      <c r="E287" s="13" t="s">
        <v>951</v>
      </c>
      <c r="F287" s="20" t="str" cm="1">
        <f t="array" ref="F287">"n"&amp;SUBSTITUTE(CreateGuidString(),"-","_")</f>
        <v>nE09582C4_7716_4EDE_B044_48789BFCA76D</v>
      </c>
    </row>
    <row r="288" spans="1:6" x14ac:dyDescent="0.35">
      <c r="A288" s="13" t="s">
        <v>952</v>
      </c>
      <c r="B288" s="14" t="s">
        <v>1627</v>
      </c>
      <c r="D288" s="13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E288" s="13" t="s">
        <v>953</v>
      </c>
      <c r="F288" s="20" t="str" cm="1">
        <f t="array" ref="F288">"n"&amp;SUBSTITUTE(CreateGuidString(),"-","_")</f>
        <v>n892FE59C_4AA0_428F_9132_CD2F5A1972D7</v>
      </c>
    </row>
    <row r="289" spans="1:6" x14ac:dyDescent="0.35">
      <c r="A289" s="13" t="s">
        <v>954</v>
      </c>
      <c r="B289" s="14" t="s">
        <v>1628</v>
      </c>
      <c r="D289" s="13" t="str">
        <f>IF(NodesData[[#This Row],[Class Disambiguation]]="",NodesData[[#This Row],[Common Name]],NodesData[[#This Row],[Common Name]]&amp;" ("&amp;NodesData[[#This Row],[Class Disambiguation]]&amp;")")</f>
        <v>Nonworker</v>
      </c>
      <c r="E289" s="13" t="s">
        <v>955</v>
      </c>
      <c r="F289" s="20" t="str" cm="1">
        <f t="array" ref="F289">"n"&amp;SUBSTITUTE(CreateGuidString(),"-","_")</f>
        <v>n362E4AB6_FF7A_4570_A538_72E19688DFD1</v>
      </c>
    </row>
    <row r="290" spans="1:6" x14ac:dyDescent="0.35">
      <c r="A290" s="13" t="s">
        <v>312</v>
      </c>
      <c r="B290" s="14" t="s">
        <v>1629</v>
      </c>
      <c r="D290" s="13" t="str">
        <f>IF(NodesData[[#This Row],[Class Disambiguation]]="",NodesData[[#This Row],[Common Name]],NodesData[[#This Row],[Common Name]]&amp;" ("&amp;NodesData[[#This Row],[Class Disambiguation]]&amp;")")</f>
        <v>Numerical Identity</v>
      </c>
      <c r="E290" s="13" t="s">
        <v>956</v>
      </c>
      <c r="F290" s="20" t="str" cm="1">
        <f t="array" ref="F290">"n"&amp;SUBSTITUTE(CreateGuidString(),"-","_")</f>
        <v>n8EE27CF4_18AB_4162_AA4C_E70A154A739F</v>
      </c>
    </row>
    <row r="291" spans="1:6" x14ac:dyDescent="0.35">
      <c r="A291" s="13" t="s">
        <v>957</v>
      </c>
      <c r="B291" s="14" t="s">
        <v>1633</v>
      </c>
      <c r="C291" s="13" t="s">
        <v>1270</v>
      </c>
      <c r="D291" s="13" t="str">
        <f>IF(NodesData[[#This Row],[Class Disambiguation]]="",NodesData[[#This Row],[Common Name]],NodesData[[#This Row],[Common Name]]&amp;" ("&amp;NodesData[[#This Row],[Class Disambiguation]]&amp;")")</f>
        <v>OAuth (Acronym)</v>
      </c>
      <c r="E291" s="13" t="s">
        <v>958</v>
      </c>
      <c r="F291" s="20" t="str" cm="1">
        <f t="array" ref="F291">"n"&amp;SUBSTITUTE(CreateGuidString(),"-","_")</f>
        <v>n8C9E01F2_306A_4A63_8702_D6ABD8920479</v>
      </c>
    </row>
    <row r="292" spans="1:6" x14ac:dyDescent="0.35">
      <c r="A292" s="13" t="s">
        <v>959</v>
      </c>
      <c r="B292" s="14" t="s">
        <v>1631</v>
      </c>
      <c r="D292" s="13" t="str">
        <f>IF(NodesData[[#This Row],[Class Disambiguation]]="",NodesData[[#This Row],[Common Name]],NodesData[[#This Row],[Common Name]]&amp;" ("&amp;NodesData[[#This Row],[Class Disambiguation]]&amp;")")</f>
        <v>Object</v>
      </c>
      <c r="E292" s="13" t="s">
        <v>960</v>
      </c>
      <c r="F292" s="20" t="str" cm="1">
        <f t="array" ref="F292">"n"&amp;SUBSTITUTE(CreateGuidString(),"-","_")</f>
        <v>n356B67B1_7CBF_4606_9CA0_517356045C20</v>
      </c>
    </row>
    <row r="293" spans="1:6" x14ac:dyDescent="0.35">
      <c r="A293" s="13" t="s">
        <v>961</v>
      </c>
      <c r="B293" s="14" t="s">
        <v>1632</v>
      </c>
      <c r="D293" s="13" t="str">
        <f>IF(NodesData[[#This Row],[Class Disambiguation]]="",NodesData[[#This Row],[Common Name]],NodesData[[#This Row],[Common Name]]&amp;" ("&amp;NodesData[[#This Row],[Class Disambiguation]]&amp;")")</f>
        <v>Omission Error</v>
      </c>
      <c r="E293" s="13" t="s">
        <v>962</v>
      </c>
      <c r="F293" s="20" t="str" cm="1">
        <f t="array" ref="F293">"n"&amp;SUBSTITUTE(CreateGuidString(),"-","_")</f>
        <v>nCBD4BB61_2E49_4BBD_B696_952120A4D211</v>
      </c>
    </row>
    <row r="294" spans="1:6" x14ac:dyDescent="0.35">
      <c r="A294" s="13" t="s">
        <v>1318</v>
      </c>
      <c r="B294" s="14" t="s">
        <v>1650</v>
      </c>
      <c r="D294" s="13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F294" s="20" t="str" cm="1">
        <f t="array" ref="F294">"n"&amp;SUBSTITUTE(CreateGuidString(),"-","_")</f>
        <v>nB37031FE_8CB6_4E4F_9B98_67AF72A7B358</v>
      </c>
    </row>
    <row r="295" spans="1:6" x14ac:dyDescent="0.35">
      <c r="A295" s="13" t="s">
        <v>963</v>
      </c>
      <c r="B295" s="14" t="s">
        <v>1634</v>
      </c>
      <c r="C295" s="13" t="s">
        <v>1270</v>
      </c>
      <c r="D295" s="13" t="str">
        <f>IF(NodesData[[#This Row],[Class Disambiguation]]="",NodesData[[#This Row],[Common Name]],NodesData[[#This Row],[Common Name]]&amp;" ("&amp;NodesData[[#This Row],[Class Disambiguation]]&amp;")")</f>
        <v>OPA (Acronym)</v>
      </c>
      <c r="E295" s="13" t="s">
        <v>964</v>
      </c>
      <c r="F295" s="20" t="str" cm="1">
        <f t="array" ref="F295">"n"&amp;SUBSTITUTE(CreateGuidString(),"-","_")</f>
        <v>n5BBCC358_4F31_4280_8523_2158B7448B1A</v>
      </c>
    </row>
    <row r="296" spans="1:6" x14ac:dyDescent="0.35">
      <c r="A296" s="13" t="s">
        <v>965</v>
      </c>
      <c r="B296" s="14" t="s">
        <v>1635</v>
      </c>
      <c r="D296" s="13" t="str">
        <f>IF(NodesData[[#This Row],[Class Disambiguation]]="",NodesData[[#This Row],[Common Name]],NodesData[[#This Row],[Common Name]]&amp;" ("&amp;NodesData[[#This Row],[Class Disambiguation]]&amp;")")</f>
        <v>Open Policy Agent</v>
      </c>
      <c r="E296" s="13" t="s">
        <v>966</v>
      </c>
      <c r="F296" s="20" t="str" cm="1">
        <f t="array" ref="F296">"n"&amp;SUBSTITUTE(CreateGuidString(),"-","_")</f>
        <v>nBB57572E_0442_4CC3_9330_5739463BD2B3</v>
      </c>
    </row>
    <row r="297" spans="1:6" x14ac:dyDescent="0.35">
      <c r="A297" s="13" t="s">
        <v>967</v>
      </c>
      <c r="B297" s="14" t="s">
        <v>1636</v>
      </c>
      <c r="D297" s="13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E297" s="13" t="s">
        <v>968</v>
      </c>
      <c r="F297" s="20" t="str" cm="1">
        <f t="array" ref="F297">"n"&amp;SUBSTITUTE(CreateGuidString(),"-","_")</f>
        <v>n504E2FE3_8A6F_4BA4_90F9_7D99AE534383</v>
      </c>
    </row>
    <row r="298" spans="1:6" x14ac:dyDescent="0.35">
      <c r="A298" s="13" t="s">
        <v>969</v>
      </c>
      <c r="B298" s="14" t="s">
        <v>1637</v>
      </c>
      <c r="D298" s="13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E298" s="13" t="s">
        <v>970</v>
      </c>
      <c r="F298" s="20" t="str" cm="1">
        <f t="array" ref="F298">"n"&amp;SUBSTITUTE(CreateGuidString(),"-","_")</f>
        <v>n8F1E31A0_CF4C_4F5F_8869_12313A4C1EB9</v>
      </c>
    </row>
    <row r="299" spans="1:6" x14ac:dyDescent="0.35">
      <c r="A299" s="13" t="s">
        <v>971</v>
      </c>
      <c r="B299" s="14" t="s">
        <v>1638</v>
      </c>
      <c r="D299" s="13" t="str">
        <f>IF(NodesData[[#This Row],[Class Disambiguation]]="",NodesData[[#This Row],[Common Name]],NodesData[[#This Row],[Common Name]]&amp;" ("&amp;NodesData[[#This Row],[Class Disambiguation]]&amp;")")</f>
        <v>Ordinal Scale</v>
      </c>
      <c r="E299" s="13" t="s">
        <v>972</v>
      </c>
      <c r="F299" s="20" t="str" cm="1">
        <f t="array" ref="F299">"n"&amp;SUBSTITUTE(CreateGuidString(),"-","_")</f>
        <v>nC4222413_5F0C_47AE_BA01_058804ADEE80</v>
      </c>
    </row>
    <row r="300" spans="1:6" x14ac:dyDescent="0.35">
      <c r="A300" s="13" t="s">
        <v>1266</v>
      </c>
      <c r="B300" s="14" t="s">
        <v>1639</v>
      </c>
      <c r="D300" s="13" t="str">
        <f>IF(NodesData[[#This Row],[Class Disambiguation]]="",NodesData[[#This Row],[Common Name]],NodesData[[#This Row],[Common Name]]&amp;" ("&amp;NodesData[[#This Row],[Class Disambiguation]]&amp;")")</f>
        <v>Organization Context</v>
      </c>
      <c r="E300" s="13" t="s">
        <v>973</v>
      </c>
      <c r="F300" s="20" t="str" cm="1">
        <f t="array" ref="F300">"n"&amp;SUBSTITUTE(CreateGuidString(),"-","_")</f>
        <v>nF084BDDA_6E1B_4A6B_B640_FA70ABE3FE9D</v>
      </c>
    </row>
    <row r="301" spans="1:6" x14ac:dyDescent="0.35">
      <c r="A301" s="13" t="s">
        <v>1267</v>
      </c>
      <c r="B301" s="14" t="s">
        <v>1640</v>
      </c>
      <c r="D301" s="13" t="str">
        <f>IF(NodesData[[#This Row],[Class Disambiguation]]="",NodesData[[#This Row],[Common Name]],NodesData[[#This Row],[Common Name]]&amp;" ("&amp;NodesData[[#This Row],[Class Disambiguation]]&amp;")")</f>
        <v>Organization Scope</v>
      </c>
      <c r="E301" s="13" t="s">
        <v>974</v>
      </c>
      <c r="F301" s="20" t="str" cm="1">
        <f t="array" ref="F301">"n"&amp;SUBSTITUTE(CreateGuidString(),"-","_")</f>
        <v>n2CCD3686_16BD_44E0_BECD_73F5A3B0F972</v>
      </c>
    </row>
    <row r="302" spans="1:6" x14ac:dyDescent="0.35">
      <c r="A302" s="13" t="s">
        <v>975</v>
      </c>
      <c r="B302" s="14" t="s">
        <v>1641</v>
      </c>
      <c r="D302" s="13" t="str">
        <f>IF(NodesData[[#This Row],[Class Disambiguation]]="",NodesData[[#This Row],[Common Name]],NodesData[[#This Row],[Common Name]]&amp;" ("&amp;NodesData[[#This Row],[Class Disambiguation]]&amp;")")</f>
        <v>Orphan</v>
      </c>
      <c r="E302" s="13" t="s">
        <v>976</v>
      </c>
      <c r="F302" s="20" t="str" cm="1">
        <f t="array" ref="F302">"n"&amp;SUBSTITUTE(CreateGuidString(),"-","_")</f>
        <v>n3716B0A3_5413_4829_9E8D_C1FDBB7F5124</v>
      </c>
    </row>
    <row r="303" spans="1:6" x14ac:dyDescent="0.35">
      <c r="A303" s="13" t="s">
        <v>329</v>
      </c>
      <c r="B303" s="14" t="s">
        <v>1642</v>
      </c>
      <c r="D303" s="13" t="str">
        <f>IF(NodesData[[#This Row],[Class Disambiguation]]="",NodesData[[#This Row],[Common Name]],NodesData[[#This Row],[Common Name]]&amp;" ("&amp;NodesData[[#This Row],[Class Disambiguation]]&amp;")")</f>
        <v>Orphan Account</v>
      </c>
      <c r="E303" s="13" t="s">
        <v>977</v>
      </c>
      <c r="F303" s="20" t="str" cm="1">
        <f t="array" ref="F303">"n"&amp;SUBSTITUTE(CreateGuidString(),"-","_")</f>
        <v>n15492265_6015_478B_A54B_9E3B2829776A</v>
      </c>
    </row>
    <row r="304" spans="1:6" x14ac:dyDescent="0.35">
      <c r="A304" s="13" t="s">
        <v>978</v>
      </c>
      <c r="B304" s="14" t="s">
        <v>1643</v>
      </c>
      <c r="D304" s="13" t="str">
        <f>IF(NodesData[[#This Row],[Class Disambiguation]]="",NodesData[[#This Row],[Common Name]],NodesData[[#This Row],[Common Name]]&amp;" ("&amp;NodesData[[#This Row],[Class Disambiguation]]&amp;")")</f>
        <v>Orphan File</v>
      </c>
      <c r="E304" s="13" t="s">
        <v>979</v>
      </c>
      <c r="F304" s="20" t="str" cm="1">
        <f t="array" ref="F304">"n"&amp;SUBSTITUTE(CreateGuidString(),"-","_")</f>
        <v>nE1598965_62B0_44F7_80A3_EE4E2D35EC10</v>
      </c>
    </row>
    <row r="305" spans="1:6" x14ac:dyDescent="0.35">
      <c r="A305" s="13" t="s">
        <v>980</v>
      </c>
      <c r="B305" s="14" t="s">
        <v>1644</v>
      </c>
      <c r="D305" s="13" t="str">
        <f>IF(NodesData[[#This Row],[Class Disambiguation]]="",NodesData[[#This Row],[Common Name]],NodesData[[#This Row],[Common Name]]&amp;" ("&amp;NodesData[[#This Row],[Class Disambiguation]]&amp;")")</f>
        <v>Orphan Object</v>
      </c>
      <c r="E305" s="13" t="s">
        <v>981</v>
      </c>
      <c r="F305" s="20" t="str" cm="1">
        <f t="array" ref="F305">"n"&amp;SUBSTITUTE(CreateGuidString(),"-","_")</f>
        <v>n90A494EC_CB62_4BAB_A672_C6C93F9D81BE</v>
      </c>
    </row>
    <row r="306" spans="1:6" x14ac:dyDescent="0.35">
      <c r="A306" s="13" t="s">
        <v>982</v>
      </c>
      <c r="B306" s="14" t="s">
        <v>1645</v>
      </c>
      <c r="D306" s="13" t="str">
        <f>IF(NodesData[[#This Row],[Class Disambiguation]]="",NodesData[[#This Row],[Common Name]],NodesData[[#This Row],[Common Name]]&amp;" ("&amp;NodesData[[#This Row],[Class Disambiguation]]&amp;")")</f>
        <v>Orphan Process</v>
      </c>
      <c r="E306" s="13" t="s">
        <v>983</v>
      </c>
      <c r="F306" s="20" t="str" cm="1">
        <f t="array" ref="F306">"n"&amp;SUBSTITUTE(CreateGuidString(),"-","_")</f>
        <v>n38CE6D75_7B3F_433F_82B5_80A29C4ED76F</v>
      </c>
    </row>
    <row r="307" spans="1:6" x14ac:dyDescent="0.35">
      <c r="A307" s="13" t="s">
        <v>984</v>
      </c>
      <c r="B307" s="14" t="s">
        <v>1646</v>
      </c>
      <c r="D307" s="13" t="str">
        <f>IF(NodesData[[#This Row],[Class Disambiguation]]="",NodesData[[#This Row],[Common Name]],NodesData[[#This Row],[Common Name]]&amp;" ("&amp;NodesData[[#This Row],[Class Disambiguation]]&amp;")")</f>
        <v>Orphan Product</v>
      </c>
      <c r="E307" s="13" t="s">
        <v>985</v>
      </c>
      <c r="F307" s="20" t="str" cm="1">
        <f t="array" ref="F307">"n"&amp;SUBSTITUTE(CreateGuidString(),"-","_")</f>
        <v>n35DC6AB2_A1E0_476C_A5DD_396457AD31F8</v>
      </c>
    </row>
    <row r="308" spans="1:6" x14ac:dyDescent="0.35">
      <c r="A308" s="13" t="s">
        <v>986</v>
      </c>
      <c r="B308" s="14" t="s">
        <v>1647</v>
      </c>
      <c r="D308" s="13" t="str">
        <f>IF(NodesData[[#This Row],[Class Disambiguation]]="",NodesData[[#This Row],[Common Name]],NodesData[[#This Row],[Common Name]]&amp;" ("&amp;NodesData[[#This Row],[Class Disambiguation]]&amp;")")</f>
        <v>Orphan Role</v>
      </c>
      <c r="E308" s="13" t="s">
        <v>987</v>
      </c>
      <c r="F308" s="20" t="str" cm="1">
        <f t="array" ref="F308">"n"&amp;SUBSTITUTE(CreateGuidString(),"-","_")</f>
        <v>nCF7A4975_CFF5_4919_9ACC_79DA4078E7D1</v>
      </c>
    </row>
    <row r="309" spans="1:6" x14ac:dyDescent="0.35">
      <c r="A309" s="13" t="s">
        <v>988</v>
      </c>
      <c r="B309" s="14" t="s">
        <v>1648</v>
      </c>
      <c r="D309" s="13" t="str">
        <f>IF(NodesData[[#This Row],[Class Disambiguation]]="",NodesData[[#This Row],[Common Name]],NodesData[[#This Row],[Common Name]]&amp;" ("&amp;NodesData[[#This Row],[Class Disambiguation]]&amp;")")</f>
        <v>Orphan Routes / APIs</v>
      </c>
      <c r="E309" s="13" t="s">
        <v>989</v>
      </c>
      <c r="F309" s="20" t="str" cm="1">
        <f t="array" ref="F309">"n"&amp;SUBSTITUTE(CreateGuidString(),"-","_")</f>
        <v>n6534C929_DA02_48D7_960E_4AA80EA7A0B4</v>
      </c>
    </row>
    <row r="310" spans="1:6" x14ac:dyDescent="0.35">
      <c r="A310" s="13" t="s">
        <v>990</v>
      </c>
      <c r="B310" s="14" t="s">
        <v>1649</v>
      </c>
      <c r="D310" s="13" t="str">
        <f>IF(NodesData[[#This Row],[Class Disambiguation]]="",NodesData[[#This Row],[Common Name]],NodesData[[#This Row],[Common Name]]&amp;" ("&amp;NodesData[[#This Row],[Class Disambiguation]]&amp;")")</f>
        <v>Orphan System</v>
      </c>
      <c r="E310" s="13" t="s">
        <v>991</v>
      </c>
      <c r="F310" s="20" t="str" cm="1">
        <f t="array" ref="F310">"n"&amp;SUBSTITUTE(CreateGuidString(),"-","_")</f>
        <v>nA46058B3_5CB4_4B55_9B6B_6D4BF9F26D3C</v>
      </c>
    </row>
    <row r="311" spans="1:6" x14ac:dyDescent="0.35">
      <c r="A311" s="13" t="s">
        <v>1299</v>
      </c>
      <c r="B311" s="14" t="s">
        <v>1652</v>
      </c>
      <c r="D311" s="13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F311" s="20" t="str" cm="1">
        <f t="array" ref="F311">"n"&amp;SUBSTITUTE(CreateGuidString(),"-","_")</f>
        <v>nF1220F9E_3FE8_4958_8701_26256C672EF2</v>
      </c>
    </row>
    <row r="312" spans="1:6" x14ac:dyDescent="0.35">
      <c r="A312" s="13" t="s">
        <v>339</v>
      </c>
      <c r="B312" s="14" t="s">
        <v>1651</v>
      </c>
      <c r="D312" s="13" t="str">
        <f>IF(NodesData[[#This Row],[Class Disambiguation]]="",NodesData[[#This Row],[Common Name]],NodesData[[#This Row],[Common Name]]&amp;" ("&amp;NodesData[[#This Row],[Class Disambiguation]]&amp;")")</f>
        <v>Outsider</v>
      </c>
      <c r="E312" s="13" t="s">
        <v>992</v>
      </c>
      <c r="F312" s="20" t="str" cm="1">
        <f t="array" ref="F312">"n"&amp;SUBSTITUTE(CreateGuidString(),"-","_")</f>
        <v>n185F9CF3_3829_42B1_85EE_55C8C4F6FB04</v>
      </c>
    </row>
    <row r="313" spans="1:6" x14ac:dyDescent="0.35">
      <c r="A313" s="13" t="s">
        <v>1314</v>
      </c>
      <c r="B313" s="14" t="s">
        <v>1654</v>
      </c>
      <c r="D313" s="13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F313" s="20" t="str" cm="1">
        <f t="array" ref="F313">"n"&amp;SUBSTITUTE(CreateGuidString(),"-","_")</f>
        <v>n1F152FF7_D247_4A41_92D7_5471E4B7982F</v>
      </c>
    </row>
    <row r="314" spans="1:6" x14ac:dyDescent="0.35">
      <c r="A314" s="13" t="s">
        <v>993</v>
      </c>
      <c r="B314" s="14" t="s">
        <v>1653</v>
      </c>
      <c r="D314" s="13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E314" s="13" t="s">
        <v>994</v>
      </c>
      <c r="F314" s="20" t="str" cm="1">
        <f t="array" ref="F314">"n"&amp;SUBSTITUTE(CreateGuidString(),"-","_")</f>
        <v>nC9049492_C65D_4CCF_8453_A4D9DF568D99</v>
      </c>
    </row>
    <row r="315" spans="1:6" x14ac:dyDescent="0.35">
      <c r="A315" s="13" t="s">
        <v>1328</v>
      </c>
      <c r="B315" s="14" t="s">
        <v>1655</v>
      </c>
      <c r="D315" s="13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F315" s="20" t="str" cm="1">
        <f t="array" ref="F315">"n"&amp;SUBSTITUTE(CreateGuidString(),"-","_")</f>
        <v>n45392A39_22B2_4D51_AF27_D2F01FC795FB</v>
      </c>
    </row>
    <row r="316" spans="1:6" x14ac:dyDescent="0.35">
      <c r="A316" s="13" t="s">
        <v>343</v>
      </c>
      <c r="B316" s="14" t="s">
        <v>1656</v>
      </c>
      <c r="D316" s="13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E316" s="13" t="s">
        <v>995</v>
      </c>
      <c r="F316" s="20" t="str" cm="1">
        <f t="array" ref="F316">"n"&amp;SUBSTITUTE(CreateGuidString(),"-","_")</f>
        <v>nBEC12D58_674D_4B01_82F5_A715287F6EB8</v>
      </c>
    </row>
    <row r="317" spans="1:6" x14ac:dyDescent="0.35">
      <c r="A317" s="13" t="s">
        <v>996</v>
      </c>
      <c r="B317" s="14" t="s">
        <v>1657</v>
      </c>
      <c r="D317" s="13" t="str">
        <f>IF(NodesData[[#This Row],[Class Disambiguation]]="",NodesData[[#This Row],[Common Name]],NodesData[[#This Row],[Common Name]]&amp;" ("&amp;NodesData[[#This Row],[Class Disambiguation]]&amp;")")</f>
        <v>Password Rotation</v>
      </c>
      <c r="E317" s="13" t="s">
        <v>997</v>
      </c>
      <c r="F317" s="20" t="str" cm="1">
        <f t="array" ref="F317">"n"&amp;SUBSTITUTE(CreateGuidString(),"-","_")</f>
        <v>n05DB9C88_30AD_44B2_A970_350C9D230ADF</v>
      </c>
    </row>
    <row r="318" spans="1:6" x14ac:dyDescent="0.35">
      <c r="A318" s="13" t="s">
        <v>3</v>
      </c>
      <c r="B318" s="14" t="s">
        <v>1658</v>
      </c>
      <c r="D318" s="13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E318" s="13" t="s">
        <v>998</v>
      </c>
      <c r="F318" s="20" t="str" cm="1">
        <f t="array" ref="F318">"n"&amp;SUBSTITUTE(CreateGuidString(),"-","_")</f>
        <v>nA9F7B5AE_B843_4B74_AA2C_EFC798AA6593</v>
      </c>
    </row>
    <row r="319" spans="1:6" x14ac:dyDescent="0.35">
      <c r="A319" s="13" t="s">
        <v>1324</v>
      </c>
      <c r="B319" s="14" t="s">
        <v>1659</v>
      </c>
      <c r="D319" s="13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F319" s="20" t="str" cm="1">
        <f t="array" ref="F319">"n"&amp;SUBSTITUTE(CreateGuidString(),"-","_")</f>
        <v>n26F4675F_C32B_4614_848D_8131D06656CC</v>
      </c>
    </row>
    <row r="320" spans="1:6" x14ac:dyDescent="0.35">
      <c r="A320" s="13" t="s">
        <v>344</v>
      </c>
      <c r="B320" s="14" t="s">
        <v>1663</v>
      </c>
      <c r="D320" s="13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E320" s="13" t="s">
        <v>999</v>
      </c>
      <c r="F320" s="20" t="str" cm="1">
        <f t="array" ref="F320">"n"&amp;SUBSTITUTE(CreateGuidString(),"-","_")</f>
        <v>n1FE1C757_2F1E_4689_AB7A_E9FBECC8702E</v>
      </c>
    </row>
    <row r="321" spans="1:6" x14ac:dyDescent="0.35">
      <c r="A321" s="13" t="s">
        <v>1268</v>
      </c>
      <c r="B321" s="14" t="s">
        <v>1660</v>
      </c>
      <c r="D321" s="13" t="str">
        <f>IF(NodesData[[#This Row],[Class Disambiguation]]="",NodesData[[#This Row],[Common Name]],NodesData[[#This Row],[Common Name]]&amp;" ("&amp;NodesData[[#This Row],[Class Disambiguation]]&amp;")")</f>
        <v>People</v>
      </c>
      <c r="E321" s="13" t="s">
        <v>1000</v>
      </c>
      <c r="F321" s="20" t="str" cm="1">
        <f t="array" ref="F321">"n"&amp;SUBSTITUTE(CreateGuidString(),"-","_")</f>
        <v>nD98A7B9F_1075_40CD_8658_68CF5DEEF9D1</v>
      </c>
    </row>
    <row r="322" spans="1:6" x14ac:dyDescent="0.35">
      <c r="A322" s="13" t="s">
        <v>1001</v>
      </c>
      <c r="B322" s="14" t="s">
        <v>1661</v>
      </c>
      <c r="D322" s="13" t="str">
        <f>IF(NodesData[[#This Row],[Class Disambiguation]]="",NodesData[[#This Row],[Common Name]],NodesData[[#This Row],[Common Name]]&amp;" ("&amp;NodesData[[#This Row],[Class Disambiguation]]&amp;")")</f>
        <v>Permission</v>
      </c>
      <c r="E322" s="13" t="s">
        <v>1002</v>
      </c>
      <c r="F322" s="20" t="str" cm="1">
        <f t="array" ref="F322">"n"&amp;SUBSTITUTE(CreateGuidString(),"-","_")</f>
        <v>n1CCE6B7A_CAFF_4F44_BC34_E0784D07A7B5</v>
      </c>
    </row>
    <row r="323" spans="1:6" x14ac:dyDescent="0.35">
      <c r="A323" s="13" t="s">
        <v>350</v>
      </c>
      <c r="B323" s="14" t="s">
        <v>1662</v>
      </c>
      <c r="D323" s="13" t="str">
        <f>IF(NodesData[[#This Row],[Class Disambiguation]]="",NodesData[[#This Row],[Common Name]],NodesData[[#This Row],[Common Name]]&amp;" ("&amp;NodesData[[#This Row],[Class Disambiguation]]&amp;")")</f>
        <v>Persona</v>
      </c>
      <c r="E323" s="13" t="s">
        <v>1003</v>
      </c>
      <c r="F323" s="20" t="str" cm="1">
        <f t="array" ref="F323">"n"&amp;SUBSTITUTE(CreateGuidString(),"-","_")</f>
        <v>n9613E5A7_4D3F_472F_9590_563667876F75</v>
      </c>
    </row>
    <row r="324" spans="1:6" x14ac:dyDescent="0.35">
      <c r="A324" s="13" t="s">
        <v>1327</v>
      </c>
      <c r="B324" s="14" t="s">
        <v>1684</v>
      </c>
      <c r="D324" s="13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F324" s="20" t="str" cm="1">
        <f t="array" ref="F324">"n"&amp;SUBSTITUTE(CreateGuidString(),"-","_")</f>
        <v>nD6133A3B_9E94_4EDA_9A5F_A28A1319441D</v>
      </c>
    </row>
    <row r="325" spans="1:6" x14ac:dyDescent="0.35">
      <c r="A325" s="13" t="s">
        <v>1319</v>
      </c>
      <c r="B325" s="14" t="s">
        <v>1664</v>
      </c>
      <c r="D325" s="13" t="str">
        <f>IF(NodesData[[#This Row],[Class Disambiguation]]="",NodesData[[#This Row],[Common Name]],NodesData[[#This Row],[Common Name]]&amp;" ("&amp;NodesData[[#This Row],[Class Disambiguation]]&amp;")")</f>
        <v>Physical Token OTP</v>
      </c>
      <c r="F325" s="20" t="str" cm="1">
        <f t="array" ref="F325">"n"&amp;SUBSTITUTE(CreateGuidString(),"-","_")</f>
        <v>n3450794D_3AA4_499B_B343_DC06596F454D</v>
      </c>
    </row>
    <row r="326" spans="1:6" x14ac:dyDescent="0.35">
      <c r="A326" s="13" t="s">
        <v>1004</v>
      </c>
      <c r="B326" s="14" t="s">
        <v>1665</v>
      </c>
      <c r="C326" s="13" t="s">
        <v>1270</v>
      </c>
      <c r="D326" s="13" t="str">
        <f>IF(NodesData[[#This Row],[Class Disambiguation]]="",NodesData[[#This Row],[Common Name]],NodesData[[#This Row],[Common Name]]&amp;" ("&amp;NodesData[[#This Row],[Class Disambiguation]]&amp;")")</f>
        <v>PMS (Acronym)</v>
      </c>
      <c r="E326" s="13" t="s">
        <v>1005</v>
      </c>
      <c r="F326" s="20" t="str" cm="1">
        <f t="array" ref="F326">"n"&amp;SUBSTITUTE(CreateGuidString(),"-","_")</f>
        <v>n913F9853_72C6_4195_8D3C_44108A0B462D</v>
      </c>
    </row>
    <row r="327" spans="1:6" x14ac:dyDescent="0.35">
      <c r="A327" s="13" t="s">
        <v>1006</v>
      </c>
      <c r="B327" s="14" t="s">
        <v>1666</v>
      </c>
      <c r="D327" s="13" t="str">
        <f>IF(NodesData[[#This Row],[Class Disambiguation]]="",NodesData[[#This Row],[Common Name]],NodesData[[#This Row],[Common Name]]&amp;" ("&amp;NodesData[[#This Row],[Class Disambiguation]]&amp;")")</f>
        <v>Policy</v>
      </c>
      <c r="E327" s="13" t="s">
        <v>1007</v>
      </c>
      <c r="F327" s="20" t="str" cm="1">
        <f t="array" ref="F327">"n"&amp;SUBSTITUTE(CreateGuidString(),"-","_")</f>
        <v>n4D96A11B_2C5B_4BDA_A48C_7C7DFF6208B8</v>
      </c>
    </row>
    <row r="328" spans="1:6" x14ac:dyDescent="0.35">
      <c r="A328" s="13" t="s">
        <v>1008</v>
      </c>
      <c r="B328" s="14" t="s">
        <v>1667</v>
      </c>
      <c r="D328" s="13" t="str">
        <f>IF(NodesData[[#This Row],[Class Disambiguation]]="",NodesData[[#This Row],[Common Name]],NodesData[[#This Row],[Common Name]]&amp;" ("&amp;NodesData[[#This Row],[Class Disambiguation]]&amp;")")</f>
        <v>Policy Analysis</v>
      </c>
      <c r="E328" s="13" t="s">
        <v>1009</v>
      </c>
      <c r="F328" s="20" t="str" cm="1">
        <f t="array" ref="F328">"n"&amp;SUBSTITUTE(CreateGuidString(),"-","_")</f>
        <v>n44312303_66D6_42D9_B5E2_A933F996638C</v>
      </c>
    </row>
    <row r="329" spans="1:6" x14ac:dyDescent="0.35">
      <c r="A329" s="13" t="s">
        <v>1010</v>
      </c>
      <c r="B329" s="14" t="s">
        <v>1668</v>
      </c>
      <c r="D329" s="13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E329" s="13" t="s">
        <v>1011</v>
      </c>
      <c r="F329" s="20" t="str" cm="1">
        <f t="array" ref="F329">"n"&amp;SUBSTITUTE(CreateGuidString(),"-","_")</f>
        <v>n9D6A3B09_A96B_4087_8A36_A8C7E63696CD</v>
      </c>
    </row>
    <row r="330" spans="1:6" x14ac:dyDescent="0.35">
      <c r="A330" s="13" t="s">
        <v>1012</v>
      </c>
      <c r="B330" s="14" t="s">
        <v>1669</v>
      </c>
      <c r="D330" s="13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E330" s="13" t="s">
        <v>1013</v>
      </c>
      <c r="F330" s="20" t="str" cm="1">
        <f t="array" ref="F330">"n"&amp;SUBSTITUTE(CreateGuidString(),"-","_")</f>
        <v>n72C58597_7FEF_415E_9860_8C5AECB08477</v>
      </c>
    </row>
    <row r="331" spans="1:6" x14ac:dyDescent="0.35">
      <c r="A331" s="13" t="s">
        <v>1014</v>
      </c>
      <c r="B331" s="14" t="s">
        <v>1670</v>
      </c>
      <c r="D331" s="13" t="str">
        <f>IF(NodesData[[#This Row],[Class Disambiguation]]="",NodesData[[#This Row],[Common Name]],NodesData[[#This Row],[Common Name]]&amp;" ("&amp;NodesData[[#This Row],[Class Disambiguation]]&amp;")")</f>
        <v>Policy Manageability</v>
      </c>
      <c r="E331" s="13" t="s">
        <v>1015</v>
      </c>
      <c r="F331" s="20" t="str" cm="1">
        <f t="array" ref="F331">"n"&amp;SUBSTITUTE(CreateGuidString(),"-","_")</f>
        <v>nB1EA2FBD_F52C_43EE_BA93_4A3E4CBFE8C2</v>
      </c>
    </row>
    <row r="332" spans="1:6" x14ac:dyDescent="0.35">
      <c r="A332" s="13" t="s">
        <v>1016</v>
      </c>
      <c r="B332" s="14" t="s">
        <v>1671</v>
      </c>
      <c r="D332" s="13" t="str">
        <f>IF(NodesData[[#This Row],[Class Disambiguation]]="",NodesData[[#This Row],[Common Name]],NodesData[[#This Row],[Common Name]]&amp;" ("&amp;NodesData[[#This Row],[Class Disambiguation]]&amp;")")</f>
        <v>Policy Mining</v>
      </c>
      <c r="E332" s="13" t="s">
        <v>1017</v>
      </c>
      <c r="F332" s="20" t="str" cm="1">
        <f t="array" ref="F332">"n"&amp;SUBSTITUTE(CreateGuidString(),"-","_")</f>
        <v>nDFEB99A6_A91D_43C4_B094_5DFA9B61C1AC</v>
      </c>
    </row>
    <row r="333" spans="1:6" x14ac:dyDescent="0.35">
      <c r="A333" s="13" t="s">
        <v>1018</v>
      </c>
      <c r="B333" s="14" t="s">
        <v>1672</v>
      </c>
      <c r="D333" s="13" t="str">
        <f>IF(NodesData[[#This Row],[Class Disambiguation]]="",NodesData[[#This Row],[Common Name]],NodesData[[#This Row],[Common Name]]&amp;" ("&amp;NodesData[[#This Row],[Class Disambiguation]]&amp;")")</f>
        <v>Policy Modeling</v>
      </c>
      <c r="E333" s="13" t="s">
        <v>1019</v>
      </c>
      <c r="F333" s="20" t="str" cm="1">
        <f t="array" ref="F333">"n"&amp;SUBSTITUTE(CreateGuidString(),"-","_")</f>
        <v>n90AC4D7D_7B4E_465B_872C_43DC2DD53BFF</v>
      </c>
    </row>
    <row r="334" spans="1:6" x14ac:dyDescent="0.35">
      <c r="A334" s="13" t="s">
        <v>1295</v>
      </c>
      <c r="B334" s="14" t="s">
        <v>1673</v>
      </c>
      <c r="D334" s="13" t="str">
        <f>IF(NodesData[[#This Row],[Class Disambiguation]]="",NodesData[[#This Row],[Common Name]],NodesData[[#This Row],[Common Name]]&amp;" ("&amp;NodesData[[#This Row],[Class Disambiguation]]&amp;")")</f>
        <v>Possession Factor</v>
      </c>
      <c r="F334" s="20" t="str" cm="1">
        <f t="array" ref="F334">"n"&amp;SUBSTITUTE(CreateGuidString(),"-","_")</f>
        <v>n0263AF53_A54A_4AD0_B22A_4E104B16A9E2</v>
      </c>
    </row>
    <row r="335" spans="1:6" x14ac:dyDescent="0.35">
      <c r="A335" s="13" t="s">
        <v>1020</v>
      </c>
      <c r="B335" s="14" t="s">
        <v>1674</v>
      </c>
      <c r="D335" s="13" t="str">
        <f>IF(NodesData[[#This Row],[Class Disambiguation]]="",NodesData[[#This Row],[Common Name]],NodesData[[#This Row],[Common Name]]&amp;" ("&amp;NodesData[[#This Row],[Class Disambiguation]]&amp;")")</f>
        <v>Pre-approval</v>
      </c>
      <c r="E335" s="13" t="s">
        <v>1021</v>
      </c>
      <c r="F335" s="20" t="str" cm="1">
        <f t="array" ref="F335">"n"&amp;SUBSTITUTE(CreateGuidString(),"-","_")</f>
        <v>n648295A9_A09F_473C_AC6F_07DDB4B2A2D9</v>
      </c>
    </row>
    <row r="336" spans="1:6" x14ac:dyDescent="0.35">
      <c r="A336" s="13" t="s">
        <v>1022</v>
      </c>
      <c r="B336" s="14" t="s">
        <v>1675</v>
      </c>
      <c r="D336" s="13" t="str">
        <f>IF(NodesData[[#This Row],[Class Disambiguation]]="",NodesData[[#This Row],[Common Name]],NodesData[[#This Row],[Common Name]]&amp;" ("&amp;NodesData[[#This Row],[Class Disambiguation]]&amp;")")</f>
        <v>Principal</v>
      </c>
      <c r="E336" s="13" t="s">
        <v>1023</v>
      </c>
      <c r="F336" s="20" t="str" cm="1">
        <f t="array" ref="F336">"n"&amp;SUBSTITUTE(CreateGuidString(),"-","_")</f>
        <v>nC7201FF8_AF63_4F18_9357_397FECAE48BA</v>
      </c>
    </row>
    <row r="337" spans="1:6" x14ac:dyDescent="0.35">
      <c r="A337" s="13" t="s">
        <v>364</v>
      </c>
      <c r="B337" s="14" t="s">
        <v>1676</v>
      </c>
      <c r="D337" s="13" t="str">
        <f>IF(NodesData[[#This Row],[Class Disambiguation]]="",NodesData[[#This Row],[Common Name]],NodesData[[#This Row],[Common Name]]&amp;" ("&amp;NodesData[[#This Row],[Class Disambiguation]]&amp;")")</f>
        <v>Private Key Loss</v>
      </c>
      <c r="E337" s="13" t="s">
        <v>1024</v>
      </c>
      <c r="F337" s="20" t="str" cm="1">
        <f t="array" ref="F337">"n"&amp;SUBSTITUTE(CreateGuidString(),"-","_")</f>
        <v>nBD072759_3A05_48ED_92CD_B2D9CF34A67E</v>
      </c>
    </row>
    <row r="338" spans="1:6" x14ac:dyDescent="0.35">
      <c r="A338" s="13" t="s">
        <v>1025</v>
      </c>
      <c r="B338" s="14" t="s">
        <v>1677</v>
      </c>
      <c r="D338" s="13" t="str">
        <f>IF(NodesData[[#This Row],[Class Disambiguation]]="",NodesData[[#This Row],[Common Name]],NodesData[[#This Row],[Common Name]]&amp;" ("&amp;NodesData[[#This Row],[Class Disambiguation]]&amp;")")</f>
        <v>Privilege</v>
      </c>
      <c r="E338" s="13" t="s">
        <v>1026</v>
      </c>
      <c r="F338" s="20" t="str" cm="1">
        <f t="array" ref="F338">"n"&amp;SUBSTITUTE(CreateGuidString(),"-","_")</f>
        <v>nCFB5BF15_3635_4F04_89FA_8CB0D49E7D59</v>
      </c>
    </row>
    <row r="339" spans="1:6" x14ac:dyDescent="0.35">
      <c r="A339" s="13" t="s">
        <v>366</v>
      </c>
      <c r="B339" s="14" t="s">
        <v>1678</v>
      </c>
      <c r="D339" s="13" t="str">
        <f>IF(NodesData[[#This Row],[Class Disambiguation]]="",NodesData[[#This Row],[Common Name]],NodesData[[#This Row],[Common Name]]&amp;" ("&amp;NodesData[[#This Row],[Class Disambiguation]]&amp;")")</f>
        <v>Privilege Abuse</v>
      </c>
      <c r="E339" s="13" t="s">
        <v>1027</v>
      </c>
      <c r="F339" s="20" t="str" cm="1">
        <f t="array" ref="F339">"n"&amp;SUBSTITUTE(CreateGuidString(),"-","_")</f>
        <v>nF2CD49E1_AEB4_48ED_8ED8_3A2169B8420F</v>
      </c>
    </row>
    <row r="340" spans="1:6" x14ac:dyDescent="0.35">
      <c r="A340" s="13" t="s">
        <v>1028</v>
      </c>
      <c r="B340" s="14" t="s">
        <v>1679</v>
      </c>
      <c r="D340" s="13" t="str">
        <f>IF(NodesData[[#This Row],[Class Disambiguation]]="",NodesData[[#This Row],[Common Name]],NodesData[[#This Row],[Common Name]]&amp;" ("&amp;NodesData[[#This Row],[Class Disambiguation]]&amp;")")</f>
        <v>Privilege Chaining</v>
      </c>
      <c r="E340" s="13" t="s">
        <v>1029</v>
      </c>
      <c r="F340" s="20" t="str" cm="1">
        <f t="array" ref="F340">"n"&amp;SUBSTITUTE(CreateGuidString(),"-","_")</f>
        <v>nDDCA174F_A5FD_4152_A7F7_FC1DAF3489F2</v>
      </c>
    </row>
    <row r="341" spans="1:6" x14ac:dyDescent="0.35">
      <c r="A341" s="13" t="s">
        <v>1030</v>
      </c>
      <c r="B341" s="14" t="s">
        <v>1680</v>
      </c>
      <c r="D341" s="13" t="str">
        <f>IF(NodesData[[#This Row],[Class Disambiguation]]="",NodesData[[#This Row],[Common Name]],NodesData[[#This Row],[Common Name]]&amp;" ("&amp;NodesData[[#This Row],[Class Disambiguation]]&amp;")")</f>
        <v>Privilege Escalation</v>
      </c>
      <c r="E341" s="13" t="s">
        <v>1031</v>
      </c>
      <c r="F341" s="20" t="str" cm="1">
        <f t="array" ref="F341">"n"&amp;SUBSTITUTE(CreateGuidString(),"-","_")</f>
        <v>nFAF47BCD_D324_4503_9003_C375268D3420</v>
      </c>
    </row>
    <row r="342" spans="1:6" x14ac:dyDescent="0.35">
      <c r="A342" s="13" t="s">
        <v>1032</v>
      </c>
      <c r="B342" s="14" t="s">
        <v>1681</v>
      </c>
      <c r="D342" s="13" t="str">
        <f>IF(NodesData[[#This Row],[Class Disambiguation]]="",NodesData[[#This Row],[Common Name]],NodesData[[#This Row],[Common Name]]&amp;" ("&amp;NodesData[[#This Row],[Class Disambiguation]]&amp;")")</f>
        <v>Privileged Identity</v>
      </c>
      <c r="E342" s="13" t="s">
        <v>1033</v>
      </c>
      <c r="F342" s="20" t="str" cm="1">
        <f t="array" ref="F342">"n"&amp;SUBSTITUTE(CreateGuidString(),"-","_")</f>
        <v>nB4BB0D0C_3558_47C8_A650_1DB0CB8B786B</v>
      </c>
    </row>
    <row r="343" spans="1:6" x14ac:dyDescent="0.35">
      <c r="A343" s="13" t="s">
        <v>369</v>
      </c>
      <c r="B343" s="14" t="s">
        <v>1682</v>
      </c>
      <c r="D343" s="13" t="str">
        <f>IF(NodesData[[#This Row],[Class Disambiguation]]="",NodesData[[#This Row],[Common Name]],NodesData[[#This Row],[Common Name]]&amp;" ("&amp;NodesData[[#This Row],[Class Disambiguation]]&amp;")")</f>
        <v>Privileged Insider</v>
      </c>
      <c r="E343" s="13" t="s">
        <v>1034</v>
      </c>
      <c r="F343" s="20" t="str" cm="1">
        <f t="array" ref="F343">"n"&amp;SUBSTITUTE(CreateGuidString(),"-","_")</f>
        <v>nEEA77FFB_C1A4_4891_8F80_51010C62E39E</v>
      </c>
    </row>
    <row r="344" spans="1:6" x14ac:dyDescent="0.35">
      <c r="A344" s="13" t="s">
        <v>1035</v>
      </c>
      <c r="B344" s="14" t="s">
        <v>1683</v>
      </c>
      <c r="D344" s="13" t="str">
        <f>IF(NodesData[[#This Row],[Class Disambiguation]]="",NodesData[[#This Row],[Common Name]],NodesData[[#This Row],[Common Name]]&amp;" ("&amp;NodesData[[#This Row],[Class Disambiguation]]&amp;")")</f>
        <v>Provisioning</v>
      </c>
      <c r="E344" s="13" t="s">
        <v>1036</v>
      </c>
      <c r="F344" s="20" t="str" cm="1">
        <f t="array" ref="F344">"n"&amp;SUBSTITUTE(CreateGuidString(),"-","_")</f>
        <v>nA71FCC65_A52C_48D2_B89F_BF4D4445BFB1</v>
      </c>
    </row>
    <row r="345" spans="1:6" x14ac:dyDescent="0.35">
      <c r="A345" s="13" t="s">
        <v>376</v>
      </c>
      <c r="B345" s="14" t="s">
        <v>1689</v>
      </c>
      <c r="D345" s="13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E345" s="13" t="s">
        <v>1037</v>
      </c>
      <c r="F345" s="20" t="str" cm="1">
        <f t="array" ref="F345">"n"&amp;SUBSTITUTE(CreateGuidString(),"-","_")</f>
        <v>n6D200748_9824_40EB_BBD7_38175474D163</v>
      </c>
    </row>
    <row r="346" spans="1:6" x14ac:dyDescent="0.35">
      <c r="A346" s="13" t="s">
        <v>378</v>
      </c>
      <c r="B346" s="14" t="s">
        <v>1685</v>
      </c>
      <c r="D346" s="13" t="str">
        <f>IF(NodesData[[#This Row],[Class Disambiguation]]="",NodesData[[#This Row],[Common Name]],NodesData[[#This Row],[Common Name]]&amp;" ("&amp;NodesData[[#This Row],[Class Disambiguation]]&amp;")")</f>
        <v>Qualitative Identity</v>
      </c>
      <c r="E346" s="13" t="s">
        <v>1038</v>
      </c>
      <c r="F346" s="20" t="str" cm="1">
        <f t="array" ref="F346">"n"&amp;SUBSTITUTE(CreateGuidString(),"-","_")</f>
        <v>nED757562_7994_4798_9BA0_95F563BAEDDD</v>
      </c>
    </row>
    <row r="347" spans="1:6" x14ac:dyDescent="0.35">
      <c r="A347" s="13" t="s">
        <v>1039</v>
      </c>
      <c r="B347" s="14" t="s">
        <v>1686</v>
      </c>
      <c r="C347" s="13" t="s">
        <v>1270</v>
      </c>
      <c r="D347" s="13" t="str">
        <f>IF(NodesData[[#This Row],[Class Disambiguation]]="",NodesData[[#This Row],[Common Name]],NodesData[[#This Row],[Common Name]]&amp;" ("&amp;NodesData[[#This Row],[Class Disambiguation]]&amp;")")</f>
        <v>RA (Acronym)</v>
      </c>
      <c r="E347" s="13" t="s">
        <v>1040</v>
      </c>
      <c r="F347" s="20" t="str" cm="1">
        <f t="array" ref="F347">"n"&amp;SUBSTITUTE(CreateGuidString(),"-","_")</f>
        <v>nB0EF98F6_7B8E_4CBD_B6BD_2756B7EA04A7</v>
      </c>
    </row>
    <row r="348" spans="1:6" x14ac:dyDescent="0.35">
      <c r="A348" s="13" t="s">
        <v>1041</v>
      </c>
      <c r="B348" s="14" t="s">
        <v>1687</v>
      </c>
      <c r="D348" s="13" t="str">
        <f>IF(NodesData[[#This Row],[Class Disambiguation]]="",NodesData[[#This Row],[Common Name]],NodesData[[#This Row],[Common Name]]&amp;" ("&amp;NodesData[[#This Row],[Class Disambiguation]]&amp;")")</f>
        <v>Ratio Scale</v>
      </c>
      <c r="E348" s="13" t="s">
        <v>1042</v>
      </c>
      <c r="F348" s="20" t="str" cm="1">
        <f t="array" ref="F348">"n"&amp;SUBSTITUTE(CreateGuidString(),"-","_")</f>
        <v>n0A7A73DD_A2D6_47F4_81F1_5591E78A61A4</v>
      </c>
    </row>
    <row r="349" spans="1:6" x14ac:dyDescent="0.35">
      <c r="A349" s="13" t="s">
        <v>1043</v>
      </c>
      <c r="B349" s="14" t="s">
        <v>1688</v>
      </c>
      <c r="C349" s="13" t="s">
        <v>1270</v>
      </c>
      <c r="D349" s="13" t="str">
        <f>IF(NodesData[[#This Row],[Class Disambiguation]]="",NodesData[[#This Row],[Common Name]],NodesData[[#This Row],[Common Name]]&amp;" ("&amp;NodesData[[#This Row],[Class Disambiguation]]&amp;")")</f>
        <v>RBA (Acronym)</v>
      </c>
      <c r="E349" s="13" t="s">
        <v>1044</v>
      </c>
      <c r="F349" s="20" t="str" cm="1">
        <f t="array" ref="F349">"n"&amp;SUBSTITUTE(CreateGuidString(),"-","_")</f>
        <v>nDE4C8440_1BFA_49B1_A68E_440080F9EF0D</v>
      </c>
    </row>
    <row r="350" spans="1:6" x14ac:dyDescent="0.35">
      <c r="A350" s="13" t="s">
        <v>1045</v>
      </c>
      <c r="B350" s="14" t="s">
        <v>1692</v>
      </c>
      <c r="D350" s="13" t="str">
        <f>IF(NodesData[[#This Row],[Class Disambiguation]]="",NodesData[[#This Row],[Common Name]],NodesData[[#This Row],[Common Name]]&amp;" ("&amp;NodesData[[#This Row],[Class Disambiguation]]&amp;")")</f>
        <v>Re-authentication</v>
      </c>
      <c r="E350" s="13" t="s">
        <v>1046</v>
      </c>
      <c r="F350" s="20" t="str" cm="1">
        <f t="array" ref="F350">"n"&amp;SUBSTITUTE(CreateGuidString(),"-","_")</f>
        <v>n04527B2D_4C1C_4289_8AEC_5C733291D183</v>
      </c>
    </row>
    <row r="351" spans="1:6" x14ac:dyDescent="0.35">
      <c r="A351" s="13" t="s">
        <v>1047</v>
      </c>
      <c r="B351" s="14" t="s">
        <v>1690</v>
      </c>
      <c r="D351" s="13" t="str">
        <f>IF(NodesData[[#This Row],[Class Disambiguation]]="",NodesData[[#This Row],[Common Name]],NodesData[[#This Row],[Common Name]]&amp;" ("&amp;NodesData[[#This Row],[Class Disambiguation]]&amp;")")</f>
        <v>Recertification</v>
      </c>
      <c r="E351" s="13" t="s">
        <v>1048</v>
      </c>
      <c r="F351" s="20" t="str" cm="1">
        <f t="array" ref="F351">"n"&amp;SUBSTITUTE(CreateGuidString(),"-","_")</f>
        <v>n0D109FA7_A9C7_49CB_B5EA_8B8D0CA1D43D</v>
      </c>
    </row>
    <row r="352" spans="1:6" x14ac:dyDescent="0.35">
      <c r="A352" s="13" t="s">
        <v>1049</v>
      </c>
      <c r="B352" s="14" t="s">
        <v>1691</v>
      </c>
      <c r="D352" s="13" t="str">
        <f>IF(NodesData[[#This Row],[Class Disambiguation]]="",NodesData[[#This Row],[Common Name]],NodesData[[#This Row],[Common Name]]&amp;" ("&amp;NodesData[[#This Row],[Class Disambiguation]]&amp;")")</f>
        <v>Reference Monitor</v>
      </c>
      <c r="E352" s="13" t="s">
        <v>1050</v>
      </c>
      <c r="F352" s="20" t="str" cm="1">
        <f t="array" ref="F352">"n"&amp;SUBSTITUTE(CreateGuidString(),"-","_")</f>
        <v>n73D2748E_D806_49F2_B844_C64F97271279</v>
      </c>
    </row>
    <row r="353" spans="1:6" x14ac:dyDescent="0.35">
      <c r="A353" s="13" t="s">
        <v>1051</v>
      </c>
      <c r="B353" s="14" t="s">
        <v>1701</v>
      </c>
      <c r="D353" s="13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E353" s="13" t="s">
        <v>1052</v>
      </c>
      <c r="F353" s="20" t="str" cm="1">
        <f t="array" ref="F353">"n"&amp;SUBSTITUTE(CreateGuidString(),"-","_")</f>
        <v>nF1B1A702_BF69_4798_86D9_27D246156AC1</v>
      </c>
    </row>
    <row r="354" spans="1:6" x14ac:dyDescent="0.35">
      <c r="A354" s="13" t="s">
        <v>1053</v>
      </c>
      <c r="B354" s="14" t="s">
        <v>1693</v>
      </c>
      <c r="D354" s="13" t="str">
        <f>IF(NodesData[[#This Row],[Class Disambiguation]]="",NodesData[[#This Row],[Common Name]],NodesData[[#This Row],[Common Name]]&amp;" ("&amp;NodesData[[#This Row],[Class Disambiguation]]&amp;")")</f>
        <v>Rejoiner</v>
      </c>
      <c r="E354" s="13" t="s">
        <v>1054</v>
      </c>
      <c r="F354" s="20" t="str" cm="1">
        <f t="array" ref="F354">"n"&amp;SUBSTITUTE(CreateGuidString(),"-","_")</f>
        <v>nE471A3F7_FB95_45F0_BC82_D5582DAE5C88</v>
      </c>
    </row>
    <row r="355" spans="1:6" x14ac:dyDescent="0.35">
      <c r="A355" s="13" t="s">
        <v>1055</v>
      </c>
      <c r="B355" s="14" t="s">
        <v>1694</v>
      </c>
      <c r="D355" s="13" t="str">
        <f>IF(NodesData[[#This Row],[Class Disambiguation]]="",NodesData[[#This Row],[Common Name]],NodesData[[#This Row],[Common Name]]&amp;" ("&amp;NodesData[[#This Row],[Class Disambiguation]]&amp;")")</f>
        <v>Relying Party</v>
      </c>
      <c r="E355" s="13" t="s">
        <v>1056</v>
      </c>
      <c r="F355" s="20" t="str" cm="1">
        <f t="array" ref="F355">"n"&amp;SUBSTITUTE(CreateGuidString(),"-","_")</f>
        <v>nEB6F627F_A89B_4124_AAA1_779AD1D05B9C</v>
      </c>
    </row>
    <row r="356" spans="1:6" x14ac:dyDescent="0.35">
      <c r="A356" s="13" t="s">
        <v>1057</v>
      </c>
      <c r="B356" s="14" t="s">
        <v>1695</v>
      </c>
      <c r="D356" s="13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E356" s="13" t="s">
        <v>1058</v>
      </c>
      <c r="F356" s="20" t="str" cm="1">
        <f t="array" ref="F356">"n"&amp;SUBSTITUTE(CreateGuidString(),"-","_")</f>
        <v>n6A730B64_6292_477C_BA3C_FC1F8B2AE639</v>
      </c>
    </row>
    <row r="357" spans="1:6" x14ac:dyDescent="0.35">
      <c r="A357" s="13" t="s">
        <v>1059</v>
      </c>
      <c r="B357" s="14" t="s">
        <v>1696</v>
      </c>
      <c r="D357" s="13" t="str">
        <f>IF(NodesData[[#This Row],[Class Disambiguation]]="",NodesData[[#This Row],[Common Name]],NodesData[[#This Row],[Common Name]]&amp;" ("&amp;NodesData[[#This Row],[Class Disambiguation]]&amp;")")</f>
        <v>Repeatability</v>
      </c>
      <c r="E357" s="13" t="s">
        <v>1060</v>
      </c>
      <c r="F357" s="20" t="str" cm="1">
        <f t="array" ref="F357">"n"&amp;SUBSTITUTE(CreateGuidString(),"-","_")</f>
        <v>nDB683E02_221D_4EB8_9BA9_34956B816CFC</v>
      </c>
    </row>
    <row r="358" spans="1:6" x14ac:dyDescent="0.35">
      <c r="A358" s="13" t="s">
        <v>1061</v>
      </c>
      <c r="B358" s="14" t="s">
        <v>1697</v>
      </c>
      <c r="D358" s="13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E358" s="13" t="s">
        <v>1062</v>
      </c>
      <c r="F358" s="20" t="str" cm="1">
        <f t="array" ref="F358">"n"&amp;SUBSTITUTE(CreateGuidString(),"-","_")</f>
        <v>nA4656CB6_76B2_4E34_B947_8161A0210765</v>
      </c>
    </row>
    <row r="359" spans="1:6" x14ac:dyDescent="0.35">
      <c r="A359" s="13" t="s">
        <v>1063</v>
      </c>
      <c r="B359" s="14" t="s">
        <v>1698</v>
      </c>
      <c r="D359" s="13" t="str">
        <f>IF(NodesData[[#This Row],[Class Disambiguation]]="",NodesData[[#This Row],[Common Name]],NodesData[[#This Row],[Common Name]]&amp;" ("&amp;NodesData[[#This Row],[Class Disambiguation]]&amp;")")</f>
        <v>Reproducibility</v>
      </c>
      <c r="E359" s="13" t="s">
        <v>1064</v>
      </c>
      <c r="F359" s="20" t="str" cm="1">
        <f t="array" ref="F359">"n"&amp;SUBSTITUTE(CreateGuidString(),"-","_")</f>
        <v>n0EC8DE0D_5F2B_42CA_8541_2CA040FC28C3</v>
      </c>
    </row>
    <row r="360" spans="1:6" x14ac:dyDescent="0.35">
      <c r="A360" s="13" t="s">
        <v>1065</v>
      </c>
      <c r="B360" s="14" t="s">
        <v>1699</v>
      </c>
      <c r="D360" s="13" t="str">
        <f>IF(NodesData[[#This Row],[Class Disambiguation]]="",NodesData[[#This Row],[Common Name]],NodesData[[#This Row],[Common Name]]&amp;" ("&amp;NodesData[[#This Row],[Class Disambiguation]]&amp;")")</f>
        <v>Revocation</v>
      </c>
      <c r="E360" s="13" t="s">
        <v>1066</v>
      </c>
      <c r="F360" s="20" t="str" cm="1">
        <f t="array" ref="F360">"n"&amp;SUBSTITUTE(CreateGuidString(),"-","_")</f>
        <v>n03ECAE30_328B_43BE_B0E4_5D77E11139F6</v>
      </c>
    </row>
    <row r="361" spans="1:6" x14ac:dyDescent="0.35">
      <c r="A361" s="13" t="s">
        <v>1067</v>
      </c>
      <c r="B361" s="14" t="s">
        <v>1700</v>
      </c>
      <c r="C361" s="13" t="s">
        <v>1270</v>
      </c>
      <c r="D361" s="13" t="str">
        <f>IF(NodesData[[#This Row],[Class Disambiguation]]="",NodesData[[#This Row],[Common Name]],NodesData[[#This Row],[Common Name]]&amp;" ("&amp;NodesData[[#This Row],[Class Disambiguation]]&amp;")")</f>
        <v>RIDP (Acronym)</v>
      </c>
      <c r="E361" s="13" t="s">
        <v>1068</v>
      </c>
      <c r="F361" s="20" t="str" cm="1">
        <f t="array" ref="F361">"n"&amp;SUBSTITUTE(CreateGuidString(),"-","_")</f>
        <v>nEE98990E_9BD4_403A_AAE6_9691056031A2</v>
      </c>
    </row>
    <row r="362" spans="1:6" x14ac:dyDescent="0.35">
      <c r="A362" s="13" t="s">
        <v>1069</v>
      </c>
      <c r="B362" s="14" t="s">
        <v>1728</v>
      </c>
      <c r="D362" s="13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E362" s="13" t="s">
        <v>1070</v>
      </c>
      <c r="F362" s="20" t="str" cm="1">
        <f t="array" ref="F362">"n"&amp;SUBSTITUTE(CreateGuidString(),"-","_")</f>
        <v>nBDAB1FF1_F8A6_4991_8411_952F729B1512</v>
      </c>
    </row>
    <row r="363" spans="1:6" x14ac:dyDescent="0.35">
      <c r="A363" s="13" t="s">
        <v>1071</v>
      </c>
      <c r="B363" s="14" t="s">
        <v>1702</v>
      </c>
      <c r="D363" s="13" t="str">
        <f>IF(NodesData[[#This Row],[Class Disambiguation]]="",NodesData[[#This Row],[Common Name]],NodesData[[#This Row],[Common Name]]&amp;" ("&amp;NodesData[[#This Row],[Class Disambiguation]]&amp;")")</f>
        <v>Role</v>
      </c>
      <c r="E363" s="13" t="s">
        <v>1072</v>
      </c>
      <c r="F363" s="20" t="str" cm="1">
        <f t="array" ref="F363">"n"&amp;SUBSTITUTE(CreateGuidString(),"-","_")</f>
        <v>n8006781B_D9D4_4C2D_B4F6_771C973E4C90</v>
      </c>
    </row>
    <row r="364" spans="1:6" x14ac:dyDescent="0.35">
      <c r="A364" s="13" t="s">
        <v>1073</v>
      </c>
      <c r="B364" s="14" t="s">
        <v>1704</v>
      </c>
      <c r="D364" s="13" t="str">
        <f>IF(NodesData[[#This Row],[Class Disambiguation]]="",NodesData[[#This Row],[Common Name]],NodesData[[#This Row],[Common Name]]&amp;" ("&amp;NodesData[[#This Row],[Class Disambiguation]]&amp;")")</f>
        <v>Role Bloating</v>
      </c>
      <c r="E364" s="13" t="s">
        <v>1074</v>
      </c>
      <c r="F364" s="20" t="str" cm="1">
        <f t="array" ref="F364">"n"&amp;SUBSTITUTE(CreateGuidString(),"-","_")</f>
        <v>nF2312D84_6C1D_4CA4_BDD9_3CCE684083B6</v>
      </c>
    </row>
    <row r="365" spans="1:6" x14ac:dyDescent="0.35">
      <c r="A365" s="13" t="s">
        <v>1075</v>
      </c>
      <c r="B365" s="14" t="s">
        <v>1705</v>
      </c>
      <c r="D365" s="13" t="str">
        <f>IF(NodesData[[#This Row],[Class Disambiguation]]="",NodesData[[#This Row],[Common Name]],NodesData[[#This Row],[Common Name]]&amp;" ("&amp;NodesData[[#This Row],[Class Disambiguation]]&amp;")")</f>
        <v>Role Capacity</v>
      </c>
      <c r="E365" s="13" t="s">
        <v>1076</v>
      </c>
      <c r="F365" s="20" t="str" cm="1">
        <f t="array" ref="F365">"n"&amp;SUBSTITUTE(CreateGuidString(),"-","_")</f>
        <v>nC76B4B8E_117B_49D4_B2BF_9EDAB0F0F084</v>
      </c>
    </row>
    <row r="366" spans="1:6" x14ac:dyDescent="0.35">
      <c r="A366" s="13" t="s">
        <v>1077</v>
      </c>
      <c r="B366" s="14" t="s">
        <v>1706</v>
      </c>
      <c r="D366" s="13" t="str">
        <f>IF(NodesData[[#This Row],[Class Disambiguation]]="",NodesData[[#This Row],[Common Name]],NodesData[[#This Row],[Common Name]]&amp;" ("&amp;NodesData[[#This Row],[Class Disambiguation]]&amp;")")</f>
        <v>Role Cardinality</v>
      </c>
      <c r="E366" s="13" t="s">
        <v>1078</v>
      </c>
      <c r="F366" s="20" t="str" cm="1">
        <f t="array" ref="F366">"n"&amp;SUBSTITUTE(CreateGuidString(),"-","_")</f>
        <v>n080E86B0_0A7C_48D9_989A_B5B26E04EAEC</v>
      </c>
    </row>
    <row r="367" spans="1:6" x14ac:dyDescent="0.35">
      <c r="A367" s="13" t="s">
        <v>1079</v>
      </c>
      <c r="B367" s="14" t="s">
        <v>1707</v>
      </c>
      <c r="D367" s="13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E367" s="13" t="s">
        <v>1080</v>
      </c>
      <c r="F367" s="20" t="str" cm="1">
        <f t="array" ref="F367">"n"&amp;SUBSTITUTE(CreateGuidString(),"-","_")</f>
        <v>nB630866A_7F85_43CC_A232_10AEC764825B</v>
      </c>
    </row>
    <row r="368" spans="1:6" x14ac:dyDescent="0.35">
      <c r="A368" s="13" t="s">
        <v>1081</v>
      </c>
      <c r="B368" s="14" t="s">
        <v>1708</v>
      </c>
      <c r="D368" s="13" t="str">
        <f>IF(NodesData[[#This Row],[Class Disambiguation]]="",NodesData[[#This Row],[Common Name]],NodesData[[#This Row],[Common Name]]&amp;" ("&amp;NodesData[[#This Row],[Class Disambiguation]]&amp;")")</f>
        <v>Role Explosion</v>
      </c>
      <c r="E368" s="13" t="s">
        <v>1082</v>
      </c>
      <c r="F368" s="20" t="str" cm="1">
        <f t="array" ref="F368">"n"&amp;SUBSTITUTE(CreateGuidString(),"-","_")</f>
        <v>nF35635A6_BE1A_4E20_AAB6_BA5D8BA47A97</v>
      </c>
    </row>
    <row r="369" spans="1:6" x14ac:dyDescent="0.35">
      <c r="A369" s="13" t="s">
        <v>1083</v>
      </c>
      <c r="B369" s="14" t="s">
        <v>1709</v>
      </c>
      <c r="D369" s="13" t="str">
        <f>IF(NodesData[[#This Row],[Class Disambiguation]]="",NodesData[[#This Row],[Common Name]],NodesData[[#This Row],[Common Name]]&amp;" ("&amp;NodesData[[#This Row],[Class Disambiguation]]&amp;")")</f>
        <v>Role Management</v>
      </c>
      <c r="E369" s="13" t="s">
        <v>1084</v>
      </c>
      <c r="F369" s="20" t="str" cm="1">
        <f t="array" ref="F369">"n"&amp;SUBSTITUTE(CreateGuidString(),"-","_")</f>
        <v>nE0EF75CE_4891_4430_BA86_39BE6ADDA0E5</v>
      </c>
    </row>
    <row r="370" spans="1:6" x14ac:dyDescent="0.35">
      <c r="A370" s="13" t="s">
        <v>1085</v>
      </c>
      <c r="B370" s="14" t="s">
        <v>1703</v>
      </c>
      <c r="D370" s="13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E370" s="13" t="s">
        <v>1086</v>
      </c>
      <c r="F370" s="20" t="str" cm="1">
        <f t="array" ref="F370">"n"&amp;SUBSTITUTE(CreateGuidString(),"-","_")</f>
        <v>nA6B7D985_995F_4C3C_9801_CD818FB5F0EA</v>
      </c>
    </row>
    <row r="371" spans="1:6" x14ac:dyDescent="0.35">
      <c r="A371" s="13" t="s">
        <v>1087</v>
      </c>
      <c r="B371" s="14" t="s">
        <v>1710</v>
      </c>
      <c r="C371" s="13" t="s">
        <v>1270</v>
      </c>
      <c r="D371" s="13" t="str">
        <f>IF(NodesData[[#This Row],[Class Disambiguation]]="",NodesData[[#This Row],[Common Name]],NodesData[[#This Row],[Common Name]]&amp;" ("&amp;NodesData[[#This Row],[Class Disambiguation]]&amp;")")</f>
        <v>RP (Acronym)</v>
      </c>
      <c r="E371" s="13" t="s">
        <v>1088</v>
      </c>
      <c r="F371" s="20" t="str" cm="1">
        <f t="array" ref="F371">"n"&amp;SUBSTITUTE(CreateGuidString(),"-","_")</f>
        <v>n08BBC0E9_3F8C_4FE9_9AE9_88874A81B33F</v>
      </c>
    </row>
    <row r="372" spans="1:6" x14ac:dyDescent="0.35">
      <c r="A372" s="13" t="s">
        <v>407</v>
      </c>
      <c r="B372" s="14" t="s">
        <v>1711</v>
      </c>
      <c r="D372" s="13" t="str">
        <f>IF(NodesData[[#This Row],[Class Disambiguation]]="",NodesData[[#This Row],[Common Name]],NodesData[[#This Row],[Common Name]]&amp;" ("&amp;NodesData[[#This Row],[Class Disambiguation]]&amp;")")</f>
        <v>SAM Database</v>
      </c>
      <c r="E372" s="13" t="s">
        <v>1089</v>
      </c>
      <c r="F372" s="20" t="str" cm="1">
        <f t="array" ref="F372">"n"&amp;SUBSTITUTE(CreateGuidString(),"-","_")</f>
        <v>n227F6ACA_C92D_493A_8B1F_2AC7FB97ADE8</v>
      </c>
    </row>
    <row r="373" spans="1:6" x14ac:dyDescent="0.35">
      <c r="A373" s="13" t="s">
        <v>408</v>
      </c>
      <c r="B373" s="14" t="s">
        <v>1712</v>
      </c>
      <c r="C373" s="13" t="s">
        <v>1270</v>
      </c>
      <c r="D373" s="13" t="str">
        <f>IF(NodesData[[#This Row],[Class Disambiguation]]="",NodesData[[#This Row],[Common Name]],NodesData[[#This Row],[Common Name]]&amp;" ("&amp;NodesData[[#This Row],[Class Disambiguation]]&amp;")")</f>
        <v>SAML (Acronym)</v>
      </c>
      <c r="E373" s="13" t="s">
        <v>1090</v>
      </c>
      <c r="F373" s="20" t="str" cm="1">
        <f t="array" ref="F373">"n"&amp;SUBSTITUTE(CreateGuidString(),"-","_")</f>
        <v>n21D7B616_CE7E_40C0_9B68_5727E338CD22</v>
      </c>
    </row>
    <row r="374" spans="1:6" x14ac:dyDescent="0.35">
      <c r="A374" s="13" t="s">
        <v>1091</v>
      </c>
      <c r="B374" s="14" t="s">
        <v>1713</v>
      </c>
      <c r="C374" s="13" t="s">
        <v>1270</v>
      </c>
      <c r="D374" s="13" t="str">
        <f>IF(NodesData[[#This Row],[Class Disambiguation]]="",NodesData[[#This Row],[Common Name]],NodesData[[#This Row],[Common Name]]&amp;" ("&amp;NodesData[[#This Row],[Class Disambiguation]]&amp;")")</f>
        <v>SCIM (Acronym)</v>
      </c>
      <c r="E374" s="13" t="s">
        <v>1092</v>
      </c>
      <c r="F374" s="20" t="str" cm="1">
        <f t="array" ref="F374">"n"&amp;SUBSTITUTE(CreateGuidString(),"-","_")</f>
        <v>n05E42195_B862_4C16_9696_91F245D7EE55</v>
      </c>
    </row>
    <row r="375" spans="1:6" x14ac:dyDescent="0.35">
      <c r="A375" s="13" t="s">
        <v>1093</v>
      </c>
      <c r="B375" s="14" t="s">
        <v>1714</v>
      </c>
      <c r="C375" s="13" t="s">
        <v>1270</v>
      </c>
      <c r="D375" s="13" t="str">
        <f>IF(NodesData[[#This Row],[Class Disambiguation]]="",NodesData[[#This Row],[Common Name]],NodesData[[#This Row],[Common Name]]&amp;" ("&amp;NodesData[[#This Row],[Class Disambiguation]]&amp;")")</f>
        <v>SCIM 1.0 (Acronym)</v>
      </c>
      <c r="E375" s="13" t="s">
        <v>1094</v>
      </c>
      <c r="F375" s="20" t="str" cm="1">
        <f t="array" ref="F375">"n"&amp;SUBSTITUTE(CreateGuidString(),"-","_")</f>
        <v>n45B9778D_5C13_428E_8745_377453350070</v>
      </c>
    </row>
    <row r="376" spans="1:6" x14ac:dyDescent="0.35">
      <c r="A376" s="13" t="s">
        <v>1095</v>
      </c>
      <c r="B376" s="14" t="s">
        <v>1715</v>
      </c>
      <c r="C376" s="13" t="s">
        <v>1270</v>
      </c>
      <c r="D376" s="13" t="str">
        <f>IF(NodesData[[#This Row],[Class Disambiguation]]="",NodesData[[#This Row],[Common Name]],NodesData[[#This Row],[Common Name]]&amp;" ("&amp;NodesData[[#This Row],[Class Disambiguation]]&amp;")")</f>
        <v>SCIM 1.1 (Acronym)</v>
      </c>
      <c r="E376" s="13" t="s">
        <v>1096</v>
      </c>
      <c r="F376" s="20" t="str" cm="1">
        <f t="array" ref="F376">"n"&amp;SUBSTITUTE(CreateGuidString(),"-","_")</f>
        <v>nF7A6F8F7_D1A1_4583_BF07_F4AAA23A5FC0</v>
      </c>
    </row>
    <row r="377" spans="1:6" x14ac:dyDescent="0.35">
      <c r="A377" s="13" t="s">
        <v>1097</v>
      </c>
      <c r="B377" s="14" t="s">
        <v>1716</v>
      </c>
      <c r="C377" s="13" t="s">
        <v>1270</v>
      </c>
      <c r="D377" s="13" t="str">
        <f>IF(NodesData[[#This Row],[Class Disambiguation]]="",NodesData[[#This Row],[Common Name]],NodesData[[#This Row],[Common Name]]&amp;" ("&amp;NodesData[[#This Row],[Class Disambiguation]]&amp;")")</f>
        <v>SCIM 2.0 (Acronym)</v>
      </c>
      <c r="E377" s="13" t="s">
        <v>1098</v>
      </c>
      <c r="F377" s="20" t="str" cm="1">
        <f t="array" ref="F377">"n"&amp;SUBSTITUTE(CreateGuidString(),"-","_")</f>
        <v>nB1CB4FC5_3192_4C0C_90C2_51A3CB44E02D</v>
      </c>
    </row>
    <row r="378" spans="1:6" x14ac:dyDescent="0.35">
      <c r="A378" s="13" t="s">
        <v>1099</v>
      </c>
      <c r="B378" s="14" t="s">
        <v>1717</v>
      </c>
      <c r="D378" s="13" t="str">
        <f>IF(NodesData[[#This Row],[Class Disambiguation]]="",NodesData[[#This Row],[Common Name]],NodesData[[#This Row],[Common Name]]&amp;" ("&amp;NodesData[[#This Row],[Class Disambiguation]]&amp;")")</f>
        <v>Scoping</v>
      </c>
      <c r="E378" s="13" t="s">
        <v>1100</v>
      </c>
      <c r="F378" s="20" t="str" cm="1">
        <f t="array" ref="F378">"n"&amp;SUBSTITUTE(CreateGuidString(),"-","_")</f>
        <v>nB95707DF_175A_4733_AD38_C491AF134824</v>
      </c>
    </row>
    <row r="379" spans="1:6" x14ac:dyDescent="0.35">
      <c r="A379" s="13" t="s">
        <v>1101</v>
      </c>
      <c r="B379" s="14" t="s">
        <v>1718</v>
      </c>
      <c r="C379" s="13" t="s">
        <v>1270</v>
      </c>
      <c r="D379" s="13" t="str">
        <f>IF(NodesData[[#This Row],[Class Disambiguation]]="",NodesData[[#This Row],[Common Name]],NodesData[[#This Row],[Common Name]]&amp;" ("&amp;NodesData[[#This Row],[Class Disambiguation]]&amp;")")</f>
        <v>SD (Acronym)</v>
      </c>
      <c r="E379" s="13" t="s">
        <v>1102</v>
      </c>
      <c r="F379" s="20" t="str" cm="1">
        <f t="array" ref="F379">"n"&amp;SUBSTITUTE(CreateGuidString(),"-","_")</f>
        <v>n88D86871_F3CA_4C4A_89A6_BAE49D411F17</v>
      </c>
    </row>
    <row r="380" spans="1:6" x14ac:dyDescent="0.35">
      <c r="A380" s="13" t="s">
        <v>1103</v>
      </c>
      <c r="B380" s="14" t="s">
        <v>1719</v>
      </c>
      <c r="C380" s="13" t="s">
        <v>1270</v>
      </c>
      <c r="D380" s="13" t="str">
        <f>IF(NodesData[[#This Row],[Class Disambiguation]]="",NodesData[[#This Row],[Common Name]],NodesData[[#This Row],[Common Name]]&amp;" ("&amp;NodesData[[#This Row],[Class Disambiguation]]&amp;")")</f>
        <v>SDP (Acronym)</v>
      </c>
      <c r="E380" s="13" t="s">
        <v>1104</v>
      </c>
      <c r="F380" s="20" t="str" cm="1">
        <f t="array" ref="F380">"n"&amp;SUBSTITUTE(CreateGuidString(),"-","_")</f>
        <v>n7EE0FA32_FD8F_4AFA_BBED_C3022DC00851</v>
      </c>
    </row>
    <row r="381" spans="1:6" x14ac:dyDescent="0.35">
      <c r="A381" s="13" t="s">
        <v>1105</v>
      </c>
      <c r="B381" s="14" t="s">
        <v>1720</v>
      </c>
      <c r="D381" s="13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E381" s="13" t="s">
        <v>1106</v>
      </c>
      <c r="F381" s="20" t="str" cm="1">
        <f t="array" ref="F381">"n"&amp;SUBSTITUTE(CreateGuidString(),"-","_")</f>
        <v>n6FB795A9_0654_484A_98CB_39F4A8B328A8</v>
      </c>
    </row>
    <row r="382" spans="1:6" x14ac:dyDescent="0.35">
      <c r="A382" s="13" t="s">
        <v>1107</v>
      </c>
      <c r="B382" s="14" t="s">
        <v>1721</v>
      </c>
      <c r="D382" s="13" t="str">
        <f>IF(NodesData[[#This Row],[Class Disambiguation]]="",NodesData[[#This Row],[Common Name]],NodesData[[#This Row],[Common Name]]&amp;" ("&amp;NodesData[[#This Row],[Class Disambiguation]]&amp;")")</f>
        <v>Secure System</v>
      </c>
      <c r="E382" s="13" t="s">
        <v>1108</v>
      </c>
      <c r="F382" s="20" t="str" cm="1">
        <f t="array" ref="F382">"n"&amp;SUBSTITUTE(CreateGuidString(),"-","_")</f>
        <v>n6D4E635D_2DE6_463F_8EB8_88312DD09C63</v>
      </c>
    </row>
    <row r="383" spans="1:6" x14ac:dyDescent="0.35">
      <c r="A383" s="13" t="s">
        <v>1109</v>
      </c>
      <c r="B383" s="14" t="s">
        <v>1722</v>
      </c>
      <c r="D383" s="13" t="str">
        <f>IF(NodesData[[#This Row],[Class Disambiguation]]="",NodesData[[#This Row],[Common Name]],NodesData[[#This Row],[Common Name]]&amp;" ("&amp;NodesData[[#This Row],[Class Disambiguation]]&amp;")")</f>
        <v>Security</v>
      </c>
      <c r="E383" s="13" t="s">
        <v>1110</v>
      </c>
      <c r="F383" s="20" t="str" cm="1">
        <f t="array" ref="F383">"n"&amp;SUBSTITUTE(CreateGuidString(),"-","_")</f>
        <v>nF5796D21_8B4C_42C8_9D75_05841FD40FC3</v>
      </c>
    </row>
    <row r="384" spans="1:6" x14ac:dyDescent="0.35">
      <c r="A384" s="13" t="s">
        <v>1111</v>
      </c>
      <c r="B384" s="14" t="s">
        <v>1723</v>
      </c>
      <c r="D384" s="13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E384" s="13" t="s">
        <v>1112</v>
      </c>
      <c r="F384" s="20" t="str" cm="1">
        <f t="array" ref="F384">"n"&amp;SUBSTITUTE(CreateGuidString(),"-","_")</f>
        <v>n451C5ACE_6DA4_4397_83A8_12A3849F84DC</v>
      </c>
    </row>
    <row r="385" spans="1:6" x14ac:dyDescent="0.35">
      <c r="A385" s="13" t="s">
        <v>421</v>
      </c>
      <c r="B385" s="14" t="s">
        <v>1724</v>
      </c>
      <c r="D385" s="13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E385" s="13" t="s">
        <v>1113</v>
      </c>
      <c r="F385" s="20" t="str" cm="1">
        <f t="array" ref="F385">"n"&amp;SUBSTITUTE(CreateGuidString(),"-","_")</f>
        <v>n8970C1C1_75D6_45CE_B26C_97397B7D020C</v>
      </c>
    </row>
    <row r="386" spans="1:6" x14ac:dyDescent="0.35">
      <c r="A386" s="13" t="s">
        <v>1114</v>
      </c>
      <c r="B386" s="14" t="s">
        <v>1725</v>
      </c>
      <c r="D386" s="13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E386" s="13" t="s">
        <v>1115</v>
      </c>
      <c r="F386" s="20" t="str" cm="1">
        <f t="array" ref="F386">"n"&amp;SUBSTITUTE(CreateGuidString(),"-","_")</f>
        <v>nB168F03B_80D9_42F3_A8D2_040BCC60FAB5</v>
      </c>
    </row>
    <row r="387" spans="1:6" x14ac:dyDescent="0.35">
      <c r="A387" s="13" t="s">
        <v>1116</v>
      </c>
      <c r="B387" s="14" t="s">
        <v>1726</v>
      </c>
      <c r="D387" s="13" t="str">
        <f>IF(NodesData[[#This Row],[Class Disambiguation]]="",NodesData[[#This Row],[Common Name]],NodesData[[#This Row],[Common Name]]&amp;" ("&amp;NodesData[[#This Row],[Class Disambiguation]]&amp;")")</f>
        <v>Security Compartment</v>
      </c>
      <c r="E387" s="13" t="s">
        <v>1117</v>
      </c>
      <c r="F387" s="20" t="str" cm="1">
        <f t="array" ref="F387">"n"&amp;SUBSTITUTE(CreateGuidString(),"-","_")</f>
        <v>n61358B37_C462_40BA_9C54_E47E8C2465E9</v>
      </c>
    </row>
    <row r="388" spans="1:6" x14ac:dyDescent="0.35">
      <c r="A388" s="13" t="s">
        <v>1118</v>
      </c>
      <c r="B388" s="14" t="s">
        <v>1727</v>
      </c>
      <c r="D388" s="13" t="str">
        <f>IF(NodesData[[#This Row],[Class Disambiguation]]="",NodesData[[#This Row],[Common Name]],NodesData[[#This Row],[Common Name]]&amp;" ("&amp;NodesData[[#This Row],[Class Disambiguation]]&amp;")")</f>
        <v>Security Label</v>
      </c>
      <c r="E388" s="13" t="s">
        <v>1119</v>
      </c>
      <c r="F388" s="20" t="str" cm="1">
        <f t="array" ref="F388">"n"&amp;SUBSTITUTE(CreateGuidString(),"-","_")</f>
        <v>nF952339B_1005_4CEF_8B82_5002EF77DD67</v>
      </c>
    </row>
    <row r="389" spans="1:6" x14ac:dyDescent="0.35">
      <c r="A389" s="13" t="s">
        <v>1329</v>
      </c>
      <c r="B389" s="14" t="s">
        <v>1735</v>
      </c>
      <c r="D389" s="13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F389" s="20" t="str" cm="1">
        <f t="array" ref="F389">"n"&amp;SUBSTITUTE(CreateGuidString(),"-","_")</f>
        <v>n140EBD7D_AC15_4627_BFBE_594AD7B05DB6</v>
      </c>
    </row>
    <row r="390" spans="1:6" x14ac:dyDescent="0.35">
      <c r="A390" s="13" t="s">
        <v>1120</v>
      </c>
      <c r="B390" s="14" t="s">
        <v>1729</v>
      </c>
      <c r="D390" s="13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E390" s="13" t="s">
        <v>1121</v>
      </c>
      <c r="F390" s="20" t="str" cm="1">
        <f t="array" ref="F390">"n"&amp;SUBSTITUTE(CreateGuidString(),"-","_")</f>
        <v>n2771E952_FFF2_48BC_9ABF_BDD1C60243F3</v>
      </c>
    </row>
    <row r="391" spans="1:6" x14ac:dyDescent="0.35">
      <c r="A391" s="13" t="s">
        <v>426</v>
      </c>
      <c r="B391" s="14" t="s">
        <v>1730</v>
      </c>
      <c r="D391" s="13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E391" s="13" t="s">
        <v>1122</v>
      </c>
      <c r="F391" s="20" t="str" cm="1">
        <f t="array" ref="F391">"n"&amp;SUBSTITUTE(CreateGuidString(),"-","_")</f>
        <v>n0A87354F_6983_444A_988F_257BBE4F62B9</v>
      </c>
    </row>
    <row r="392" spans="1:6" x14ac:dyDescent="0.35">
      <c r="A392" s="13" t="s">
        <v>1123</v>
      </c>
      <c r="B392" s="14" t="s">
        <v>1731</v>
      </c>
      <c r="D392" s="13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E392" s="13" t="s">
        <v>1124</v>
      </c>
      <c r="F392" s="20" t="str" cm="1">
        <f t="array" ref="F392">"n"&amp;SUBSTITUTE(CreateGuidString(),"-","_")</f>
        <v>nC559EFD0_40C7_47C3_9E19_EE151B162565</v>
      </c>
    </row>
    <row r="393" spans="1:6" x14ac:dyDescent="0.35">
      <c r="A393" s="13" t="s">
        <v>1125</v>
      </c>
      <c r="B393" s="14" t="s">
        <v>1732</v>
      </c>
      <c r="D393" s="13" t="str">
        <f>IF(NodesData[[#This Row],[Class Disambiguation]]="",NodesData[[#This Row],[Common Name]],NodesData[[#This Row],[Common Name]]&amp;" ("&amp;NodesData[[#This Row],[Class Disambiguation]]&amp;")")</f>
        <v>Service Account</v>
      </c>
      <c r="E393" s="13" t="s">
        <v>1126</v>
      </c>
      <c r="F393" s="20" t="str" cm="1">
        <f t="array" ref="F393">"n"&amp;SUBSTITUTE(CreateGuidString(),"-","_")</f>
        <v>n9FF990E9_0D4C_4A5A_BAD2_DC561989BB72</v>
      </c>
    </row>
    <row r="394" spans="1:6" x14ac:dyDescent="0.35">
      <c r="A394" s="13" t="s">
        <v>429</v>
      </c>
      <c r="B394" s="14" t="s">
        <v>1733</v>
      </c>
      <c r="D394" s="13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E394" s="13" t="s">
        <v>1127</v>
      </c>
      <c r="F394" s="20" t="str" cm="1">
        <f t="array" ref="F394">"n"&amp;SUBSTITUTE(CreateGuidString(),"-","_")</f>
        <v>nB3368598_940F_46D0_A71A_001FDF7E149B</v>
      </c>
    </row>
    <row r="395" spans="1:6" x14ac:dyDescent="0.35">
      <c r="A395" s="13" t="s">
        <v>1128</v>
      </c>
      <c r="B395" s="14" t="s">
        <v>1734</v>
      </c>
      <c r="D395" s="13" t="str">
        <f>IF(NodesData[[#This Row],[Class Disambiguation]]="",NodesData[[#This Row],[Common Name]],NodesData[[#This Row],[Common Name]]&amp;" ("&amp;NodesData[[#This Row],[Class Disambiguation]]&amp;")")</f>
        <v>Session</v>
      </c>
      <c r="E395" s="13" t="s">
        <v>1129</v>
      </c>
      <c r="F395" s="20" t="str" cm="1">
        <f t="array" ref="F395">"n"&amp;SUBSTITUTE(CreateGuidString(),"-","_")</f>
        <v>n845855A0_3345_429A_AF07_34474EC613F5</v>
      </c>
    </row>
    <row r="396" spans="1:6" x14ac:dyDescent="0.35">
      <c r="A396" s="13" t="s">
        <v>1331</v>
      </c>
      <c r="B396" s="14" t="s">
        <v>1740</v>
      </c>
      <c r="D396" s="13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F396" s="20" t="str" cm="1">
        <f t="array" ref="F396">"n"&amp;SUBSTITUTE(CreateGuidString(),"-","_")</f>
        <v>n89CE197D_DB95_4DC8_BDE0_93D7A09C1962</v>
      </c>
    </row>
    <row r="397" spans="1:6" x14ac:dyDescent="0.35">
      <c r="A397" s="13" t="s">
        <v>1130</v>
      </c>
      <c r="B397" s="14" t="s">
        <v>1736</v>
      </c>
      <c r="D397" s="13" t="str">
        <f>IF(NodesData[[#This Row],[Class Disambiguation]]="",NodesData[[#This Row],[Common Name]],NodesData[[#This Row],[Common Name]]&amp;" ("&amp;NodesData[[#This Row],[Class Disambiguation]]&amp;")")</f>
        <v>Single Login</v>
      </c>
      <c r="E397" s="13" t="s">
        <v>1131</v>
      </c>
      <c r="F397" s="20" t="str" cm="1">
        <f t="array" ref="F397">"n"&amp;SUBSTITUTE(CreateGuidString(),"-","_")</f>
        <v>n4673A239_F8AA_4EDC_90AC_670A136AE153</v>
      </c>
    </row>
    <row r="398" spans="1:6" x14ac:dyDescent="0.35">
      <c r="A398" s="13" t="s">
        <v>1132</v>
      </c>
      <c r="B398" s="14" t="s">
        <v>1737</v>
      </c>
      <c r="D398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E398" s="13" t="s">
        <v>1133</v>
      </c>
      <c r="F398" s="20" t="str" cm="1">
        <f t="array" ref="F398">"n"&amp;SUBSTITUTE(CreateGuidString(),"-","_")</f>
        <v>nBB380558_9A70_47A3_8F9D_FFE1990DDC32</v>
      </c>
    </row>
    <row r="399" spans="1:6" x14ac:dyDescent="0.35">
      <c r="A399" s="13" t="s">
        <v>1132</v>
      </c>
      <c r="B399" s="14" t="s">
        <v>1738</v>
      </c>
      <c r="D399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F399" s="20" t="str" cm="1">
        <f t="array" ref="F399">"n"&amp;SUBSTITUTE(CreateGuidString(),"-","_")</f>
        <v>nE40F84B3_5965_4BD3_9698_C9BD85502077</v>
      </c>
    </row>
    <row r="400" spans="1:6" x14ac:dyDescent="0.35">
      <c r="A400" s="13" t="s">
        <v>1321</v>
      </c>
      <c r="B400" s="14" t="s">
        <v>1739</v>
      </c>
      <c r="D400" s="13" t="str">
        <f>IF(NodesData[[#This Row],[Class Disambiguation]]="",NodesData[[#This Row],[Common Name]],NodesData[[#This Row],[Common Name]]&amp;" ("&amp;NodesData[[#This Row],[Class Disambiguation]]&amp;")")</f>
        <v>SMS OTP</v>
      </c>
      <c r="F400" s="20" t="str" cm="1">
        <f t="array" ref="F400">"n"&amp;SUBSTITUTE(CreateGuidString(),"-","_")</f>
        <v>n6A28B72A_B537_45C8_AE82_0E5D62180303</v>
      </c>
    </row>
    <row r="401" spans="1:6" x14ac:dyDescent="0.35">
      <c r="A401" s="13" t="s">
        <v>433</v>
      </c>
      <c r="B401" s="14" t="s">
        <v>1753</v>
      </c>
      <c r="D401" s="13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E401" s="13" t="s">
        <v>1134</v>
      </c>
      <c r="F401" s="20" t="str" cm="1">
        <f t="array" ref="F401">"n"&amp;SUBSTITUTE(CreateGuidString(),"-","_")</f>
        <v>nEA6BE3FD_CC1B_470F_AC21_D39782A5874D</v>
      </c>
    </row>
    <row r="402" spans="1:6" x14ac:dyDescent="0.35">
      <c r="A402" s="13" t="s">
        <v>434</v>
      </c>
      <c r="B402" s="14" t="s">
        <v>1741</v>
      </c>
      <c r="D402" s="13" t="str">
        <f>IF(NodesData[[#This Row],[Class Disambiguation]]="",NodesData[[#This Row],[Common Name]],NodesData[[#This Row],[Common Name]]&amp;" ("&amp;NodesData[[#This Row],[Class Disambiguation]]&amp;")")</f>
        <v>Social Honeypot</v>
      </c>
      <c r="E402" s="13" t="s">
        <v>1135</v>
      </c>
      <c r="F402" s="20" t="str" cm="1">
        <f t="array" ref="F402">"n"&amp;SUBSTITUTE(CreateGuidString(),"-","_")</f>
        <v>n56C49CEE_3C85_4CD4_8FD4_F242904519F3</v>
      </c>
    </row>
    <row r="403" spans="1:6" x14ac:dyDescent="0.35">
      <c r="A403" s="13" t="s">
        <v>1136</v>
      </c>
      <c r="B403" s="14" t="s">
        <v>1742</v>
      </c>
      <c r="C403" s="13" t="s">
        <v>1270</v>
      </c>
      <c r="D403" s="13" t="str">
        <f>IF(NodesData[[#This Row],[Class Disambiguation]]="",NodesData[[#This Row],[Common Name]],NodesData[[#This Row],[Common Name]]&amp;" ("&amp;NodesData[[#This Row],[Class Disambiguation]]&amp;")")</f>
        <v>SoD (Acronym)</v>
      </c>
      <c r="E403" s="13" t="s">
        <v>1137</v>
      </c>
      <c r="F403" s="20" t="str" cm="1">
        <f t="array" ref="F403">"n"&amp;SUBSTITUTE(CreateGuidString(),"-","_")</f>
        <v>n91A0927A_9AA3_490A_95A7_D8E187DDB297</v>
      </c>
    </row>
    <row r="404" spans="1:6" x14ac:dyDescent="0.35">
      <c r="A404" s="13" t="s">
        <v>1320</v>
      </c>
      <c r="B404" s="14" t="s">
        <v>1743</v>
      </c>
      <c r="D404" s="13" t="str">
        <f>IF(NodesData[[#This Row],[Class Disambiguation]]="",NodesData[[#This Row],[Common Name]],NodesData[[#This Row],[Common Name]]&amp;" ("&amp;NodesData[[#This Row],[Class Disambiguation]]&amp;")")</f>
        <v>Software / App OTP</v>
      </c>
      <c r="F404" s="20" t="str" cm="1">
        <f t="array" ref="F404">"n"&amp;SUBSTITUTE(CreateGuidString(),"-","_")</f>
        <v>n1063347A_E44B_4798_B9ED_0EB2416CD317</v>
      </c>
    </row>
    <row r="405" spans="1:6" x14ac:dyDescent="0.35">
      <c r="A405" s="13" t="s">
        <v>1138</v>
      </c>
      <c r="B405" s="14" t="s">
        <v>1744</v>
      </c>
      <c r="D405" s="13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E405" s="13" t="s">
        <v>1139</v>
      </c>
      <c r="F405" s="20" t="str" cm="1">
        <f t="array" ref="F405">"n"&amp;SUBSTITUTE(CreateGuidString(),"-","_")</f>
        <v>nD4CA1402_505D_4A0E_9A25_EF9E63DA82A4</v>
      </c>
    </row>
    <row r="406" spans="1:6" x14ac:dyDescent="0.35">
      <c r="A406" s="13" t="s">
        <v>1140</v>
      </c>
      <c r="B406" s="14" t="s">
        <v>1745</v>
      </c>
      <c r="C406" s="13" t="s">
        <v>1270</v>
      </c>
      <c r="D406" s="13" t="str">
        <f>IF(NodesData[[#This Row],[Class Disambiguation]]="",NodesData[[#This Row],[Common Name]],NodesData[[#This Row],[Common Name]]&amp;" ("&amp;NodesData[[#This Row],[Class Disambiguation]]&amp;")")</f>
        <v>SPIFFE (Acronym)</v>
      </c>
      <c r="E406" s="13" t="s">
        <v>1141</v>
      </c>
      <c r="F406" s="20" t="str" cm="1">
        <f t="array" ref="F406">"n"&amp;SUBSTITUTE(CreateGuidString(),"-","_")</f>
        <v>n81302D2B_883D_4A64_815B_19E8BDD66BF7</v>
      </c>
    </row>
    <row r="407" spans="1:6" x14ac:dyDescent="0.35">
      <c r="A407" s="13" t="s">
        <v>1142</v>
      </c>
      <c r="B407" s="14" t="s">
        <v>1746</v>
      </c>
      <c r="C407" s="13" t="s">
        <v>1270</v>
      </c>
      <c r="D407" s="13" t="str">
        <f>IF(NodesData[[#This Row],[Class Disambiguation]]="",NodesData[[#This Row],[Common Name]],NodesData[[#This Row],[Common Name]]&amp;" ("&amp;NodesData[[#This Row],[Class Disambiguation]]&amp;")")</f>
        <v>SPMS (Acronym)</v>
      </c>
      <c r="E407" s="13" t="s">
        <v>1143</v>
      </c>
      <c r="F407" s="20" t="str" cm="1">
        <f t="array" ref="F407">"n"&amp;SUBSTITUTE(CreateGuidString(),"-","_")</f>
        <v>n27DA3817_375E_4971_B3EC_1C118A9EED45</v>
      </c>
    </row>
    <row r="408" spans="1:6" x14ac:dyDescent="0.35">
      <c r="A408" s="13" t="s">
        <v>1144</v>
      </c>
      <c r="B408" s="14" t="s">
        <v>1747</v>
      </c>
      <c r="C408" s="13" t="s">
        <v>1270</v>
      </c>
      <c r="D408" s="13" t="str">
        <f>IF(NodesData[[#This Row],[Class Disambiguation]]="",NodesData[[#This Row],[Common Name]],NodesData[[#This Row],[Common Name]]&amp;" ("&amp;NodesData[[#This Row],[Class Disambiguation]]&amp;")")</f>
        <v>SSH Key (Acronym)</v>
      </c>
      <c r="E408" s="13" t="s">
        <v>1145</v>
      </c>
      <c r="F408" s="20" t="str" cm="1">
        <f t="array" ref="F408">"n"&amp;SUBSTITUTE(CreateGuidString(),"-","_")</f>
        <v>nB1C0E334_93DF_47B6_A417_5B6B2A3702C1</v>
      </c>
    </row>
    <row r="409" spans="1:6" x14ac:dyDescent="0.35">
      <c r="A409" s="13" t="s">
        <v>440</v>
      </c>
      <c r="B409" s="14" t="s">
        <v>1748</v>
      </c>
      <c r="C409" s="13" t="s">
        <v>1270</v>
      </c>
      <c r="D409" s="13" t="str">
        <f>IF(NodesData[[#This Row],[Class Disambiguation]]="",NodesData[[#This Row],[Common Name]],NodesData[[#This Row],[Common Name]]&amp;" ("&amp;NodesData[[#This Row],[Class Disambiguation]]&amp;")")</f>
        <v>SSI (Acronym)</v>
      </c>
      <c r="E409" s="13" t="s">
        <v>1146</v>
      </c>
      <c r="F409" s="20" t="str" cm="1">
        <f t="array" ref="F409">"n"&amp;SUBSTITUTE(CreateGuidString(),"-","_")</f>
        <v>n3787D1A2_405A_428E_BE81_31AF431A1C17</v>
      </c>
    </row>
    <row r="410" spans="1:6" x14ac:dyDescent="0.35">
      <c r="A410" s="13" t="s">
        <v>1147</v>
      </c>
      <c r="B410" s="14" t="s">
        <v>1749</v>
      </c>
      <c r="C410" s="13" t="s">
        <v>1270</v>
      </c>
      <c r="D410" s="13" t="str">
        <f>IF(NodesData[[#This Row],[Class Disambiguation]]="",NodesData[[#This Row],[Common Name]],NodesData[[#This Row],[Common Name]]&amp;" ("&amp;NodesData[[#This Row],[Class Disambiguation]]&amp;")")</f>
        <v>SSO (Acronym)</v>
      </c>
      <c r="E410" s="13" t="s">
        <v>1148</v>
      </c>
      <c r="F410" s="20" t="str" cm="1">
        <f t="array" ref="F410">"n"&amp;SUBSTITUTE(CreateGuidString(),"-","_")</f>
        <v>n4620336D_FAB4_4E4A_A51C_B3ACDAC8FEE3</v>
      </c>
    </row>
    <row r="411" spans="1:6" x14ac:dyDescent="0.35">
      <c r="A411" s="13" t="s">
        <v>1147</v>
      </c>
      <c r="B411" s="14" t="s">
        <v>1750</v>
      </c>
      <c r="D411" s="13" t="str">
        <f>IF(NodesData[[#This Row],[Class Disambiguation]]="",NodesData[[#This Row],[Common Name]],NodesData[[#This Row],[Common Name]]&amp;" ("&amp;NodesData[[#This Row],[Class Disambiguation]]&amp;")")</f>
        <v>SSO</v>
      </c>
      <c r="F411" s="20" t="str" cm="1">
        <f t="array" ref="F411">"n"&amp;SUBSTITUTE(CreateGuidString(),"-","_")</f>
        <v>n338F1EEF_5470_4F80_BC64_F0A86A8D3A92</v>
      </c>
    </row>
    <row r="412" spans="1:6" x14ac:dyDescent="0.35">
      <c r="A412" s="13" t="s">
        <v>1149</v>
      </c>
      <c r="B412" s="14" t="s">
        <v>1751</v>
      </c>
      <c r="D412" s="13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E412" s="13" t="s">
        <v>1150</v>
      </c>
      <c r="F412" s="20" t="str" cm="1">
        <f t="array" ref="F412">"n"&amp;SUBSTITUTE(CreateGuidString(),"-","_")</f>
        <v>nC8A3E2C0_7854_4A2C_B812_FF78E2B5EF70</v>
      </c>
    </row>
    <row r="413" spans="1:6" x14ac:dyDescent="0.35">
      <c r="A413" s="13" t="s">
        <v>1151</v>
      </c>
      <c r="B413" s="14" t="s">
        <v>1752</v>
      </c>
      <c r="D413" s="13" t="str">
        <f>IF(NodesData[[#This Row],[Class Disambiguation]]="",NodesData[[#This Row],[Common Name]],NodesData[[#This Row],[Common Name]]&amp;" ("&amp;NodesData[[#This Row],[Class Disambiguation]]&amp;")")</f>
        <v>Stakeholder</v>
      </c>
      <c r="E413" s="13" t="s">
        <v>1152</v>
      </c>
      <c r="F413" s="20" t="str" cm="1">
        <f t="array" ref="F413">"n"&amp;SUBSTITUTE(CreateGuidString(),"-","_")</f>
        <v>nCB17A32C_73D6_465E_A880_76DCE20B891D</v>
      </c>
    </row>
    <row r="414" spans="1:6" x14ac:dyDescent="0.35">
      <c r="A414" s="13" t="s">
        <v>444</v>
      </c>
      <c r="B414" s="14" t="s">
        <v>1756</v>
      </c>
      <c r="D414" s="13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E414" s="13" t="s">
        <v>1153</v>
      </c>
      <c r="F414" s="20" t="str" cm="1">
        <f t="array" ref="F414">"n"&amp;SUBSTITUTE(CreateGuidString(),"-","_")</f>
        <v>n81B27013_E4CB_429D_8BD0_679D6F8740C8</v>
      </c>
    </row>
    <row r="415" spans="1:6" x14ac:dyDescent="0.35">
      <c r="A415" s="13" t="s">
        <v>1154</v>
      </c>
      <c r="B415" s="14" t="s">
        <v>1754</v>
      </c>
      <c r="D415" s="13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E415" s="13" t="s">
        <v>1155</v>
      </c>
      <c r="F415" s="20" t="str" cm="1">
        <f t="array" ref="F415">"n"&amp;SUBSTITUTE(CreateGuidString(),"-","_")</f>
        <v>nDABD760E_6B8E_4BA8_91C8_A27C03A98657</v>
      </c>
    </row>
    <row r="416" spans="1:6" x14ac:dyDescent="0.35">
      <c r="A416" s="13" t="s">
        <v>1156</v>
      </c>
      <c r="B416" s="14" t="s">
        <v>1755</v>
      </c>
      <c r="D416" s="13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E416" s="13" t="s">
        <v>1157</v>
      </c>
      <c r="F416" s="20" t="str" cm="1">
        <f t="array" ref="F416">"n"&amp;SUBSTITUTE(CreateGuidString(),"-","_")</f>
        <v>nEC538370_1F0D_4089_9B2B_6389B0038333</v>
      </c>
    </row>
    <row r="417" spans="1:6" x14ac:dyDescent="0.35">
      <c r="A417" s="13" t="s">
        <v>1158</v>
      </c>
      <c r="B417" s="14" t="s">
        <v>1770</v>
      </c>
      <c r="D417" s="13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E417" s="13" t="s">
        <v>1159</v>
      </c>
      <c r="F417" s="20" t="str" cm="1">
        <f t="array" ref="F417">"n"&amp;SUBSTITUTE(CreateGuidString(),"-","_")</f>
        <v>n405EEAED_A881_4AC4_BEC4_F2EAA58C4B4F</v>
      </c>
    </row>
    <row r="418" spans="1:6" x14ac:dyDescent="0.35">
      <c r="A418" s="13" t="s">
        <v>1160</v>
      </c>
      <c r="B418" s="14" t="s">
        <v>1757</v>
      </c>
      <c r="D418" s="13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E418" s="13" t="s">
        <v>1161</v>
      </c>
      <c r="F418" s="20" t="str" cm="1">
        <f t="array" ref="F418">"n"&amp;SUBSTITUTE(CreateGuidString(),"-","_")</f>
        <v>nDDED2C48_F341_4C2D_B22D_1890E18A3053</v>
      </c>
    </row>
    <row r="419" spans="1:6" x14ac:dyDescent="0.35">
      <c r="A419" s="13" t="s">
        <v>1162</v>
      </c>
      <c r="B419" s="14" t="s">
        <v>1758</v>
      </c>
      <c r="D419" s="13" t="str">
        <f>IF(NodesData[[#This Row],[Class Disambiguation]]="",NodesData[[#This Row],[Common Name]],NodesData[[#This Row],[Common Name]]&amp;" ("&amp;NodesData[[#This Row],[Class Disambiguation]]&amp;")")</f>
        <v>Subject</v>
      </c>
      <c r="E419" s="13" t="s">
        <v>1163</v>
      </c>
      <c r="F419" s="20" t="str" cm="1">
        <f t="array" ref="F419">"n"&amp;SUBSTITUTE(CreateGuidString(),"-","_")</f>
        <v>n2D1B485D_69F1_4D72_98EB_D7542BF734F7</v>
      </c>
    </row>
    <row r="420" spans="1:6" x14ac:dyDescent="0.35">
      <c r="A420" s="13" t="s">
        <v>1164</v>
      </c>
      <c r="B420" s="14" t="s">
        <v>1759</v>
      </c>
      <c r="D420" s="13" t="str">
        <f>IF(NodesData[[#This Row],[Class Disambiguation]]="",NodesData[[#This Row],[Common Name]],NodesData[[#This Row],[Common Name]]&amp;" ("&amp;NodesData[[#This Row],[Class Disambiguation]]&amp;")")</f>
        <v>Subjective Indicator</v>
      </c>
      <c r="E420" s="13" t="s">
        <v>1165</v>
      </c>
      <c r="F420" s="20" t="str" cm="1">
        <f t="array" ref="F420">"n"&amp;SUBSTITUTE(CreateGuidString(),"-","_")</f>
        <v>n505036A7_2E3D_473B_8BFC_94A7277150E0</v>
      </c>
    </row>
    <row r="421" spans="1:6" x14ac:dyDescent="0.35">
      <c r="A421" s="13" t="s">
        <v>451</v>
      </c>
      <c r="B421" s="14" t="s">
        <v>1760</v>
      </c>
      <c r="D421" s="13" t="str">
        <f>IF(NodesData[[#This Row],[Class Disambiguation]]="",NodesData[[#This Row],[Common Name]],NodesData[[#This Row],[Common Name]]&amp;" ("&amp;NodesData[[#This Row],[Class Disambiguation]]&amp;")")</f>
        <v>Supply Chain Attack</v>
      </c>
      <c r="E421" s="13" t="s">
        <v>1166</v>
      </c>
      <c r="F421" s="20" t="str" cm="1">
        <f t="array" ref="F421">"n"&amp;SUBSTITUTE(CreateGuidString(),"-","_")</f>
        <v>n4871885E_6A43_476C_8A0F_3441FB22FD89</v>
      </c>
    </row>
    <row r="422" spans="1:6" x14ac:dyDescent="0.35">
      <c r="A422" s="13" t="s">
        <v>452</v>
      </c>
      <c r="B422" s="14" t="s">
        <v>1761</v>
      </c>
      <c r="D422" s="13" t="str">
        <f>IF(NodesData[[#This Row],[Class Disambiguation]]="",NodesData[[#This Row],[Common Name]],NodesData[[#This Row],[Common Name]]&amp;" ("&amp;NodesData[[#This Row],[Class Disambiguation]]&amp;")")</f>
        <v>Sybil Attack</v>
      </c>
      <c r="E422" s="13" t="s">
        <v>1167</v>
      </c>
      <c r="F422" s="20" t="str" cm="1">
        <f t="array" ref="F422">"n"&amp;SUBSTITUTE(CreateGuidString(),"-","_")</f>
        <v>n45634F4A_6CB4_4B30_83CF_733F6FB3DF64</v>
      </c>
    </row>
    <row r="423" spans="1:6" x14ac:dyDescent="0.35">
      <c r="A423" s="13" t="s">
        <v>1168</v>
      </c>
      <c r="B423" s="14" t="s">
        <v>1762</v>
      </c>
      <c r="D423" s="13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E423" s="13" t="s">
        <v>1169</v>
      </c>
      <c r="F423" s="20" t="str" cm="1">
        <f t="array" ref="F423">"n"&amp;SUBSTITUTE(CreateGuidString(),"-","_")</f>
        <v>n8A1E8CBD_6062_4C29_85F0_BBCB2FDACC34</v>
      </c>
    </row>
    <row r="424" spans="1:6" x14ac:dyDescent="0.35">
      <c r="A424" s="13" t="s">
        <v>454</v>
      </c>
      <c r="B424" s="14" t="s">
        <v>1763</v>
      </c>
      <c r="D424" s="13" t="str">
        <f>IF(NodesData[[#This Row],[Class Disambiguation]]="",NodesData[[#This Row],[Common Name]],NodesData[[#This Row],[Common Name]]&amp;" ("&amp;NodesData[[#This Row],[Class Disambiguation]]&amp;")")</f>
        <v>System</v>
      </c>
      <c r="E424" s="13" t="s">
        <v>1170</v>
      </c>
      <c r="F424" s="20" t="str" cm="1">
        <f t="array" ref="F424">"n"&amp;SUBSTITUTE(CreateGuidString(),"-","_")</f>
        <v>nCA021C69_7CCE_479D_9DEA_FE0FCE8B75FC</v>
      </c>
    </row>
    <row r="425" spans="1:6" x14ac:dyDescent="0.35">
      <c r="A425" s="13" t="s">
        <v>455</v>
      </c>
      <c r="B425" s="14" t="s">
        <v>1764</v>
      </c>
      <c r="D425" s="13" t="str">
        <f>IF(NodesData[[#This Row],[Class Disambiguation]]="",NodesData[[#This Row],[Common Name]],NodesData[[#This Row],[Common Name]]&amp;" ("&amp;NodesData[[#This Row],[Class Disambiguation]]&amp;")")</f>
        <v>System Boundaries</v>
      </c>
      <c r="E425" s="13" t="s">
        <v>1171</v>
      </c>
      <c r="F425" s="20" t="str" cm="1">
        <f t="array" ref="F425">"n"&amp;SUBSTITUTE(CreateGuidString(),"-","_")</f>
        <v>nFBCF3DC1_B630_4B4A_BBD0_E2B4EDCB4F18</v>
      </c>
    </row>
    <row r="426" spans="1:6" x14ac:dyDescent="0.35">
      <c r="A426" s="13" t="s">
        <v>1172</v>
      </c>
      <c r="B426" s="14" t="s">
        <v>1765</v>
      </c>
      <c r="D426" s="13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E426" s="13" t="s">
        <v>1173</v>
      </c>
      <c r="F426" s="20" t="str" cm="1">
        <f t="array" ref="F426">"n"&amp;SUBSTITUTE(CreateGuidString(),"-","_")</f>
        <v>n87F5E149_84E5_4E00_912A_FA1FFBAAE003</v>
      </c>
    </row>
    <row r="427" spans="1:6" x14ac:dyDescent="0.35">
      <c r="A427" s="13" t="s">
        <v>1174</v>
      </c>
      <c r="B427" s="14" t="s">
        <v>1766</v>
      </c>
      <c r="D427" s="13" t="str">
        <f>IF(NodesData[[#This Row],[Class Disambiguation]]="",NodesData[[#This Row],[Common Name]],NodesData[[#This Row],[Common Name]]&amp;" ("&amp;NodesData[[#This Row],[Class Disambiguation]]&amp;")")</f>
        <v>System Owner</v>
      </c>
      <c r="E427" s="13" t="s">
        <v>1175</v>
      </c>
      <c r="F427" s="20" t="str" cm="1">
        <f t="array" ref="F427">"n"&amp;SUBSTITUTE(CreateGuidString(),"-","_")</f>
        <v>n39AF38CE_254B_4CC9_94D1_2E054858BF18</v>
      </c>
    </row>
    <row r="428" spans="1:6" x14ac:dyDescent="0.35">
      <c r="A428" s="13" t="s">
        <v>1176</v>
      </c>
      <c r="B428" s="14" t="s">
        <v>1767</v>
      </c>
      <c r="D428" s="13" t="str">
        <f>IF(NodesData[[#This Row],[Class Disambiguation]]="",NodesData[[#This Row],[Common Name]],NodesData[[#This Row],[Common Name]]&amp;" ("&amp;NodesData[[#This Row],[Class Disambiguation]]&amp;")")</f>
        <v>System Z</v>
      </c>
      <c r="E428" s="13" t="s">
        <v>1177</v>
      </c>
      <c r="F428" s="20" t="str" cm="1">
        <f t="array" ref="F428">"n"&amp;SUBSTITUTE(CreateGuidString(),"-","_")</f>
        <v>n01547E82_515B_44A4_B130_3E1ACA55EC3B</v>
      </c>
    </row>
    <row r="429" spans="1:6" x14ac:dyDescent="0.35">
      <c r="A429" s="13" t="s">
        <v>1322</v>
      </c>
      <c r="B429" s="14" t="s">
        <v>1768</v>
      </c>
      <c r="D429" s="13" t="str">
        <f>IF(NodesData[[#This Row],[Class Disambiguation]]="",NodesData[[#This Row],[Common Name]],NodesData[[#This Row],[Common Name]]&amp;" ("&amp;NodesData[[#This Row],[Class Disambiguation]]&amp;")")</f>
        <v>TAN List OTP</v>
      </c>
      <c r="F429" s="20" t="str" cm="1">
        <f t="array" ref="F429">"n"&amp;SUBSTITUTE(CreateGuidString(),"-","_")</f>
        <v>n612A6C79_6777_4DC0_8933_42616B8F7E6F</v>
      </c>
    </row>
    <row r="430" spans="1:6" x14ac:dyDescent="0.35">
      <c r="A430" s="13" t="s">
        <v>1178</v>
      </c>
      <c r="B430" s="14" t="s">
        <v>1769</v>
      </c>
      <c r="D430" s="13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E430" s="13" t="s">
        <v>1179</v>
      </c>
      <c r="F430" s="20" t="str" cm="1">
        <f t="array" ref="F430">"n"&amp;SUBSTITUTE(CreateGuidString(),"-","_")</f>
        <v>nDF47CC6C_A0FD_4A22_A11C_CFEA60EFB1E3</v>
      </c>
    </row>
    <row r="431" spans="1:6" x14ac:dyDescent="0.35">
      <c r="A431" s="13" t="s">
        <v>1326</v>
      </c>
      <c r="B431" s="14" t="s">
        <v>1772</v>
      </c>
      <c r="D431" s="13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F431" s="20" t="str" cm="1">
        <f t="array" ref="F431">"n"&amp;SUBSTITUTE(CreateGuidString(),"-","_")</f>
        <v>n06007DBE_60E7_48F7_A561_C5FA7F36A5A7</v>
      </c>
    </row>
    <row r="432" spans="1:6" x14ac:dyDescent="0.35">
      <c r="A432" s="12" t="s">
        <v>1340</v>
      </c>
      <c r="B432" s="14" t="s">
        <v>1849</v>
      </c>
      <c r="D432" s="19" t="str">
        <f>IF(NodesData[[#This Row],[Class Disambiguation]]="",NodesData[[#This Row],[Common Name]],NodesData[[#This Row],[Common Name]]&amp;" ("&amp;NodesData[[#This Row],[Class Disambiguation]]&amp;")")</f>
        <v>Threat Agent</v>
      </c>
      <c r="F432" s="21" t="str" cm="1">
        <f t="array" ref="F432">"n"&amp;SUBSTITUTE(CreateGuidString(),"-","_")</f>
        <v>n3AED8C61_13E4_4E5C_BA2D_3FA148CF80E2</v>
      </c>
    </row>
    <row r="433" spans="1:6" x14ac:dyDescent="0.35">
      <c r="A433" s="13" t="s">
        <v>1297</v>
      </c>
      <c r="B433" s="14" t="s">
        <v>1771</v>
      </c>
      <c r="D433" s="13" t="str">
        <f>IF(NodesData[[#This Row],[Class Disambiguation]]="",NodesData[[#This Row],[Common Name]],NodesData[[#This Row],[Common Name]]&amp;" ("&amp;NodesData[[#This Row],[Class Disambiguation]]&amp;")")</f>
        <v>Time Factor</v>
      </c>
      <c r="F433" s="20" t="str" cm="1">
        <f t="array" ref="F433">"n"&amp;SUBSTITUTE(CreateGuidString(),"-","_")</f>
        <v>nD3309AED_19CD_47D7_97E1_67752B0640A8</v>
      </c>
    </row>
    <row r="434" spans="1:6" x14ac:dyDescent="0.35">
      <c r="A434" s="13" t="s">
        <v>1330</v>
      </c>
      <c r="B434" s="14" t="s">
        <v>1773</v>
      </c>
      <c r="D434" s="13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F434" s="20" t="str" cm="1">
        <f t="array" ref="F434">"n"&amp;SUBSTITUTE(CreateGuidString(),"-","_")</f>
        <v>n6D7DE11E_1029_4A57_9E4A_F4245DF5E94E</v>
      </c>
    </row>
    <row r="435" spans="1:6" x14ac:dyDescent="0.35">
      <c r="A435" s="13" t="s">
        <v>1312</v>
      </c>
      <c r="B435" s="14" t="s">
        <v>1787</v>
      </c>
      <c r="D435" s="13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F435" s="20" t="str" cm="1">
        <f t="array" ref="F435">"n"&amp;SUBSTITUTE(CreateGuidString(),"-","_")</f>
        <v>n694EFF4E_6920_4F55_964A_0723D19BFCF5</v>
      </c>
    </row>
    <row r="436" spans="1:6" x14ac:dyDescent="0.35">
      <c r="A436" s="13" t="s">
        <v>1180</v>
      </c>
      <c r="B436" s="14" t="s">
        <v>1774</v>
      </c>
      <c r="D436" s="13" t="str">
        <f>IF(NodesData[[#This Row],[Class Disambiguation]]="",NodesData[[#This Row],[Common Name]],NodesData[[#This Row],[Common Name]]&amp;" ("&amp;NodesData[[#This Row],[Class Disambiguation]]&amp;")")</f>
        <v>Toxic Combinations</v>
      </c>
      <c r="E436" s="13" t="s">
        <v>1181</v>
      </c>
      <c r="F436" s="20" t="str" cm="1">
        <f t="array" ref="F436">"n"&amp;SUBSTITUTE(CreateGuidString(),"-","_")</f>
        <v>nB5CDCE01_B14D_4091_B342_EAAB5F552993</v>
      </c>
    </row>
    <row r="437" spans="1:6" x14ac:dyDescent="0.35">
      <c r="A437" s="13" t="s">
        <v>467</v>
      </c>
      <c r="B437" s="14" t="s">
        <v>1775</v>
      </c>
      <c r="D437" s="13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E437" s="13" t="s">
        <v>1182</v>
      </c>
      <c r="F437" s="20" t="str" cm="1">
        <f t="array" ref="F437">"n"&amp;SUBSTITUTE(CreateGuidString(),"-","_")</f>
        <v>nD4B5D044_BCD3_47AA_B5CA_F272F0D2EF69</v>
      </c>
    </row>
    <row r="438" spans="1:6" x14ac:dyDescent="0.35">
      <c r="A438" s="13" t="s">
        <v>468</v>
      </c>
      <c r="B438" s="14" t="s">
        <v>1776</v>
      </c>
      <c r="D438" s="13" t="str">
        <f>IF(NodesData[[#This Row],[Class Disambiguation]]="",NodesData[[#This Row],[Common Name]],NodesData[[#This Row],[Common Name]]&amp;" ("&amp;NodesData[[#This Row],[Class Disambiguation]]&amp;")")</f>
        <v>Tranquil</v>
      </c>
      <c r="E438" s="13" t="s">
        <v>1183</v>
      </c>
      <c r="F438" s="20" t="str" cm="1">
        <f t="array" ref="F438">"n"&amp;SUBSTITUTE(CreateGuidString(),"-","_")</f>
        <v>n431F5647_819D_46E7_A614_BA2F7916768E</v>
      </c>
    </row>
    <row r="439" spans="1:6" x14ac:dyDescent="0.35">
      <c r="A439" s="13" t="s">
        <v>1184</v>
      </c>
      <c r="B439" s="14" t="s">
        <v>1777</v>
      </c>
      <c r="D439" s="13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E439" s="13" t="s">
        <v>1185</v>
      </c>
      <c r="F439" s="20" t="str" cm="1">
        <f t="array" ref="F439">"n"&amp;SUBSTITUTE(CreateGuidString(),"-","_")</f>
        <v>n226A3F2A_9403_4B8D_9EFB_C4586C1EFC13</v>
      </c>
    </row>
    <row r="440" spans="1:6" x14ac:dyDescent="0.35">
      <c r="A440" s="13" t="s">
        <v>1186</v>
      </c>
      <c r="B440" s="14" t="s">
        <v>1778</v>
      </c>
      <c r="D440" s="13" t="str">
        <f>IF(NodesData[[#This Row],[Class Disambiguation]]="",NodesData[[#This Row],[Common Name]],NodesData[[#This Row],[Common Name]]&amp;" ("&amp;NodesData[[#This Row],[Class Disambiguation]]&amp;")")</f>
        <v>Tranquility Property</v>
      </c>
      <c r="E440" s="13" t="s">
        <v>1187</v>
      </c>
      <c r="F440" s="20" t="str" cm="1">
        <f t="array" ref="F440">"n"&amp;SUBSTITUTE(CreateGuidString(),"-","_")</f>
        <v>n77B40FD4_956E_41C9_88FE_85B5DA77432A</v>
      </c>
    </row>
    <row r="441" spans="1:6" x14ac:dyDescent="0.35">
      <c r="A441" s="13" t="s">
        <v>471</v>
      </c>
      <c r="B441" s="14" t="s">
        <v>1779</v>
      </c>
      <c r="D441" s="13" t="str">
        <f>IF(NodesData[[#This Row],[Class Disambiguation]]="",NodesData[[#This Row],[Common Name]],NodesData[[#This Row],[Common Name]]&amp;" ("&amp;NodesData[[#This Row],[Class Disambiguation]]&amp;")")</f>
        <v>Trust</v>
      </c>
      <c r="E441" s="13" t="s">
        <v>1188</v>
      </c>
      <c r="F441" s="20" t="str" cm="1">
        <f t="array" ref="F441">"n"&amp;SUBSTITUTE(CreateGuidString(),"-","_")</f>
        <v>n41E50F51_F9BB_4F11_BD8A_E704E1AE54B0</v>
      </c>
    </row>
    <row r="442" spans="1:6" x14ac:dyDescent="0.35">
      <c r="A442" s="13" t="s">
        <v>1189</v>
      </c>
      <c r="B442" s="14" t="s">
        <v>1780</v>
      </c>
      <c r="D442" s="13" t="str">
        <f>IF(NodesData[[#This Row],[Class Disambiguation]]="",NodesData[[#This Row],[Common Name]],NodesData[[#This Row],[Common Name]]&amp;" ("&amp;NodesData[[#This Row],[Class Disambiguation]]&amp;")")</f>
        <v>Trust Asymmetry</v>
      </c>
      <c r="E442" s="13" t="s">
        <v>1190</v>
      </c>
      <c r="F442" s="20" t="str" cm="1">
        <f t="array" ref="F442">"n"&amp;SUBSTITUTE(CreateGuidString(),"-","_")</f>
        <v>n53A8F58A_3FAF_4747_B294_0E82B999D5FE</v>
      </c>
    </row>
    <row r="443" spans="1:6" x14ac:dyDescent="0.35">
      <c r="A443" s="13" t="s">
        <v>1191</v>
      </c>
      <c r="B443" s="14" t="s">
        <v>1781</v>
      </c>
      <c r="D443" s="13" t="str">
        <f>IF(NodesData[[#This Row],[Class Disambiguation]]="",NodesData[[#This Row],[Common Name]],NodesData[[#This Row],[Common Name]]&amp;" ("&amp;NodesData[[#This Row],[Class Disambiguation]]&amp;")")</f>
        <v>Trust Composability</v>
      </c>
      <c r="E443" s="13" t="s">
        <v>1192</v>
      </c>
      <c r="F443" s="20" t="str" cm="1">
        <f t="array" ref="F443">"n"&amp;SUBSTITUTE(CreateGuidString(),"-","_")</f>
        <v>n1451C2D9_0EBE_4E0B_8A17_44109F753556</v>
      </c>
    </row>
    <row r="444" spans="1:6" x14ac:dyDescent="0.35">
      <c r="A444" s="13" t="s">
        <v>1193</v>
      </c>
      <c r="B444" s="14" t="s">
        <v>1782</v>
      </c>
      <c r="D444" s="13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E444" s="13" t="s">
        <v>1194</v>
      </c>
      <c r="F444" s="20" t="str" cm="1">
        <f t="array" ref="F444">"n"&amp;SUBSTITUTE(CreateGuidString(),"-","_")</f>
        <v>n28716FF9_7065_454C_86DE_E289FFC17888</v>
      </c>
    </row>
    <row r="445" spans="1:6" x14ac:dyDescent="0.35">
      <c r="A445" s="13" t="s">
        <v>1195</v>
      </c>
      <c r="B445" s="14" t="s">
        <v>1783</v>
      </c>
      <c r="D445" s="13" t="str">
        <f>IF(NodesData[[#This Row],[Class Disambiguation]]="",NodesData[[#This Row],[Common Name]],NodesData[[#This Row],[Common Name]]&amp;" ("&amp;NodesData[[#This Row],[Class Disambiguation]]&amp;")")</f>
        <v>Trust Transitivity</v>
      </c>
      <c r="E445" s="13" t="s">
        <v>1196</v>
      </c>
      <c r="F445" s="20" t="str" cm="1">
        <f t="array" ref="F445">"n"&amp;SUBSTITUTE(CreateGuidString(),"-","_")</f>
        <v>n8891EF8F_8EB1_41E9_A02A_6ADBB1AF4018</v>
      </c>
    </row>
    <row r="446" spans="1:6" x14ac:dyDescent="0.35">
      <c r="A446" s="13" t="s">
        <v>477</v>
      </c>
      <c r="B446" s="14" t="s">
        <v>1784</v>
      </c>
      <c r="D446" s="13" t="str">
        <f>IF(NodesData[[#This Row],[Class Disambiguation]]="",NodesData[[#This Row],[Common Name]],NodesData[[#This Row],[Common Name]]&amp;" ("&amp;NodesData[[#This Row],[Class Disambiguation]]&amp;")")</f>
        <v>Typing Biometrics</v>
      </c>
      <c r="E446" s="13" t="s">
        <v>1197</v>
      </c>
      <c r="F446" s="20" t="str" cm="1">
        <f t="array" ref="F446">"n"&amp;SUBSTITUTE(CreateGuidString(),"-","_")</f>
        <v>n07F3F161_F6C0_4874_98CA_36FE4D3D9DE6</v>
      </c>
    </row>
    <row r="447" spans="1:6" x14ac:dyDescent="0.35">
      <c r="A447" s="13" t="s">
        <v>1198</v>
      </c>
      <c r="B447" s="14" t="s">
        <v>1785</v>
      </c>
      <c r="D447" s="13" t="str">
        <f>IF(NodesData[[#This Row],[Class Disambiguation]]="",NodesData[[#This Row],[Common Name]],NodesData[[#This Row],[Common Name]]&amp;" ("&amp;NodesData[[#This Row],[Class Disambiguation]]&amp;")")</f>
        <v>Typology</v>
      </c>
      <c r="E447" s="13" t="s">
        <v>1199</v>
      </c>
      <c r="F447" s="20" t="str" cm="1">
        <f t="array" ref="F447">"n"&amp;SUBSTITUTE(CreateGuidString(),"-","_")</f>
        <v>nDD2D3C2E_3D7F_49F0_9F61_BF462A64ED0B</v>
      </c>
    </row>
    <row r="448" spans="1:6" x14ac:dyDescent="0.35">
      <c r="A448" s="13" t="s">
        <v>479</v>
      </c>
      <c r="B448" s="14" t="s">
        <v>1786</v>
      </c>
      <c r="D448" s="13" t="str">
        <f>IF(NodesData[[#This Row],[Class Disambiguation]]="",NodesData[[#This Row],[Common Name]],NodesData[[#This Row],[Common Name]]&amp;" ("&amp;NodesData[[#This Row],[Class Disambiguation]]&amp;")")</f>
        <v>Unanticipated User</v>
      </c>
      <c r="E448" s="13" t="s">
        <v>1200</v>
      </c>
      <c r="F448" s="20" t="str" cm="1">
        <f t="array" ref="F448">"n"&amp;SUBSTITUTE(CreateGuidString(),"-","_")</f>
        <v>n2F2B016F_4FF3_4F6C_B5FD_25111D3316BF</v>
      </c>
    </row>
    <row r="449" spans="1:6" x14ac:dyDescent="0.35">
      <c r="A449" s="13" t="s">
        <v>480</v>
      </c>
      <c r="B449" s="14" t="s">
        <v>1804</v>
      </c>
      <c r="D449" s="13" t="str">
        <f>IF(NodesData[[#This Row],[Class Disambiguation]]="",NodesData[[#This Row],[Common Name]],NodesData[[#This Row],[Common Name]]&amp;" ("&amp;NodesData[[#This Row],[Class Disambiguation]]&amp;")")</f>
        <v>Unauthorized Access</v>
      </c>
      <c r="E449" s="13" t="s">
        <v>1201</v>
      </c>
      <c r="F449" s="20" t="str" cm="1">
        <f t="array" ref="F449">"n"&amp;SUBSTITUTE(CreateGuidString(),"-","_")</f>
        <v>n313164CF_174E_4C86_9D97_1E13A7F4FCE5</v>
      </c>
    </row>
    <row r="450" spans="1:6" x14ac:dyDescent="0.35">
      <c r="A450" s="13" t="s">
        <v>481</v>
      </c>
      <c r="B450" s="14" t="s">
        <v>1788</v>
      </c>
      <c r="D450" s="13" t="str">
        <f>IF(NodesData[[#This Row],[Class Disambiguation]]="",NodesData[[#This Row],[Common Name]],NodesData[[#This Row],[Common Name]]&amp;" ("&amp;NodesData[[#This Row],[Class Disambiguation]]&amp;")")</f>
        <v>Unique ID Number</v>
      </c>
      <c r="E450" s="13" t="s">
        <v>1202</v>
      </c>
      <c r="F450" s="20" t="str" cm="1">
        <f t="array" ref="F450">"n"&amp;SUBSTITUTE(CreateGuidString(),"-","_")</f>
        <v>nA78BB67D_AD4D_4EE4_8C74_999EA5C8CB2D</v>
      </c>
    </row>
    <row r="451" spans="1:6" x14ac:dyDescent="0.35">
      <c r="A451" s="13" t="s">
        <v>483</v>
      </c>
      <c r="B451" s="14" t="s">
        <v>1789</v>
      </c>
      <c r="D451" s="13" t="str">
        <f>IF(NodesData[[#This Row],[Class Disambiguation]]="",NodesData[[#This Row],[Common Name]],NodesData[[#This Row],[Common Name]]&amp;" ("&amp;NodesData[[#This Row],[Class Disambiguation]]&amp;")")</f>
        <v>Unprivileged Insider</v>
      </c>
      <c r="E451" s="13" t="s">
        <v>1203</v>
      </c>
      <c r="F451" s="20" t="str" cm="1">
        <f t="array" ref="F451">"n"&amp;SUBSTITUTE(CreateGuidString(),"-","_")</f>
        <v>n9EA9A2EA_67A2_4380_B42A_3285FE8CF445</v>
      </c>
    </row>
    <row r="452" spans="1:6" x14ac:dyDescent="0.35">
      <c r="A452" s="13" t="s">
        <v>484</v>
      </c>
      <c r="B452" s="14" t="s">
        <v>1790</v>
      </c>
      <c r="D452" s="13" t="str">
        <f>IF(NodesData[[#This Row],[Class Disambiguation]]="",NodesData[[#This Row],[Common Name]],NodesData[[#This Row],[Common Name]]&amp;" ("&amp;NodesData[[#This Row],[Class Disambiguation]]&amp;")")</f>
        <v>User</v>
      </c>
      <c r="E452" s="13" t="s">
        <v>1204</v>
      </c>
      <c r="F452" s="20" t="str" cm="1">
        <f t="array" ref="F452">"n"&amp;SUBSTITUTE(CreateGuidString(),"-","_")</f>
        <v>nA64F5584_E8DB_487E_818D_E573E696DF69</v>
      </c>
    </row>
    <row r="453" spans="1:6" x14ac:dyDescent="0.35">
      <c r="A453" s="13" t="s">
        <v>485</v>
      </c>
      <c r="B453" s="14" t="s">
        <v>1791</v>
      </c>
      <c r="D453" s="13" t="str">
        <f>IF(NodesData[[#This Row],[Class Disambiguation]]="",NodesData[[#This Row],[Common Name]],NodesData[[#This Row],[Common Name]]&amp;" ("&amp;NodesData[[#This Row],[Class Disambiguation]]&amp;")")</f>
        <v>User Account</v>
      </c>
      <c r="E453" s="13" t="s">
        <v>1205</v>
      </c>
      <c r="F453" s="20" t="str" cm="1">
        <f t="array" ref="F453">"n"&amp;SUBSTITUTE(CreateGuidString(),"-","_")</f>
        <v>n49E945B2_2E08_440E_8F35_B012737D9934</v>
      </c>
    </row>
    <row r="454" spans="1:6" x14ac:dyDescent="0.35">
      <c r="A454" s="13" t="s">
        <v>487</v>
      </c>
      <c r="B454" s="14" t="s">
        <v>1793</v>
      </c>
      <c r="D454" s="13" t="str">
        <f>IF(NodesData[[#This Row],[Class Disambiguation]]="",NodesData[[#This Row],[Common Name]],NodesData[[#This Row],[Common Name]]&amp;" ("&amp;NodesData[[#This Row],[Class Disambiguation]]&amp;")")</f>
        <v>User De-Provisioning</v>
      </c>
      <c r="E454" s="13" t="s">
        <v>1206</v>
      </c>
      <c r="F454" s="20" t="str" cm="1">
        <f t="array" ref="F454">"n"&amp;SUBSTITUTE(CreateGuidString(),"-","_")</f>
        <v>nB3FE6E4B_E5AB_4ED0_9904_F4960AFCB387</v>
      </c>
    </row>
    <row r="455" spans="1:6" x14ac:dyDescent="0.35">
      <c r="A455" s="13" t="s">
        <v>1207</v>
      </c>
      <c r="B455" s="14" t="s">
        <v>1794</v>
      </c>
      <c r="D455" s="13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E455" s="13" t="s">
        <v>1208</v>
      </c>
      <c r="F455" s="20" t="str" cm="1">
        <f t="array" ref="F455">"n"&amp;SUBSTITUTE(CreateGuidString(),"-","_")</f>
        <v>n40DC4EE5_844D_43BA_A33B_8F0E835F63C7</v>
      </c>
    </row>
    <row r="456" spans="1:6" x14ac:dyDescent="0.35">
      <c r="A456" s="13" t="s">
        <v>489</v>
      </c>
      <c r="B456" s="14" t="s">
        <v>1795</v>
      </c>
      <c r="C456" s="13" t="s">
        <v>1270</v>
      </c>
      <c r="D456" s="13" t="str">
        <f>IF(NodesData[[#This Row],[Class Disambiguation]]="",NodesData[[#This Row],[Common Name]],NodesData[[#This Row],[Common Name]]&amp;" ("&amp;NodesData[[#This Row],[Class Disambiguation]]&amp;")")</f>
        <v>User ID (Acronym)</v>
      </c>
      <c r="E456" s="13" t="s">
        <v>1209</v>
      </c>
      <c r="F456" s="20" t="str" cm="1">
        <f t="array" ref="F456">"n"&amp;SUBSTITUTE(CreateGuidString(),"-","_")</f>
        <v>n27FB5F2F_4F8F_414B_8980_FCAA330DF47F</v>
      </c>
    </row>
    <row r="457" spans="1:6" x14ac:dyDescent="0.35">
      <c r="A457" s="13" t="s">
        <v>491</v>
      </c>
      <c r="B457" s="14" t="s">
        <v>1796</v>
      </c>
      <c r="D457" s="13" t="str">
        <f>IF(NodesData[[#This Row],[Class Disambiguation]]="",NodesData[[#This Row],[Common Name]],NodesData[[#This Row],[Common Name]]&amp;" ("&amp;NodesData[[#This Row],[Class Disambiguation]]&amp;")")</f>
        <v>User Provisioning</v>
      </c>
      <c r="E457" s="13" t="s">
        <v>1210</v>
      </c>
      <c r="F457" s="20" t="str" cm="1">
        <f t="array" ref="F457">"n"&amp;SUBSTITUTE(CreateGuidString(),"-","_")</f>
        <v>n1293029F_5F30_47B2_87C5_8EAC8FE8BE6E</v>
      </c>
    </row>
    <row r="458" spans="1:6" x14ac:dyDescent="0.35">
      <c r="A458" s="13" t="s">
        <v>486</v>
      </c>
      <c r="B458" s="14" t="s">
        <v>1792</v>
      </c>
      <c r="D458" s="13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E458" s="13" t="s">
        <v>1211</v>
      </c>
      <c r="F458" s="20" t="str" cm="1">
        <f t="array" ref="F458">"n"&amp;SUBSTITUTE(CreateGuidString(),"-","_")</f>
        <v>nCC5D9B49_3014_4308_AECF_E7903E1B7436</v>
      </c>
    </row>
    <row r="459" spans="1:6" x14ac:dyDescent="0.35">
      <c r="A459" s="13" t="s">
        <v>490</v>
      </c>
      <c r="B459" s="14" t="s">
        <v>1797</v>
      </c>
      <c r="D459" s="13" t="str">
        <f>IF(NodesData[[#This Row],[Class Disambiguation]]="",NodesData[[#This Row],[Common Name]],NodesData[[#This Row],[Common Name]]&amp;" ("&amp;NodesData[[#This Row],[Class Disambiguation]]&amp;")")</f>
        <v>Username</v>
      </c>
      <c r="E459" s="13" t="s">
        <v>1212</v>
      </c>
      <c r="F459" s="20" t="str" cm="1">
        <f t="array" ref="F459">"n"&amp;SUBSTITUTE(CreateGuidString(),"-","_")</f>
        <v>nA44076AC_371D_4CDD_BD59_36A5BB65FF59</v>
      </c>
    </row>
    <row r="460" spans="1:6" x14ac:dyDescent="0.35">
      <c r="A460" s="13" t="s">
        <v>492</v>
      </c>
      <c r="B460" s="14" t="s">
        <v>1798</v>
      </c>
      <c r="D460" s="13" t="str">
        <f>IF(NodesData[[#This Row],[Class Disambiguation]]="",NodesData[[#This Row],[Common Name]],NodesData[[#This Row],[Common Name]]&amp;" ("&amp;NodesData[[#This Row],[Class Disambiguation]]&amp;")")</f>
        <v>Verifiable Claim</v>
      </c>
      <c r="E460" s="13" t="s">
        <v>1213</v>
      </c>
      <c r="F460" s="20" t="str" cm="1">
        <f t="array" ref="F460">"n"&amp;SUBSTITUTE(CreateGuidString(),"-","_")</f>
        <v>n84E30FAF_EE25_4C33_90F6_B2F96D89CBCB</v>
      </c>
    </row>
    <row r="461" spans="1:6" x14ac:dyDescent="0.35">
      <c r="A461" s="13" t="s">
        <v>493</v>
      </c>
      <c r="B461" s="14" t="s">
        <v>1799</v>
      </c>
      <c r="D461" s="13" t="str">
        <f>IF(NodesData[[#This Row],[Class Disambiguation]]="",NodesData[[#This Row],[Common Name]],NodesData[[#This Row],[Common Name]]&amp;" ("&amp;NodesData[[#This Row],[Class Disambiguation]]&amp;")")</f>
        <v>Verification</v>
      </c>
      <c r="E461" s="13" t="s">
        <v>1214</v>
      </c>
      <c r="F461" s="20" t="str" cm="1">
        <f t="array" ref="F461">"n"&amp;SUBSTITUTE(CreateGuidString(),"-","_")</f>
        <v>nD71E9E17_8E68_4035_B660_1500E415772A</v>
      </c>
    </row>
    <row r="462" spans="1:6" x14ac:dyDescent="0.35">
      <c r="A462" s="13" t="s">
        <v>1215</v>
      </c>
      <c r="B462" s="14" t="s">
        <v>1800</v>
      </c>
      <c r="D462" s="13" t="str">
        <f>IF(NodesData[[#This Row],[Class Disambiguation]]="",NodesData[[#This Row],[Common Name]],NodesData[[#This Row],[Common Name]]&amp;" ("&amp;NodesData[[#This Row],[Class Disambiguation]]&amp;")")</f>
        <v>Virtual Directory</v>
      </c>
      <c r="E462" s="13" t="s">
        <v>1216</v>
      </c>
      <c r="F462" s="20" t="str" cm="1">
        <f t="array" ref="F462">"n"&amp;SUBSTITUTE(CreateGuidString(),"-","_")</f>
        <v>n01792BCA_7E4F_455E_8515_AEECBB59759C</v>
      </c>
    </row>
    <row r="463" spans="1:6" x14ac:dyDescent="0.35">
      <c r="A463" s="13" t="s">
        <v>1217</v>
      </c>
      <c r="B463" s="14" t="s">
        <v>1801</v>
      </c>
      <c r="D463" s="13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E463" s="13" t="s">
        <v>1218</v>
      </c>
      <c r="F463" s="20" t="str" cm="1">
        <f t="array" ref="F463">"n"&amp;SUBSTITUTE(CreateGuidString(),"-","_")</f>
        <v>nB81923D9_ED3D_413F_9166_469ADE3C9BA7</v>
      </c>
    </row>
    <row r="464" spans="1:6" x14ac:dyDescent="0.35">
      <c r="A464" s="13" t="s">
        <v>1219</v>
      </c>
      <c r="B464" s="14" t="s">
        <v>1802</v>
      </c>
      <c r="D464" s="13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E464" s="13" t="s">
        <v>1220</v>
      </c>
      <c r="F464" s="20" t="str" cm="1">
        <f t="array" ref="F464">"n"&amp;SUBSTITUTE(CreateGuidString(),"-","_")</f>
        <v>n0D1FF992_BF8C_4D2F_87C7_C4A2CDFF7B5A</v>
      </c>
    </row>
    <row r="465" spans="1:6" x14ac:dyDescent="0.35">
      <c r="A465" s="13" t="s">
        <v>1323</v>
      </c>
      <c r="B465" s="14" t="s">
        <v>1803</v>
      </c>
      <c r="D465" s="13" t="str">
        <f>IF(NodesData[[#This Row],[Class Disambiguation]]="",NodesData[[#This Row],[Common Name]],NodesData[[#This Row],[Common Name]]&amp;" ("&amp;NodesData[[#This Row],[Class Disambiguation]]&amp;")")</f>
        <v>Voice OTP</v>
      </c>
      <c r="F465" s="20" t="str" cm="1">
        <f t="array" ref="F465">"n"&amp;SUBSTITUTE(CreateGuidString(),"-","_")</f>
        <v>n3D7F8D42_EBD7_44FB_8BBB_EC9A9B8422B1</v>
      </c>
    </row>
    <row r="466" spans="1:6" x14ac:dyDescent="0.35">
      <c r="A466" s="13" t="s">
        <v>1315</v>
      </c>
      <c r="B466" s="14" t="s">
        <v>1806</v>
      </c>
      <c r="D466" s="13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F466" s="20" t="str" cm="1">
        <f t="array" ref="F466">"n"&amp;SUBSTITUTE(CreateGuidString(),"-","_")</f>
        <v>n1C2B5FC5_8B3E_4B26_97B6_7D455B62E1FD</v>
      </c>
    </row>
    <row r="467" spans="1:6" x14ac:dyDescent="0.35">
      <c r="A467" s="13" t="s">
        <v>1221</v>
      </c>
      <c r="B467" s="14" t="s">
        <v>1805</v>
      </c>
      <c r="C467" s="13" t="s">
        <v>1270</v>
      </c>
      <c r="D467" s="13" t="str">
        <f>IF(NodesData[[#This Row],[Class Disambiguation]]="",NodesData[[#This Row],[Common Name]],NodesData[[#This Row],[Common Name]]&amp;" ("&amp;NodesData[[#This Row],[Class Disambiguation]]&amp;")")</f>
        <v>VPN (Acronym)</v>
      </c>
      <c r="E467" s="13" t="s">
        <v>1222</v>
      </c>
      <c r="F467" s="20" t="str" cm="1">
        <f t="array" ref="F467">"n"&amp;SUBSTITUTE(CreateGuidString(),"-","_")</f>
        <v>nAA3C18CA_D484_41B8_992D_D01CF99621AE</v>
      </c>
    </row>
    <row r="468" spans="1:6" x14ac:dyDescent="0.35">
      <c r="A468" s="13" t="s">
        <v>1223</v>
      </c>
      <c r="B468" s="14" t="s">
        <v>1828</v>
      </c>
      <c r="D468" s="13" t="str">
        <f>IF(NodesData[[#This Row],[Class Disambiguation]]="",NodesData[[#This Row],[Common Name]],NodesData[[#This Row],[Common Name]]&amp;" ("&amp;NodesData[[#This Row],[Class Disambiguation]]&amp;")")</f>
        <v>Weak Authentication</v>
      </c>
      <c r="E468" s="13" t="s">
        <v>1224</v>
      </c>
      <c r="F468" s="20" t="str" cm="1">
        <f t="array" ref="F468">"n"&amp;SUBSTITUTE(CreateGuidString(),"-","_")</f>
        <v>n15C7A6D8_296A_4E13_9B3B_58F8E489F52A</v>
      </c>
    </row>
    <row r="469" spans="1:6" x14ac:dyDescent="0.35">
      <c r="A469" s="13" t="s">
        <v>1225</v>
      </c>
      <c r="B469" s="14" t="s">
        <v>1807</v>
      </c>
      <c r="D469" s="13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E469" s="13" t="s">
        <v>1226</v>
      </c>
      <c r="F469" s="20" t="str" cm="1">
        <f t="array" ref="F469">"n"&amp;SUBSTITUTE(CreateGuidString(),"-","_")</f>
        <v>nFC2417CC_212A_4065_A0BD_901AC0D79D62</v>
      </c>
    </row>
    <row r="470" spans="1:6" x14ac:dyDescent="0.35">
      <c r="A470" s="13" t="s">
        <v>1227</v>
      </c>
      <c r="B470" s="14" t="s">
        <v>1808</v>
      </c>
      <c r="D470" s="13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E470" s="13" t="s">
        <v>1228</v>
      </c>
      <c r="F470" s="20" t="str" cm="1">
        <f t="array" ref="F470">"n"&amp;SUBSTITUTE(CreateGuidString(),"-","_")</f>
        <v>nD7A4A280_4F33_4D43_936F_2EEA98FBE66A</v>
      </c>
    </row>
    <row r="471" spans="1:6" x14ac:dyDescent="0.35">
      <c r="A471" s="13" t="s">
        <v>1229</v>
      </c>
      <c r="B471" s="14" t="s">
        <v>1809</v>
      </c>
      <c r="D471" s="13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E471" s="13" t="s">
        <v>1230</v>
      </c>
      <c r="F471" s="20" t="str" cm="1">
        <f t="array" ref="F471">"n"&amp;SUBSTITUTE(CreateGuidString(),"-","_")</f>
        <v>n18DA5EAE_304F_4499_A29F_2695C6FC99FE</v>
      </c>
    </row>
    <row r="472" spans="1:6" x14ac:dyDescent="0.35">
      <c r="A472" s="13" t="s">
        <v>1231</v>
      </c>
      <c r="B472" s="14" t="s">
        <v>1810</v>
      </c>
      <c r="D472" s="13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E472" s="13" t="s">
        <v>1232</v>
      </c>
      <c r="F472" s="20" t="str" cm="1">
        <f t="array" ref="F472">"n"&amp;SUBSTITUTE(CreateGuidString(),"-","_")</f>
        <v>nB8AE9477_04F1_4C86_88B0_A8BC1BD43F76</v>
      </c>
    </row>
    <row r="473" spans="1:6" x14ac:dyDescent="0.35">
      <c r="A473" s="13" t="s">
        <v>1233</v>
      </c>
      <c r="B473" s="14" t="s">
        <v>1811</v>
      </c>
      <c r="D473" s="13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E473" s="13" t="s">
        <v>1234</v>
      </c>
      <c r="F473" s="20" t="str" cm="1">
        <f t="array" ref="F473">"n"&amp;SUBSTITUTE(CreateGuidString(),"-","_")</f>
        <v>n62C1FD5D_5BE0_45B3_A360_F62FF2E2D22C</v>
      </c>
    </row>
    <row r="474" spans="1:6" x14ac:dyDescent="0.35">
      <c r="A474" s="13" t="s">
        <v>1235</v>
      </c>
      <c r="B474" s="14" t="s">
        <v>1812</v>
      </c>
      <c r="D474" s="13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E474" s="13" t="s">
        <v>1236</v>
      </c>
      <c r="F474" s="20" t="str" cm="1">
        <f t="array" ref="F474">"n"&amp;SUBSTITUTE(CreateGuidString(),"-","_")</f>
        <v>nCB1D2681_40B3_4D84_8F8D_694794B51774</v>
      </c>
    </row>
    <row r="475" spans="1:6" x14ac:dyDescent="0.35">
      <c r="A475" s="13" t="s">
        <v>1237</v>
      </c>
      <c r="B475" s="14" t="s">
        <v>1813</v>
      </c>
      <c r="D475" s="13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E475" s="13" t="s">
        <v>1238</v>
      </c>
      <c r="F475" s="20" t="str" cm="1">
        <f t="array" ref="F475">"n"&amp;SUBSTITUTE(CreateGuidString(),"-","_")</f>
        <v>nFEE63737_7968_4250_AA35_295BA9F9C807</v>
      </c>
    </row>
    <row r="476" spans="1:6" x14ac:dyDescent="0.35">
      <c r="A476" s="13" t="s">
        <v>1239</v>
      </c>
      <c r="B476" s="14" t="s">
        <v>1814</v>
      </c>
      <c r="D476" s="13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E476" s="13" t="s">
        <v>1240</v>
      </c>
      <c r="F476" s="20" t="str" cm="1">
        <f t="array" ref="F476">"n"&amp;SUBSTITUTE(CreateGuidString(),"-","_")</f>
        <v>n8E8E7A43_C8A3_4652_BF2F_118CAF54B4CF</v>
      </c>
    </row>
    <row r="477" spans="1:6" x14ac:dyDescent="0.35">
      <c r="A477" s="13" t="s">
        <v>1241</v>
      </c>
      <c r="B477" s="14" t="s">
        <v>1815</v>
      </c>
      <c r="D477" s="13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E477" s="13" t="s">
        <v>1242</v>
      </c>
      <c r="F477" s="20" t="str" cm="1">
        <f t="array" ref="F477">"n"&amp;SUBSTITUTE(CreateGuidString(),"-","_")</f>
        <v>nF8B759B7_7422_47E1_9953_DA9F5F9CAD61</v>
      </c>
    </row>
    <row r="478" spans="1:6" x14ac:dyDescent="0.35">
      <c r="A478" s="13" t="s">
        <v>1243</v>
      </c>
      <c r="B478" s="14" t="s">
        <v>1816</v>
      </c>
      <c r="D478" s="13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E478" s="13" t="s">
        <v>1244</v>
      </c>
      <c r="F478" s="20" t="str" cm="1">
        <f t="array" ref="F478">"n"&amp;SUBSTITUTE(CreateGuidString(),"-","_")</f>
        <v>nBFC5430A_D3B9_47B9_9266_864DBD030E89</v>
      </c>
    </row>
    <row r="479" spans="1:6" x14ac:dyDescent="0.35">
      <c r="A479" s="13" t="s">
        <v>1245</v>
      </c>
      <c r="B479" s="14" t="s">
        <v>1817</v>
      </c>
      <c r="D479" s="13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E479" s="13" t="s">
        <v>1246</v>
      </c>
      <c r="F479" s="20" t="str" cm="1">
        <f t="array" ref="F479">"n"&amp;SUBSTITUTE(CreateGuidString(),"-","_")</f>
        <v>n94867BEC_45CB_47E2_8620_1B41AEF1C8C1</v>
      </c>
    </row>
    <row r="480" spans="1:6" x14ac:dyDescent="0.35">
      <c r="A480" s="13" t="s">
        <v>1247</v>
      </c>
      <c r="B480" s="14" t="s">
        <v>1818</v>
      </c>
      <c r="D480" s="13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E480" s="13" t="s">
        <v>1248</v>
      </c>
      <c r="F480" s="20" t="str" cm="1">
        <f t="array" ref="F480">"n"&amp;SUBSTITUTE(CreateGuidString(),"-","_")</f>
        <v>n40FDE9CB_1A1D_494B_9166_71EFA8B51A21</v>
      </c>
    </row>
    <row r="481" spans="1:6" x14ac:dyDescent="0.35">
      <c r="A481" s="13" t="s">
        <v>1249</v>
      </c>
      <c r="B481" s="14" t="s">
        <v>1819</v>
      </c>
      <c r="D481" s="13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E481" s="13" t="s">
        <v>1250</v>
      </c>
      <c r="F481" s="20" t="str" cm="1">
        <f t="array" ref="F481">"n"&amp;SUBSTITUTE(CreateGuidString(),"-","_")</f>
        <v>n602827ED_3055_4249_BC52_CD14E5306C31</v>
      </c>
    </row>
    <row r="482" spans="1:6" x14ac:dyDescent="0.35">
      <c r="A482" s="13" t="s">
        <v>1251</v>
      </c>
      <c r="B482" s="14" t="s">
        <v>1820</v>
      </c>
      <c r="D482" s="13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E482" s="13" t="s">
        <v>1252</v>
      </c>
      <c r="F482" s="20" t="str" cm="1">
        <f t="array" ref="F482">"n"&amp;SUBSTITUTE(CreateGuidString(),"-","_")</f>
        <v>n2086E738_FDDD_4112_B795_73F516B12D23</v>
      </c>
    </row>
    <row r="483" spans="1:6" x14ac:dyDescent="0.35">
      <c r="A483" s="13" t="s">
        <v>1253</v>
      </c>
      <c r="B483" s="14" t="s">
        <v>1821</v>
      </c>
      <c r="D483" s="13" t="str">
        <f>IF(NodesData[[#This Row],[Class Disambiguation]]="",NodesData[[#This Row],[Common Name]],NodesData[[#This Row],[Common Name]]&amp;" ("&amp;NodesData[[#This Row],[Class Disambiguation]]&amp;")")</f>
        <v>Worker</v>
      </c>
      <c r="E483" s="13" t="s">
        <v>1254</v>
      </c>
      <c r="F483" s="20" t="str" cm="1">
        <f t="array" ref="F483">"n"&amp;SUBSTITUTE(CreateGuidString(),"-","_")</f>
        <v>n66AEE059_3F3D_4CDE_95EA_F6EC10746440</v>
      </c>
    </row>
    <row r="484" spans="1:6" x14ac:dyDescent="0.35">
      <c r="A484" s="13" t="s">
        <v>1255</v>
      </c>
      <c r="B484" s="14" t="s">
        <v>1822</v>
      </c>
      <c r="D484" s="13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E484" s="13" t="s">
        <v>1256</v>
      </c>
      <c r="F484" s="20" t="str" cm="1">
        <f t="array" ref="F484">"n"&amp;SUBSTITUTE(CreateGuidString(),"-","_")</f>
        <v>nABF9F44B_7D5E_44D0_9081_AABF381C3663</v>
      </c>
    </row>
    <row r="485" spans="1:6" x14ac:dyDescent="0.35">
      <c r="A485" s="13" t="s">
        <v>1257</v>
      </c>
      <c r="B485" s="14" t="s">
        <v>1823</v>
      </c>
      <c r="D485" s="13" t="str">
        <f>IF(NodesData[[#This Row],[Class Disambiguation]]="",NodesData[[#This Row],[Common Name]],NodesData[[#This Row],[Common Name]]&amp;" ("&amp;NodesData[[#This Row],[Class Disambiguation]]&amp;")")</f>
        <v>Workforce</v>
      </c>
      <c r="E485" s="13" t="s">
        <v>1258</v>
      </c>
      <c r="F485" s="20" t="str" cm="1">
        <f t="array" ref="F485">"n"&amp;SUBSTITUTE(CreateGuidString(),"-","_")</f>
        <v>nDBF56608_625A_4D4A_9BF0_A3158B6731E8</v>
      </c>
    </row>
    <row r="486" spans="1:6" x14ac:dyDescent="0.35">
      <c r="A486" s="13" t="s">
        <v>1259</v>
      </c>
      <c r="B486" s="14" t="s">
        <v>1824</v>
      </c>
      <c r="C486" s="13" t="s">
        <v>1270</v>
      </c>
      <c r="D486" s="13" t="str">
        <f>IF(NodesData[[#This Row],[Class Disambiguation]]="",NodesData[[#This Row],[Common Name]],NodesData[[#This Row],[Common Name]]&amp;" ("&amp;NodesData[[#This Row],[Class Disambiguation]]&amp;")")</f>
        <v>XACML (Acronym)</v>
      </c>
      <c r="E486" s="13" t="s">
        <v>1260</v>
      </c>
      <c r="F486" s="20" t="str" cm="1">
        <f t="array" ref="F486">"n"&amp;SUBSTITUTE(CreateGuidString(),"-","_")</f>
        <v>n70879C70_03F2_4553_B52D_4AB3375D9D11</v>
      </c>
    </row>
    <row r="487" spans="1:6" x14ac:dyDescent="0.35">
      <c r="A487" s="13" t="s">
        <v>517</v>
      </c>
      <c r="B487" s="14" t="s">
        <v>1825</v>
      </c>
      <c r="D487" s="13" t="str">
        <f>IF(NodesData[[#This Row],[Class Disambiguation]]="",NodesData[[#This Row],[Common Name]],NodesData[[#This Row],[Common Name]]&amp;" ("&amp;NodesData[[#This Row],[Class Disambiguation]]&amp;")")</f>
        <v>Zero-Trust Access</v>
      </c>
      <c r="E487" s="13" t="s">
        <v>1261</v>
      </c>
      <c r="F487" s="20" t="str" cm="1">
        <f t="array" ref="F487">"n"&amp;SUBSTITUTE(CreateGuidString(),"-","_")</f>
        <v>n3FA199A2_2547_4C9B_B441_8AADC45CEBE9</v>
      </c>
    </row>
    <row r="488" spans="1:6" x14ac:dyDescent="0.35">
      <c r="A488" s="13" t="s">
        <v>518</v>
      </c>
      <c r="B488" s="14" t="s">
        <v>1826</v>
      </c>
      <c r="D488" s="13" t="str">
        <f>IF(NodesData[[#This Row],[Class Disambiguation]]="",NodesData[[#This Row],[Common Name]],NodesData[[#This Row],[Common Name]]&amp;" ("&amp;NodesData[[#This Row],[Class Disambiguation]]&amp;")")</f>
        <v>Zombie Account</v>
      </c>
      <c r="E488" s="13" t="s">
        <v>1262</v>
      </c>
      <c r="F488" s="20" t="str" cm="1">
        <f t="array" ref="F488">"n"&amp;SUBSTITUTE(CreateGuidString(),"-","_")</f>
        <v>n985D982D_BBF9_4ABE_ADDC_FADB4898234A</v>
      </c>
    </row>
    <row r="489" spans="1:6" x14ac:dyDescent="0.35">
      <c r="A489" s="13" t="s">
        <v>519</v>
      </c>
      <c r="B489" s="14" t="s">
        <v>1827</v>
      </c>
      <c r="C489" s="13" t="s">
        <v>1270</v>
      </c>
      <c r="D489" s="13" t="str">
        <f>IF(NodesData[[#This Row],[Class Disambiguation]]="",NodesData[[#This Row],[Common Name]],NodesData[[#This Row],[Common Name]]&amp;" ("&amp;NodesData[[#This Row],[Class Disambiguation]]&amp;")")</f>
        <v>ZTA (Acronym)</v>
      </c>
      <c r="E489" s="13" t="s">
        <v>1263</v>
      </c>
      <c r="F489" s="20" t="str" cm="1">
        <f t="array" ref="F489">"n"&amp;SUBSTITUTE(CreateGuidString(),"-","_")</f>
        <v>n036437E8_3574_45B7_8487_518E5B1F3D2D</v>
      </c>
    </row>
    <row r="490" spans="1:6" x14ac:dyDescent="0.35">
      <c r="A490" s="33" t="s">
        <v>1924</v>
      </c>
      <c r="B490" s="14" t="s">
        <v>1934</v>
      </c>
      <c r="D490" s="19" t="str">
        <f>IF(NodesData[[#This Row],[Class Disambiguation]]="",NodesData[[#This Row],[Common Name]],NodesData[[#This Row],[Common Name]]&amp;" ("&amp;NodesData[[#This Row],[Class Disambiguation]]&amp;")")</f>
        <v>Account Takeover Perpetrator</v>
      </c>
      <c r="F490" s="21" t="str" cm="1">
        <f t="array" ref="F490">"n"&amp;SUBSTITUTE(CreateGuidString(),"-","_")</f>
        <v>n02B81E29_1266_4611_897E_FD90C5DD5788</v>
      </c>
    </row>
    <row r="491" spans="1:6" x14ac:dyDescent="0.35">
      <c r="A491" s="34" t="s">
        <v>1925</v>
      </c>
      <c r="B491" s="14" t="s">
        <v>1935</v>
      </c>
      <c r="D491" s="19" t="str">
        <f>IF(NodesData[[#This Row],[Class Disambiguation]]="",NodesData[[#This Row],[Common Name]],NodesData[[#This Row],[Common Name]]&amp;" ("&amp;NodesData[[#This Row],[Class Disambiguation]]&amp;")")</f>
        <v>Account Takeover Victim</v>
      </c>
      <c r="F491" s="21" t="str" cm="1">
        <f t="array" ref="F491">"n"&amp;SUBSTITUTE(CreateGuidString(),"-","_")</f>
        <v>n89FBB4A6_DF18_465F_9DA3_BD367759F09E</v>
      </c>
    </row>
    <row r="492" spans="1:6" x14ac:dyDescent="0.35">
      <c r="A492" s="34" t="s">
        <v>1918</v>
      </c>
      <c r="B492" s="14" t="s">
        <v>1936</v>
      </c>
      <c r="D492" s="19" t="str">
        <f>IF(NodesData[[#This Row],[Class Disambiguation]]="",NodesData[[#This Row],[Common Name]],NodesData[[#This Row],[Common Name]]&amp;" ("&amp;NodesData[[#This Row],[Class Disambiguation]]&amp;")")</f>
        <v>Attack Class</v>
      </c>
      <c r="F492" s="21" t="str" cm="1">
        <f t="array" ref="F492">"n"&amp;SUBSTITUTE(CreateGuidString(),"-","_")</f>
        <v>nBC613B66_5F94_4F48_91BD_5F6BBA766E79</v>
      </c>
    </row>
    <row r="493" spans="1:6" x14ac:dyDescent="0.35">
      <c r="A493" s="33" t="s">
        <v>1929</v>
      </c>
      <c r="B493" s="14" t="s">
        <v>1937</v>
      </c>
      <c r="D493" s="19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F493" s="21" t="str" cm="1">
        <f t="array" ref="F493">"n"&amp;SUBSTITUTE(CreateGuidString(),"-","_")</f>
        <v>nA59D49F8_3819_4341_A310_19C77AB08AAB</v>
      </c>
    </row>
    <row r="494" spans="1:6" x14ac:dyDescent="0.35">
      <c r="A494" s="34" t="s">
        <v>1928</v>
      </c>
      <c r="B494" s="14" t="s">
        <v>1938</v>
      </c>
      <c r="D494" s="19" t="str">
        <f>IF(NodesData[[#This Row],[Class Disambiguation]]="",NodesData[[#This Row],[Common Name]],NodesData[[#This Row],[Common Name]]&amp;" ("&amp;NodesData[[#This Row],[Class Disambiguation]]&amp;")")</f>
        <v>Financial Gain</v>
      </c>
      <c r="F494" s="21" t="str" cm="1">
        <f t="array" ref="F494">"n"&amp;SUBSTITUTE(CreateGuidString(),"-","_")</f>
        <v>n52564682_5FAD_48CB_A320_6CFE17950D03</v>
      </c>
    </row>
    <row r="495" spans="1:6" x14ac:dyDescent="0.35">
      <c r="A495" s="34" t="s">
        <v>1930</v>
      </c>
      <c r="B495" s="14" t="s">
        <v>1939</v>
      </c>
      <c r="D495" s="19" t="str">
        <f>IF(NodesData[[#This Row],[Class Disambiguation]]="",NodesData[[#This Row],[Common Name]],NodesData[[#This Row],[Common Name]]&amp;" ("&amp;NodesData[[#This Row],[Class Disambiguation]]&amp;")")</f>
        <v>Identity Deception</v>
      </c>
      <c r="F495" s="21" t="str" cm="1">
        <f t="array" ref="F495">"n"&amp;SUBSTITUTE(CreateGuidString(),"-","_")</f>
        <v>nC0AF8721_A868_4A4D_9F85_3A6D9B88B489</v>
      </c>
    </row>
    <row r="496" spans="1:6" x14ac:dyDescent="0.35">
      <c r="A496" s="32" t="s">
        <v>1917</v>
      </c>
      <c r="B496" s="14" t="s">
        <v>1940</v>
      </c>
      <c r="D496" s="19" t="str">
        <f>IF(NodesData[[#This Row],[Class Disambiguation]]="",NodesData[[#This Row],[Common Name]],NodesData[[#This Row],[Common Name]]&amp;" ("&amp;NodesData[[#This Row],[Class Disambiguation]]&amp;")")</f>
        <v>Identity Theft</v>
      </c>
      <c r="F496" s="21" t="str" cm="1">
        <f t="array" ref="F496">"n"&amp;SUBSTITUTE(CreateGuidString(),"-","_")</f>
        <v>n23656C0A_A156_405F_9FF8_7AE62FD6FB07</v>
      </c>
    </row>
    <row r="497" spans="1:6" x14ac:dyDescent="0.35">
      <c r="A497" s="33" t="s">
        <v>1932</v>
      </c>
      <c r="B497" s="14" t="s">
        <v>1941</v>
      </c>
      <c r="D497" s="19" t="str">
        <f>IF(NodesData[[#This Row],[Class Disambiguation]]="",NodesData[[#This Row],[Common Name]],NodesData[[#This Row],[Common Name]]&amp;" ("&amp;NodesData[[#This Row],[Class Disambiguation]]&amp;")")</f>
        <v>Identity Usage Authorization</v>
      </c>
      <c r="F497" s="21" t="str" cm="1">
        <f t="array" ref="F497">"n"&amp;SUBSTITUTE(CreateGuidString(),"-","_")</f>
        <v>n4E7B27FA_8562_4EC8_869A_378A5937334A</v>
      </c>
    </row>
    <row r="498" spans="1:6" x14ac:dyDescent="0.35">
      <c r="A498" s="35" t="s">
        <v>1933</v>
      </c>
      <c r="B498" s="14" t="s">
        <v>1942</v>
      </c>
      <c r="D498" s="19" t="str">
        <f>IF(NodesData[[#This Row],[Class Disambiguation]]="",NodesData[[#This Row],[Common Name]],NodesData[[#This Row],[Common Name]]&amp;" ("&amp;NodesData[[#This Row],[Class Disambiguation]]&amp;")")</f>
        <v>Illegal Action</v>
      </c>
      <c r="F498" s="21" t="str" cm="1">
        <f t="array" ref="F498">"n"&amp;SUBSTITUTE(CreateGuidString(),"-","_")</f>
        <v>nE0352234_7814_467F_8B8B_EF900BACC357</v>
      </c>
    </row>
    <row r="499" spans="1:6" x14ac:dyDescent="0.35">
      <c r="A499" s="33" t="s">
        <v>1921</v>
      </c>
      <c r="B499" s="14" t="s">
        <v>1943</v>
      </c>
      <c r="D499" s="19" t="str">
        <f>IF(NodesData[[#This Row],[Class Disambiguation]]="",NodesData[[#This Row],[Common Name]],NodesData[[#This Row],[Common Name]]&amp;" ("&amp;NodesData[[#This Row],[Class Disambiguation]]&amp;")")</f>
        <v>Stolen Account</v>
      </c>
      <c r="F499" s="21" t="str" cm="1">
        <f t="array" ref="F499">"n"&amp;SUBSTITUTE(CreateGuidString(),"-","_")</f>
        <v>nF28EF766_A810_4024_A03F_F62A899E2EE6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2"/>
  <sheetViews>
    <sheetView topLeftCell="A41" zoomScale="120" zoomScaleNormal="120" workbookViewId="0">
      <selection activeCell="C48" sqref="C48"/>
    </sheetView>
  </sheetViews>
  <sheetFormatPr defaultRowHeight="12.75" x14ac:dyDescent="0.35"/>
  <cols>
    <col min="1" max="2" width="23" style="13" bestFit="1" customWidth="1"/>
    <col min="3" max="3" width="31.19921875" style="13" customWidth="1"/>
    <col min="4" max="4" width="12.6640625" style="13" customWidth="1"/>
    <col min="5" max="5" width="5.53125" style="13" bestFit="1" customWidth="1"/>
    <col min="6" max="6" width="34.73046875" style="13" customWidth="1"/>
    <col min="7" max="7" width="23" style="13" bestFit="1" customWidth="1"/>
    <col min="8" max="8" width="25.6640625" style="13" bestFit="1" customWidth="1"/>
    <col min="9" max="16384" width="9.06640625" style="13"/>
  </cols>
  <sheetData>
    <row r="1" spans="1:8" s="11" customFormat="1" ht="19.899999999999999" thickBot="1" x14ac:dyDescent="0.65">
      <c r="A1" s="11" t="s">
        <v>1833</v>
      </c>
    </row>
    <row r="2" spans="1:8" ht="13.15" thickTop="1" x14ac:dyDescent="0.35">
      <c r="A2" s="12" t="s">
        <v>1852</v>
      </c>
      <c r="B2" s="12" t="s">
        <v>1851</v>
      </c>
      <c r="C2" s="12" t="s">
        <v>1853</v>
      </c>
      <c r="D2" s="12" t="s">
        <v>1854</v>
      </c>
      <c r="E2" s="12" t="s">
        <v>1855</v>
      </c>
      <c r="F2" s="12" t="s">
        <v>1856</v>
      </c>
      <c r="G2" s="12" t="s">
        <v>1857</v>
      </c>
      <c r="H2" s="12" t="s">
        <v>1910</v>
      </c>
    </row>
    <row r="3" spans="1:8" x14ac:dyDescent="0.35">
      <c r="A3" s="14" t="s">
        <v>1865</v>
      </c>
      <c r="B3" s="14" t="str">
        <f>VLOOKUP(EdgesData[[#This Row],[Node A]],NodesData[],2,FALSE)</f>
        <v>nB3F90AFA_FC46_4122_9901_4FF284E9E7EC</v>
      </c>
      <c r="C3" s="12" t="s">
        <v>39</v>
      </c>
      <c r="D3" s="12" t="s">
        <v>1840</v>
      </c>
      <c r="E3" s="12"/>
      <c r="F3" s="16" t="s">
        <v>543</v>
      </c>
      <c r="G3" s="14" t="str">
        <f>VLOOKUP(EdgesData[[#This Row],[Node B]],NodesData[],2,FALSE)</f>
        <v>nE49F9EAF_3DC5_47FA_9722_CDE0190EAD09</v>
      </c>
      <c r="H3" s="15" t="str" cm="1">
        <f t="array" ref="H3">"n"&amp;SUBSTITUTE(CreateGuidString(),"-","_")</f>
        <v>nB8E45778_0170_494F_9593_062D730CBDEF</v>
      </c>
    </row>
    <row r="4" spans="1:8" x14ac:dyDescent="0.35">
      <c r="A4" s="14" t="s">
        <v>1874</v>
      </c>
      <c r="B4" s="14" t="str">
        <f>VLOOKUP(EdgesData[[#This Row],[Node A]],NodesData[],2,FALSE)</f>
        <v>nAC688165_B606_4D82_A016_0263D701EDF2</v>
      </c>
      <c r="C4" s="17" t="s">
        <v>618</v>
      </c>
      <c r="D4" s="12" t="s">
        <v>1343</v>
      </c>
      <c r="E4" s="12"/>
      <c r="F4" s="12" t="s">
        <v>1332</v>
      </c>
      <c r="G4" s="14" t="str">
        <f>VLOOKUP(EdgesData[[#This Row],[Node B]],NodesData[],2,FALSE)</f>
        <v>n53877DB9_77FA_44E9_974A_BE3344133398</v>
      </c>
      <c r="H4" s="15" t="str" cm="1">
        <f t="array" ref="H4">"n"&amp;SUBSTITUTE(CreateGuidString(),"-","_")</f>
        <v>nB79358D9_4553_46F0_AC4F_782A8E622A05</v>
      </c>
    </row>
    <row r="5" spans="1:8" x14ac:dyDescent="0.35">
      <c r="A5" s="14" t="s">
        <v>1859</v>
      </c>
      <c r="B5" s="14" t="str">
        <f>VLOOKUP(EdgesData[[#This Row],[Node A]],NodesData[],2,FALSE)</f>
        <v>n8B61F4C7_8FA2_43DC_B58C_AB2C5C0A8877</v>
      </c>
      <c r="C5" s="13" t="s">
        <v>79</v>
      </c>
      <c r="D5" s="13" t="s">
        <v>1343</v>
      </c>
      <c r="F5" s="13" t="s">
        <v>1337</v>
      </c>
      <c r="G5" s="14" t="str">
        <f>VLOOKUP(EdgesData[[#This Row],[Node B]],NodesData[],2,FALSE)</f>
        <v>nCEEB6DF9_D56B_4A1B_9B36_35674D25F038</v>
      </c>
      <c r="H5" s="15" t="str" cm="1">
        <f t="array" ref="H5">"n"&amp;SUBSTITUTE(CreateGuidString(),"-","_")</f>
        <v>nC8997ADF_44C7_4C43_80DF_ECD60E2CD464</v>
      </c>
    </row>
    <row r="6" spans="1:8" x14ac:dyDescent="0.35">
      <c r="A6" s="14" t="s">
        <v>1870</v>
      </c>
      <c r="B6" s="14" t="str">
        <f>VLOOKUP(EdgesData[[#This Row],[Node A]],NodesData[],2,FALSE)</f>
        <v>n8B61F4C7_8FA2_43DC_B58C_AB2C5C0A8877</v>
      </c>
      <c r="C6" s="13" t="s">
        <v>79</v>
      </c>
      <c r="D6" s="13" t="s">
        <v>1338</v>
      </c>
      <c r="F6" s="13" t="s">
        <v>454</v>
      </c>
      <c r="G6" s="14" t="str">
        <f>VLOOKUP(EdgesData[[#This Row],[Node B]],NodesData[],2,FALSE)</f>
        <v>nFC4AFBE3_7D71_456A_AFC1_16F1F34558F5</v>
      </c>
      <c r="H6" s="15" t="str" cm="1">
        <f t="array" ref="H6">"n"&amp;SUBSTITUTE(CreateGuidString(),"-","_")</f>
        <v>n842B5F1A_005F_4584_94A3_7AE277CB617F</v>
      </c>
    </row>
    <row r="7" spans="1:8" x14ac:dyDescent="0.35">
      <c r="A7" s="14" t="s">
        <v>1871</v>
      </c>
      <c r="B7" s="14" t="str">
        <f>VLOOKUP(EdgesData[[#This Row],[Node A]],NodesData[],2,FALSE)</f>
        <v>n8B61F4C7_8FA2_43DC_B58C_AB2C5C0A8877</v>
      </c>
      <c r="C7" s="13" t="s">
        <v>79</v>
      </c>
      <c r="D7" s="13" t="s">
        <v>1339</v>
      </c>
      <c r="F7" s="12" t="s">
        <v>1844</v>
      </c>
      <c r="G7" s="14" t="str">
        <f>VLOOKUP(EdgesData[[#This Row],[Node B]],NodesData[],2,FALSE)</f>
        <v>n1546AAB1_79BC_427B_AC2C_31B1E8FA4616</v>
      </c>
      <c r="H7" s="15" t="str" cm="1">
        <f t="array" ref="H7">"n"&amp;SUBSTITUTE(CreateGuidString(),"-","_")</f>
        <v>n931B4078_093D_4FA2_AD84_E59FF3732144</v>
      </c>
    </row>
    <row r="8" spans="1:8" x14ac:dyDescent="0.35">
      <c r="A8" s="14" t="s">
        <v>1875</v>
      </c>
      <c r="B8" s="14" t="str">
        <f>VLOOKUP(EdgesData[[#This Row],[Node A]],NodesData[],2,FALSE)</f>
        <v>n45A95ED6_6BE9_42DC_8F8E_4940542AA763</v>
      </c>
      <c r="C8" s="18" t="s">
        <v>1303</v>
      </c>
      <c r="D8" s="12" t="s">
        <v>1343</v>
      </c>
      <c r="F8" s="12" t="s">
        <v>1332</v>
      </c>
      <c r="G8" s="14" t="str">
        <f>VLOOKUP(EdgesData[[#This Row],[Node B]],NodesData[],2,FALSE)</f>
        <v>n53877DB9_77FA_44E9_974A_BE3344133398</v>
      </c>
      <c r="H8" s="15" t="str" cm="1">
        <f t="array" ref="H8">"n"&amp;SUBSTITUTE(CreateGuidString(),"-","_")</f>
        <v>n32376E73_5A28_46D0_B5D1_AE4CE5617A18</v>
      </c>
    </row>
    <row r="9" spans="1:8" x14ac:dyDescent="0.35">
      <c r="A9" s="14" t="s">
        <v>1876</v>
      </c>
      <c r="B9" s="14" t="str">
        <f>VLOOKUP(EdgesData[[#This Row],[Node A]],NodesData[],2,FALSE)</f>
        <v>n45A95ED6_6BE9_42DC_8F8E_4940542AA763</v>
      </c>
      <c r="C9" s="17" t="s">
        <v>1303</v>
      </c>
      <c r="D9" s="12" t="s">
        <v>1343</v>
      </c>
      <c r="F9" s="12" t="s">
        <v>618</v>
      </c>
      <c r="G9" s="14" t="str">
        <f>VLOOKUP(EdgesData[[#This Row],[Node B]],NodesData[],2,FALSE)</f>
        <v>nAC688165_B606_4D82_A016_0263D701EDF2</v>
      </c>
      <c r="H9" s="15" t="str" cm="1">
        <f t="array" ref="H9">"n"&amp;SUBSTITUTE(CreateGuidString(),"-","_")</f>
        <v>nC22946C6_4FE8_4595_AE7D_17A1B3508616</v>
      </c>
    </row>
    <row r="10" spans="1:8" x14ac:dyDescent="0.35">
      <c r="A10" s="14" t="s">
        <v>1860</v>
      </c>
      <c r="B10" s="14" t="str">
        <f>VLOOKUP(EdgesData[[#This Row],[Node A]],NodesData[],2,FALSE)</f>
        <v>n09E1C4DC_8D91_4A66_9C50_11DCDC2042FD</v>
      </c>
      <c r="C10" s="13" t="s">
        <v>1345</v>
      </c>
      <c r="D10" s="13" t="s">
        <v>1343</v>
      </c>
      <c r="F10" s="13" t="s">
        <v>1341</v>
      </c>
      <c r="G10" s="14" t="str">
        <f>VLOOKUP(EdgesData[[#This Row],[Node B]],NodesData[],2,FALSE)</f>
        <v>n80310A12_2F48_48B9_A9C3_E6FADD4B55C9</v>
      </c>
      <c r="H10" s="15" t="str" cm="1">
        <f t="array" ref="H10">"n"&amp;SUBSTITUTE(CreateGuidString(),"-","_")</f>
        <v>n119C0E70_A0CA_4573_ABBE_ADB0EB0F6468</v>
      </c>
    </row>
    <row r="11" spans="1:8" x14ac:dyDescent="0.35">
      <c r="A11" s="14" t="s">
        <v>1861</v>
      </c>
      <c r="B11" s="14" t="str">
        <f>VLOOKUP(EdgesData[[#This Row],[Node A]],NodesData[],2,FALSE)</f>
        <v>nEE342468_B7F3_4FB0_BA73_C88BBEA8F59E</v>
      </c>
      <c r="C11" s="13" t="s">
        <v>1346</v>
      </c>
      <c r="D11" s="13" t="s">
        <v>1343</v>
      </c>
      <c r="F11" s="13" t="s">
        <v>1341</v>
      </c>
      <c r="G11" s="14" t="str">
        <f>VLOOKUP(EdgesData[[#This Row],[Node B]],NodesData[],2,FALSE)</f>
        <v>n80310A12_2F48_48B9_A9C3_E6FADD4B55C9</v>
      </c>
      <c r="H11" s="15" t="str" cm="1">
        <f t="array" ref="H11">"n"&amp;SUBSTITUTE(CreateGuidString(),"-","_")</f>
        <v>n87298F87_429F_47E9_AF6F_4972C8BD8D90</v>
      </c>
    </row>
    <row r="12" spans="1:8" x14ac:dyDescent="0.35">
      <c r="A12" s="14" t="s">
        <v>1864</v>
      </c>
      <c r="B12" s="14" t="str">
        <f>VLOOKUP(EdgesData[[#This Row],[Node A]],NodesData[],2,FALSE)</f>
        <v>n1546AAB1_79BC_427B_AC2C_31B1E8FA4616</v>
      </c>
      <c r="C12" s="12" t="s">
        <v>1844</v>
      </c>
      <c r="D12" s="13" t="s">
        <v>1343</v>
      </c>
      <c r="F12" s="13" t="s">
        <v>1340</v>
      </c>
      <c r="G12" s="14" t="str">
        <f>VLOOKUP(EdgesData[[#This Row],[Node B]],NodesData[],2,FALSE)</f>
        <v>n385B2A02_580E_49B6_8C97_A00DC541C516</v>
      </c>
      <c r="H12" s="15" t="str" cm="1">
        <f t="array" ref="H12">"n"&amp;SUBSTITUTE(CreateGuidString(),"-","_")</f>
        <v>n04262143_ED8F_4BCF_99A7_F180AAB3F26E</v>
      </c>
    </row>
    <row r="13" spans="1:8" x14ac:dyDescent="0.35">
      <c r="A13" s="14" t="s">
        <v>1877</v>
      </c>
      <c r="B13" s="14" t="str">
        <f>VLOOKUP(EdgesData[[#This Row],[Node A]],NodesData[],2,FALSE)</f>
        <v>nA4759A9D_95C0_47CA_B519_8CEF217B2F74</v>
      </c>
      <c r="C13" s="18" t="s">
        <v>1304</v>
      </c>
      <c r="D13" s="12" t="s">
        <v>1343</v>
      </c>
      <c r="F13" s="12" t="s">
        <v>1332</v>
      </c>
      <c r="G13" s="14" t="str">
        <f>VLOOKUP(EdgesData[[#This Row],[Node B]],NodesData[],2,FALSE)</f>
        <v>n53877DB9_77FA_44E9_974A_BE3344133398</v>
      </c>
      <c r="H13" s="15" t="str" cm="1">
        <f t="array" ref="H13">"n"&amp;SUBSTITUTE(CreateGuidString(),"-","_")</f>
        <v>nC981D918_E835_47C0_9A46_E2D157665217</v>
      </c>
    </row>
    <row r="14" spans="1:8" x14ac:dyDescent="0.35">
      <c r="A14" s="14" t="s">
        <v>1878</v>
      </c>
      <c r="B14" s="14" t="str">
        <f>VLOOKUP(EdgesData[[#This Row],[Node A]],NodesData[],2,FALSE)</f>
        <v>nA4759A9D_95C0_47CA_B519_8CEF217B2F74</v>
      </c>
      <c r="C14" s="17" t="s">
        <v>1304</v>
      </c>
      <c r="D14" s="12" t="s">
        <v>1343</v>
      </c>
      <c r="F14" s="12" t="s">
        <v>618</v>
      </c>
      <c r="G14" s="14" t="str">
        <f>VLOOKUP(EdgesData[[#This Row],[Node B]],NodesData[],2,FALSE)</f>
        <v>nAC688165_B606_4D82_A016_0263D701EDF2</v>
      </c>
      <c r="H14" s="15" t="str" cm="1">
        <f t="array" ref="H14">"n"&amp;SUBSTITUTE(CreateGuidString(),"-","_")</f>
        <v>n30BE18E4_9855_4031_BB3F_D3FAF0E37F2A</v>
      </c>
    </row>
    <row r="15" spans="1:8" x14ac:dyDescent="0.35">
      <c r="A15" s="14" t="s">
        <v>1879</v>
      </c>
      <c r="B15" s="14" t="str">
        <f>VLOOKUP(EdgesData[[#This Row],[Node A]],NodesData[],2,FALSE)</f>
        <v>nAACCE65E_6554_4FBD_B4D7_A3BA8E3BDB92</v>
      </c>
      <c r="C15" s="18" t="s">
        <v>1837</v>
      </c>
      <c r="D15" s="12" t="s">
        <v>1343</v>
      </c>
      <c r="F15" s="12" t="s">
        <v>1332</v>
      </c>
      <c r="G15" s="14" t="str">
        <f>VLOOKUP(EdgesData[[#This Row],[Node B]],NodesData[],2,FALSE)</f>
        <v>n53877DB9_77FA_44E9_974A_BE3344133398</v>
      </c>
      <c r="H15" s="15" t="str" cm="1">
        <f t="array" ref="H15">"n"&amp;SUBSTITUTE(CreateGuidString(),"-","_")</f>
        <v>n3DB85141_1C55_44C1_BC5D_631FB9F6EB69</v>
      </c>
    </row>
    <row r="16" spans="1:8" x14ac:dyDescent="0.35">
      <c r="A16" s="14" t="s">
        <v>1880</v>
      </c>
      <c r="B16" s="14" t="str">
        <f>VLOOKUP(EdgesData[[#This Row],[Node A]],NodesData[],2,FALSE)</f>
        <v>nAACCE65E_6554_4FBD_B4D7_A3BA8E3BDB92</v>
      </c>
      <c r="C16" s="17" t="s">
        <v>1837</v>
      </c>
      <c r="D16" s="12" t="s">
        <v>1343</v>
      </c>
      <c r="F16" s="12" t="s">
        <v>618</v>
      </c>
      <c r="G16" s="14" t="str">
        <f>VLOOKUP(EdgesData[[#This Row],[Node B]],NodesData[],2,FALSE)</f>
        <v>nAC688165_B606_4D82_A016_0263D701EDF2</v>
      </c>
      <c r="H16" s="15" t="str" cm="1">
        <f t="array" ref="H16">"n"&amp;SUBSTITUTE(CreateGuidString(),"-","_")</f>
        <v>nC26E7A42_6BAA_4E72_A1C2_D0C46C5C0039</v>
      </c>
    </row>
    <row r="17" spans="1:8" x14ac:dyDescent="0.35">
      <c r="A17" s="14" t="s">
        <v>1881</v>
      </c>
      <c r="B17" s="14" t="str">
        <f>VLOOKUP(EdgesData[[#This Row],[Node A]],NodesData[],2,FALSE)</f>
        <v>nF5B3A52F_6645_4E18_BE53_3CA330AAEC4A</v>
      </c>
      <c r="C17" s="18" t="s">
        <v>1307</v>
      </c>
      <c r="D17" s="12" t="s">
        <v>1343</v>
      </c>
      <c r="F17" s="12" t="s">
        <v>1332</v>
      </c>
      <c r="G17" s="14" t="str">
        <f>VLOOKUP(EdgesData[[#This Row],[Node B]],NodesData[],2,FALSE)</f>
        <v>n53877DB9_77FA_44E9_974A_BE3344133398</v>
      </c>
      <c r="H17" s="15" t="str" cm="1">
        <f t="array" ref="H17">"n"&amp;SUBSTITUTE(CreateGuidString(),"-","_")</f>
        <v>n0F4C46D4_3CCF_4919_A559_D89CB9FB69D9</v>
      </c>
    </row>
    <row r="18" spans="1:8" x14ac:dyDescent="0.35">
      <c r="A18" s="14" t="s">
        <v>1882</v>
      </c>
      <c r="B18" s="14" t="str">
        <f>VLOOKUP(EdgesData[[#This Row],[Node A]],NodesData[],2,FALSE)</f>
        <v>nF5B3A52F_6645_4E18_BE53_3CA330AAEC4A</v>
      </c>
      <c r="C18" s="17" t="s">
        <v>1307</v>
      </c>
      <c r="D18" s="12" t="s">
        <v>1343</v>
      </c>
      <c r="F18" s="12" t="s">
        <v>618</v>
      </c>
      <c r="G18" s="14" t="str">
        <f>VLOOKUP(EdgesData[[#This Row],[Node B]],NodesData[],2,FALSE)</f>
        <v>nAC688165_B606_4D82_A016_0263D701EDF2</v>
      </c>
      <c r="H18" s="15" t="str" cm="1">
        <f t="array" ref="H18">"n"&amp;SUBSTITUTE(CreateGuidString(),"-","_")</f>
        <v>n12E4BD84_843B_4FFB_B86A_A63098F6072D</v>
      </c>
    </row>
    <row r="19" spans="1:8" x14ac:dyDescent="0.35">
      <c r="A19" s="14" t="s">
        <v>1883</v>
      </c>
      <c r="B19" s="14" t="str">
        <f>VLOOKUP(EdgesData[[#This Row],[Node A]],NodesData[],2,FALSE)</f>
        <v>nE75296C8_9CA1_417E_B05B_CC1BDF26F9C3</v>
      </c>
      <c r="C19" s="18" t="s">
        <v>1308</v>
      </c>
      <c r="D19" s="12" t="s">
        <v>1343</v>
      </c>
      <c r="F19" s="12" t="s">
        <v>1332</v>
      </c>
      <c r="G19" s="14" t="str">
        <f>VLOOKUP(EdgesData[[#This Row],[Node B]],NodesData[],2,FALSE)</f>
        <v>n53877DB9_77FA_44E9_974A_BE3344133398</v>
      </c>
      <c r="H19" s="15" t="str" cm="1">
        <f t="array" ref="H19">"n"&amp;SUBSTITUTE(CreateGuidString(),"-","_")</f>
        <v>n59FA2C62_2D36_4146_B29E_2C98980E5982</v>
      </c>
    </row>
    <row r="20" spans="1:8" x14ac:dyDescent="0.35">
      <c r="A20" s="14" t="s">
        <v>1884</v>
      </c>
      <c r="B20" s="14" t="str">
        <f>VLOOKUP(EdgesData[[#This Row],[Node A]],NodesData[],2,FALSE)</f>
        <v>nE75296C8_9CA1_417E_B05B_CC1BDF26F9C3</v>
      </c>
      <c r="C20" s="17" t="s">
        <v>1308</v>
      </c>
      <c r="D20" s="12" t="s">
        <v>1343</v>
      </c>
      <c r="E20" s="12"/>
      <c r="F20" s="12" t="s">
        <v>618</v>
      </c>
      <c r="G20" s="14" t="str">
        <f>VLOOKUP(EdgesData[[#This Row],[Node B]],NodesData[],2,FALSE)</f>
        <v>nAC688165_B606_4D82_A016_0263D701EDF2</v>
      </c>
      <c r="H20" s="15" t="str" cm="1">
        <f t="array" ref="H20">"n"&amp;SUBSTITUTE(CreateGuidString(),"-","_")</f>
        <v>nDBAD68B8_52D6_49BD_B666_C2D4AB9CBD8C</v>
      </c>
    </row>
    <row r="21" spans="1:8" x14ac:dyDescent="0.35">
      <c r="A21" s="14" t="s">
        <v>1885</v>
      </c>
      <c r="B21" s="14" t="str">
        <f>VLOOKUP(EdgesData[[#This Row],[Node A]],NodesData[],2,FALSE)</f>
        <v>n3E35442D_91A0_4B21_B0FC_31EF1D8BC55F</v>
      </c>
      <c r="C21" s="18" t="s">
        <v>1309</v>
      </c>
      <c r="D21" s="12" t="s">
        <v>1343</v>
      </c>
      <c r="F21" s="12" t="s">
        <v>1332</v>
      </c>
      <c r="G21" s="14" t="str">
        <f>VLOOKUP(EdgesData[[#This Row],[Node B]],NodesData[],2,FALSE)</f>
        <v>n53877DB9_77FA_44E9_974A_BE3344133398</v>
      </c>
      <c r="H21" s="15" t="str" cm="1">
        <f t="array" ref="H21">"n"&amp;SUBSTITUTE(CreateGuidString(),"-","_")</f>
        <v>nF4A2D7B2_18C9_462D_809A_D561F7A88A3F</v>
      </c>
    </row>
    <row r="22" spans="1:8" x14ac:dyDescent="0.35">
      <c r="A22" s="14" t="s">
        <v>1886</v>
      </c>
      <c r="B22" s="14" t="str">
        <f>VLOOKUP(EdgesData[[#This Row],[Node A]],NodesData[],2,FALSE)</f>
        <v>n3E35442D_91A0_4B21_B0FC_31EF1D8BC55F</v>
      </c>
      <c r="C22" s="17" t="s">
        <v>1309</v>
      </c>
      <c r="D22" s="12" t="s">
        <v>1343</v>
      </c>
      <c r="F22" s="12" t="s">
        <v>618</v>
      </c>
      <c r="G22" s="14" t="str">
        <f>VLOOKUP(EdgesData[[#This Row],[Node B]],NodesData[],2,FALSE)</f>
        <v>nAC688165_B606_4D82_A016_0263D701EDF2</v>
      </c>
      <c r="H22" s="15" t="str" cm="1">
        <f t="array" ref="H22">"n"&amp;SUBSTITUTE(CreateGuidString(),"-","_")</f>
        <v>n4EE3BF5A_C2BE_4A93_8085_AF78AE326BE7</v>
      </c>
    </row>
    <row r="23" spans="1:8" x14ac:dyDescent="0.35">
      <c r="A23" s="14" t="s">
        <v>1887</v>
      </c>
      <c r="B23" s="14" t="str">
        <f>VLOOKUP(EdgesData[[#This Row],[Node A]],NodesData[],2,FALSE)</f>
        <v>n99E2EC41_CA7B_41FD_8304_3926884533F9</v>
      </c>
      <c r="C23" s="18" t="s">
        <v>1294</v>
      </c>
      <c r="D23" s="12" t="s">
        <v>1343</v>
      </c>
      <c r="F23" s="12" t="s">
        <v>0</v>
      </c>
      <c r="G23" s="14" t="str">
        <f>VLOOKUP(EdgesData[[#This Row],[Node B]],NodesData[],2,FALSE)</f>
        <v>n67C132A3_290E_4750_90DE_11E7C1778537</v>
      </c>
      <c r="H23" s="15" t="str" cm="1">
        <f t="array" ref="H23">"n"&amp;SUBSTITUTE(CreateGuidString(),"-","_")</f>
        <v>nFABBCBA4_E443_4834_8620_82407910A852</v>
      </c>
    </row>
    <row r="24" spans="1:8" x14ac:dyDescent="0.35">
      <c r="A24" s="14" t="s">
        <v>1888</v>
      </c>
      <c r="B24" s="14" t="str">
        <f>VLOOKUP(EdgesData[[#This Row],[Node A]],NodesData[],2,FALSE)</f>
        <v>nFF2EA87E_84ED_44A7_83DE_4A3C4C0F01DF</v>
      </c>
      <c r="C24" s="17" t="s">
        <v>1310</v>
      </c>
      <c r="D24" s="12" t="s">
        <v>1343</v>
      </c>
      <c r="F24" s="12" t="s">
        <v>1332</v>
      </c>
      <c r="G24" s="14" t="str">
        <f>VLOOKUP(EdgesData[[#This Row],[Node B]],NodesData[],2,FALSE)</f>
        <v>n53877DB9_77FA_44E9_974A_BE3344133398</v>
      </c>
      <c r="H24" s="15" t="str" cm="1">
        <f t="array" ref="H24">"n"&amp;SUBSTITUTE(CreateGuidString(),"-","_")</f>
        <v>nC8FD689B_FC5A_4E54_8604_62DEAADC8350</v>
      </c>
    </row>
    <row r="25" spans="1:8" x14ac:dyDescent="0.35">
      <c r="A25" s="14" t="s">
        <v>1889</v>
      </c>
      <c r="B25" s="14" t="str">
        <f>VLOOKUP(EdgesData[[#This Row],[Node A]],NodesData[],2,FALSE)</f>
        <v>nFF2EA87E_84ED_44A7_83DE_4A3C4C0F01DF</v>
      </c>
      <c r="C25" s="18" t="s">
        <v>1310</v>
      </c>
      <c r="D25" s="12" t="s">
        <v>1343</v>
      </c>
      <c r="F25" s="12" t="s">
        <v>618</v>
      </c>
      <c r="G25" s="14" t="str">
        <f>VLOOKUP(EdgesData[[#This Row],[Node B]],NodesData[],2,FALSE)</f>
        <v>nAC688165_B606_4D82_A016_0263D701EDF2</v>
      </c>
      <c r="H25" s="15" t="str" cm="1">
        <f t="array" ref="H25">"n"&amp;SUBSTITUTE(CreateGuidString(),"-","_")</f>
        <v>nCC5147FE_46F7_405B_B796_F93B7888D6AB</v>
      </c>
    </row>
    <row r="26" spans="1:8" x14ac:dyDescent="0.35">
      <c r="A26" s="14" t="s">
        <v>1862</v>
      </c>
      <c r="B26" s="14" t="str">
        <f>VLOOKUP(EdgesData[[#This Row],[Node A]],NodesData[],2,FALSE)</f>
        <v>n940256DD_635E_4F4B_91EA_B3366D40E947</v>
      </c>
      <c r="C26" s="13" t="s">
        <v>1342</v>
      </c>
      <c r="D26" s="13" t="s">
        <v>1343</v>
      </c>
      <c r="F26" s="13" t="s">
        <v>1341</v>
      </c>
      <c r="G26" s="14" t="str">
        <f>VLOOKUP(EdgesData[[#This Row],[Node B]],NodesData[],2,FALSE)</f>
        <v>n80310A12_2F48_48B9_A9C3_E6FADD4B55C9</v>
      </c>
      <c r="H26" s="15" t="str" cm="1">
        <f t="array" ref="H26">"n"&amp;SUBSTITUTE(CreateGuidString(),"-","_")</f>
        <v>n397E2E20_9292_4F83_B51E_2D851F0654DA</v>
      </c>
    </row>
    <row r="27" spans="1:8" x14ac:dyDescent="0.35">
      <c r="A27" s="14" t="s">
        <v>1863</v>
      </c>
      <c r="B27" s="14" t="str">
        <f>VLOOKUP(EdgesData[[#This Row],[Node A]],NodesData[],2,FALSE)</f>
        <v>nBB725018_7327_49FB_A48A_74839D0C04F9</v>
      </c>
      <c r="C27" s="13" t="s">
        <v>1344</v>
      </c>
      <c r="D27" s="13" t="s">
        <v>1343</v>
      </c>
      <c r="F27" s="13" t="s">
        <v>1341</v>
      </c>
      <c r="G27" s="14" t="str">
        <f>VLOOKUP(EdgesData[[#This Row],[Node B]],NodesData[],2,FALSE)</f>
        <v>n80310A12_2F48_48B9_A9C3_E6FADD4B55C9</v>
      </c>
      <c r="H27" s="15" t="str" cm="1">
        <f t="array" ref="H27">"n"&amp;SUBSTITUTE(CreateGuidString(),"-","_")</f>
        <v>n1D807B35_EA96_4D8C_B1FA_7B4725219DA3</v>
      </c>
    </row>
    <row r="28" spans="1:8" x14ac:dyDescent="0.35">
      <c r="A28" s="14" t="s">
        <v>1858</v>
      </c>
      <c r="B28" s="14" t="str">
        <f>VLOOKUP(EdgesData[[#This Row],[Node A]],NodesData[],2,FALSE)</f>
        <v>nC607594D_D597_4C8E_9605_EED87566C2FD</v>
      </c>
      <c r="C28" s="13" t="s">
        <v>261</v>
      </c>
      <c r="D28" s="12" t="s">
        <v>1835</v>
      </c>
      <c r="F28" s="13" t="s">
        <v>1341</v>
      </c>
      <c r="G28" s="14" t="str">
        <f>VLOOKUP(EdgesData[[#This Row],[Node B]],NodesData[],2,FALSE)</f>
        <v>n80310A12_2F48_48B9_A9C3_E6FADD4B55C9</v>
      </c>
      <c r="H28" s="15" t="str" cm="1">
        <f t="array" ref="H28">"n"&amp;SUBSTITUTE(CreateGuidString(),"-","_")</f>
        <v>nEEF0BCBC_F5FE_4785_BD2D_C973D661D263</v>
      </c>
    </row>
    <row r="29" spans="1:8" x14ac:dyDescent="0.35">
      <c r="A29" s="14" t="s">
        <v>1866</v>
      </c>
      <c r="B29" s="14" t="str">
        <f>VLOOKUP(EdgesData[[#This Row],[Node A]],NodesData[],2,FALSE)</f>
        <v>nC607594D_D597_4C8E_9605_EED87566C2FD</v>
      </c>
      <c r="C29" s="13" t="s">
        <v>261</v>
      </c>
      <c r="D29" s="12" t="s">
        <v>1836</v>
      </c>
      <c r="F29" s="13" t="s">
        <v>1348</v>
      </c>
      <c r="G29" s="14" t="str">
        <f>VLOOKUP(EdgesData[[#This Row],[Node B]],NodesData[],2,FALSE)</f>
        <v>nFB32F479_4EF7_409C_900B_EE48AA0DE846</v>
      </c>
      <c r="H29" s="15" t="str" cm="1">
        <f t="array" ref="H29">"n"&amp;SUBSTITUTE(CreateGuidString(),"-","_")</f>
        <v>n09577B7F_C3D0_48D5_91B9_E17CD7792331</v>
      </c>
    </row>
    <row r="30" spans="1:8" x14ac:dyDescent="0.35">
      <c r="A30" s="14" t="s">
        <v>1867</v>
      </c>
      <c r="B30" s="14" t="str">
        <f>VLOOKUP(EdgesData[[#This Row],[Node A]],NodesData[],2,FALSE)</f>
        <v>nC607594D_D597_4C8E_9605_EED87566C2FD</v>
      </c>
      <c r="C30" s="13" t="s">
        <v>261</v>
      </c>
      <c r="D30" s="12" t="s">
        <v>1836</v>
      </c>
      <c r="F30" s="13" t="s">
        <v>1349</v>
      </c>
      <c r="G30" s="14" t="str">
        <f>VLOOKUP(EdgesData[[#This Row],[Node B]],NodesData[],2,FALSE)</f>
        <v>nFA6C8A63_7071_4E20_BB02_F78403869E0B</v>
      </c>
      <c r="H30" s="15" t="str" cm="1">
        <f t="array" ref="H30">"n"&amp;SUBSTITUTE(CreateGuidString(),"-","_")</f>
        <v>n7F3B18CC_CC9E_40B6_A798_3D513ADFA934</v>
      </c>
    </row>
    <row r="31" spans="1:8" x14ac:dyDescent="0.35">
      <c r="A31" s="14" t="s">
        <v>1868</v>
      </c>
      <c r="B31" s="14" t="str">
        <f>VLOOKUP(EdgesData[[#This Row],[Node A]],NodesData[],2,FALSE)</f>
        <v>nC607594D_D597_4C8E_9605_EED87566C2FD</v>
      </c>
      <c r="C31" s="13" t="s">
        <v>261</v>
      </c>
      <c r="D31" s="12" t="s">
        <v>1836</v>
      </c>
      <c r="F31" s="13" t="s">
        <v>1350</v>
      </c>
      <c r="G31" s="14" t="str">
        <f>VLOOKUP(EdgesData[[#This Row],[Node B]],NodesData[],2,FALSE)</f>
        <v>nAC062A15_C72B_42D8_BBDF_C7EB64B35F26</v>
      </c>
      <c r="H31" s="15" t="str" cm="1">
        <f t="array" ref="H31">"n"&amp;SUBSTITUTE(CreateGuidString(),"-","_")</f>
        <v>n3290F9A0_663B_42EB_9F3D_85200E00098A</v>
      </c>
    </row>
    <row r="32" spans="1:8" x14ac:dyDescent="0.35">
      <c r="A32" s="14" t="s">
        <v>1869</v>
      </c>
      <c r="B32" s="14" t="str">
        <f>VLOOKUP(EdgesData[[#This Row],[Node A]],NodesData[],2,FALSE)</f>
        <v>nC607594D_D597_4C8E_9605_EED87566C2FD</v>
      </c>
      <c r="C32" s="13" t="s">
        <v>261</v>
      </c>
      <c r="D32" s="12" t="s">
        <v>1836</v>
      </c>
      <c r="F32" s="13" t="s">
        <v>1347</v>
      </c>
      <c r="G32" s="14" t="str">
        <f>VLOOKUP(EdgesData[[#This Row],[Node B]],NodesData[],2,FALSE)</f>
        <v>nF3A221C8_C126_458E_818C_DAE6B57CD442</v>
      </c>
      <c r="H32" s="15" t="str" cm="1">
        <f t="array" ref="H32">"n"&amp;SUBSTITUTE(CreateGuidString(),"-","_")</f>
        <v>nF46C1BEA_E65F_4C76_BA5E_0FE93A673C07</v>
      </c>
    </row>
    <row r="33" spans="1:8" x14ac:dyDescent="0.35">
      <c r="A33" s="14" t="s">
        <v>1872</v>
      </c>
      <c r="B33" s="14" t="str">
        <f>VLOOKUP(EdgesData[[#This Row],[Node A]],NodesData[],2,FALSE)</f>
        <v>nC607594D_D597_4C8E_9605_EED87566C2FD</v>
      </c>
      <c r="C33" s="13" t="s">
        <v>261</v>
      </c>
      <c r="D33" s="13" t="s">
        <v>1351</v>
      </c>
      <c r="F33" s="13" t="s">
        <v>1352</v>
      </c>
      <c r="G33" s="14" t="str">
        <f>VLOOKUP(EdgesData[[#This Row],[Node B]],NodesData[],2,FALSE)</f>
        <v>n2E4A35A7_53BB_4F4B_8554_B6584F77D71D</v>
      </c>
      <c r="H33" s="15" t="str" cm="1">
        <f t="array" ref="H33">"n"&amp;SUBSTITUTE(CreateGuidString(),"-","_")</f>
        <v>n6FEB447E_49A9_4D08_B50B_A12898289CDF</v>
      </c>
    </row>
    <row r="34" spans="1:8" x14ac:dyDescent="0.35">
      <c r="A34" s="14" t="s">
        <v>1873</v>
      </c>
      <c r="B34" s="14" t="str">
        <f>VLOOKUP(EdgesData[[#This Row],[Node A]],NodesData[],2,FALSE)</f>
        <v>n35F5759D_AAFF_439C_A04E_623AA07EE4D9</v>
      </c>
      <c r="C34" s="12" t="s">
        <v>1311</v>
      </c>
      <c r="D34" s="12" t="s">
        <v>1839</v>
      </c>
      <c r="E34" s="12" t="s">
        <v>1838</v>
      </c>
      <c r="F34" s="12" t="s">
        <v>1312</v>
      </c>
      <c r="G34" s="14" t="str">
        <f>VLOOKUP(EdgesData[[#This Row],[Node B]],NodesData[],2,FALSE)</f>
        <v>n2F27DDAD_459D_4B06_9152_168BDF5063F5</v>
      </c>
      <c r="H34" s="15" t="str" cm="1">
        <f t="array" ref="H34">"n"&amp;SUBSTITUTE(CreateGuidString(),"-","_")</f>
        <v>n5C8A387E_C411_49D0_99CB_8BB8F945E8A7</v>
      </c>
    </row>
    <row r="35" spans="1:8" x14ac:dyDescent="0.35">
      <c r="A35" s="14" t="s">
        <v>1890</v>
      </c>
      <c r="B35" s="14" t="str">
        <f>VLOOKUP(EdgesData[[#This Row],[Node A]],NodesData[],2,FALSE)</f>
        <v>n35F5759D_AAFF_439C_A04E_623AA07EE4D9</v>
      </c>
      <c r="C35" s="17" t="s">
        <v>1311</v>
      </c>
      <c r="D35" s="12" t="s">
        <v>1343</v>
      </c>
      <c r="F35" s="12" t="s">
        <v>1332</v>
      </c>
      <c r="G35" s="14" t="str">
        <f>VLOOKUP(EdgesData[[#This Row],[Node B]],NodesData[],2,FALSE)</f>
        <v>n53877DB9_77FA_44E9_974A_BE3344133398</v>
      </c>
      <c r="H35" s="15" t="str" cm="1">
        <f t="array" ref="H35">"n"&amp;SUBSTITUTE(CreateGuidString(),"-","_")</f>
        <v>nA8B6A68B_E327_4B30_9109_4922B0A49835</v>
      </c>
    </row>
    <row r="36" spans="1:8" x14ac:dyDescent="0.35">
      <c r="A36" s="14" t="s">
        <v>1891</v>
      </c>
      <c r="B36" s="14" t="str">
        <f>VLOOKUP(EdgesData[[#This Row],[Node A]],NodesData[],2,FALSE)</f>
        <v>n35F5759D_AAFF_439C_A04E_623AA07EE4D9</v>
      </c>
      <c r="C36" s="18" t="s">
        <v>1311</v>
      </c>
      <c r="D36" s="12" t="s">
        <v>1343</v>
      </c>
      <c r="F36" s="12" t="s">
        <v>618</v>
      </c>
      <c r="G36" s="14" t="str">
        <f>VLOOKUP(EdgesData[[#This Row],[Node B]],NodesData[],2,FALSE)</f>
        <v>nAC688165_B606_4D82_A016_0263D701EDF2</v>
      </c>
      <c r="H36" s="15" t="str" cm="1">
        <f t="array" ref="H36">"n"&amp;SUBSTITUTE(CreateGuidString(),"-","_")</f>
        <v>n8594D55C_B6C4_4747_88AC_27C3B88DED42</v>
      </c>
    </row>
    <row r="37" spans="1:8" x14ac:dyDescent="0.35">
      <c r="A37" s="14" t="s">
        <v>1892</v>
      </c>
      <c r="B37" s="14" t="str">
        <f>VLOOKUP(EdgesData[[#This Row],[Node A]],NodesData[],2,FALSE)</f>
        <v>n63EDDBAD_A168_4974_B9D5_9B90FB3F688E</v>
      </c>
      <c r="C37" s="17" t="s">
        <v>2</v>
      </c>
      <c r="D37" s="12" t="s">
        <v>1343</v>
      </c>
      <c r="F37" s="12" t="s">
        <v>0</v>
      </c>
      <c r="G37" s="14" t="str">
        <f>VLOOKUP(EdgesData[[#This Row],[Node B]],NodesData[],2,FALSE)</f>
        <v>n67C132A3_290E_4750_90DE_11E7C1778537</v>
      </c>
      <c r="H37" s="15" t="str" cm="1">
        <f t="array" ref="H37">"n"&amp;SUBSTITUTE(CreateGuidString(),"-","_")</f>
        <v>nEB9B6414_BB18_4555_ACDB_4EA923DBB2AD</v>
      </c>
    </row>
    <row r="38" spans="1:8" x14ac:dyDescent="0.35">
      <c r="A38" s="14" t="s">
        <v>1893</v>
      </c>
      <c r="B38" s="14" t="str">
        <f>VLOOKUP(EdgesData[[#This Row],[Node A]],NodesData[],2,FALSE)</f>
        <v>nC63D5B91_5DF9_4B35_856B_670E59CF1CA0</v>
      </c>
      <c r="C38" s="18" t="s">
        <v>1313</v>
      </c>
      <c r="D38" s="12" t="s">
        <v>1343</v>
      </c>
      <c r="F38" s="12" t="s">
        <v>1332</v>
      </c>
      <c r="G38" s="14" t="str">
        <f>VLOOKUP(EdgesData[[#This Row],[Node B]],NodesData[],2,FALSE)</f>
        <v>n53877DB9_77FA_44E9_974A_BE3344133398</v>
      </c>
      <c r="H38" s="15" t="str" cm="1">
        <f t="array" ref="H38">"n"&amp;SUBSTITUTE(CreateGuidString(),"-","_")</f>
        <v>nC55004D2_B1F9_42A7_8977_B28188D34B77</v>
      </c>
    </row>
    <row r="39" spans="1:8" x14ac:dyDescent="0.35">
      <c r="A39" s="14" t="s">
        <v>1894</v>
      </c>
      <c r="B39" s="14" t="str">
        <f>VLOOKUP(EdgesData[[#This Row],[Node A]],NodesData[],2,FALSE)</f>
        <v>nC63D5B91_5DF9_4B35_856B_670E59CF1CA0</v>
      </c>
      <c r="C39" s="17" t="s">
        <v>1313</v>
      </c>
      <c r="D39" s="12" t="s">
        <v>1343</v>
      </c>
      <c r="F39" s="12" t="s">
        <v>618</v>
      </c>
      <c r="G39" s="14" t="str">
        <f>VLOOKUP(EdgesData[[#This Row],[Node B]],NodesData[],2,FALSE)</f>
        <v>nAC688165_B606_4D82_A016_0263D701EDF2</v>
      </c>
      <c r="H39" s="15" t="str" cm="1">
        <f t="array" ref="H39">"n"&amp;SUBSTITUTE(CreateGuidString(),"-","_")</f>
        <v>n886B6945_5E13_47D2_8D49_B9FE39FF6100</v>
      </c>
    </row>
    <row r="40" spans="1:8" x14ac:dyDescent="0.35">
      <c r="A40" s="14" t="s">
        <v>1895</v>
      </c>
      <c r="B40" s="14" t="str">
        <f>VLOOKUP(EdgesData[[#This Row],[Node A]],NodesData[],2,FALSE)</f>
        <v>nE61E61F3_D210_49D4_9FB5_8E7744490C9D</v>
      </c>
      <c r="C40" s="18" t="s">
        <v>1296</v>
      </c>
      <c r="D40" s="12" t="s">
        <v>1343</v>
      </c>
      <c r="F40" s="12" t="s">
        <v>0</v>
      </c>
      <c r="G40" s="14" t="str">
        <f>VLOOKUP(EdgesData[[#This Row],[Node B]],NodesData[],2,FALSE)</f>
        <v>n67C132A3_290E_4750_90DE_11E7C1778537</v>
      </c>
      <c r="H40" s="15" t="str" cm="1">
        <f t="array" ref="H40">"n"&amp;SUBSTITUTE(CreateGuidString(),"-","_")</f>
        <v>n2C192CD6_570A_463C_8FC0_14D528A65E90</v>
      </c>
    </row>
    <row r="41" spans="1:8" x14ac:dyDescent="0.35">
      <c r="A41" s="14" t="s">
        <v>1896</v>
      </c>
      <c r="B41" s="14" t="str">
        <f>VLOOKUP(EdgesData[[#This Row],[Node A]],NodesData[],2,FALSE)</f>
        <v>nF4329B4E_89AE_4B13_8BA2_B6BEFB931A12</v>
      </c>
      <c r="C41" s="12" t="s">
        <v>1841</v>
      </c>
      <c r="D41" s="12" t="s">
        <v>1343</v>
      </c>
      <c r="F41" s="12" t="s">
        <v>1332</v>
      </c>
      <c r="G41" s="14" t="str">
        <f>VLOOKUP(EdgesData[[#This Row],[Node B]],NodesData[],2,FALSE)</f>
        <v>n53877DB9_77FA_44E9_974A_BE3344133398</v>
      </c>
      <c r="H41" s="15" t="str" cm="1">
        <f t="array" ref="H41">"n"&amp;SUBSTITUTE(CreateGuidString(),"-","_")</f>
        <v>n9D56FFF6_2B82_471F_9117_6999BA3829B1</v>
      </c>
    </row>
    <row r="42" spans="1:8" x14ac:dyDescent="0.35">
      <c r="A42" s="14" t="s">
        <v>1897</v>
      </c>
      <c r="B42" s="14" t="str">
        <f>VLOOKUP(EdgesData[[#This Row],[Node A]],NodesData[],2,FALSE)</f>
        <v>nF4329B4E_89AE_4B13_8BA2_B6BEFB931A12</v>
      </c>
      <c r="C42" s="12" t="s">
        <v>1841</v>
      </c>
      <c r="D42" s="12" t="s">
        <v>1343</v>
      </c>
      <c r="F42" s="12" t="s">
        <v>618</v>
      </c>
      <c r="G42" s="14" t="str">
        <f>VLOOKUP(EdgesData[[#This Row],[Node B]],NodesData[],2,FALSE)</f>
        <v>nAC688165_B606_4D82_A016_0263D701EDF2</v>
      </c>
      <c r="H42" s="15" t="str" cm="1">
        <f t="array" ref="H42">"n"&amp;SUBSTITUTE(CreateGuidString(),"-","_")</f>
        <v>nEDD91A3D_FF65_4D23_B918_470EE5A4F407</v>
      </c>
    </row>
    <row r="43" spans="1:8" x14ac:dyDescent="0.35">
      <c r="A43" s="14" t="s">
        <v>1898</v>
      </c>
      <c r="B43" s="14" t="str">
        <f>VLOOKUP(EdgesData[[#This Row],[Node A]],NodesData[],2,FALSE)</f>
        <v>nD67337C3_82D6_4A00_9312_77ECF955E4EE</v>
      </c>
      <c r="C43" s="17" t="s">
        <v>1314</v>
      </c>
      <c r="D43" s="12" t="s">
        <v>1343</v>
      </c>
      <c r="F43" s="12" t="s">
        <v>1332</v>
      </c>
      <c r="G43" s="14" t="str">
        <f>VLOOKUP(EdgesData[[#This Row],[Node B]],NodesData[],2,FALSE)</f>
        <v>n53877DB9_77FA_44E9_974A_BE3344133398</v>
      </c>
      <c r="H43" s="15" t="str" cm="1">
        <f t="array" ref="H43">"n"&amp;SUBSTITUTE(CreateGuidString(),"-","_")</f>
        <v>n640D86DA_7ABC_4A43_BAF5_E4955564AD45</v>
      </c>
    </row>
    <row r="44" spans="1:8" x14ac:dyDescent="0.35">
      <c r="A44" s="14" t="s">
        <v>1899</v>
      </c>
      <c r="B44" s="14" t="str">
        <f>VLOOKUP(EdgesData[[#This Row],[Node A]],NodesData[],2,FALSE)</f>
        <v>nD67337C3_82D6_4A00_9312_77ECF955E4EE</v>
      </c>
      <c r="C44" s="18" t="s">
        <v>1314</v>
      </c>
      <c r="D44" s="12" t="s">
        <v>1343</v>
      </c>
      <c r="F44" s="12" t="s">
        <v>618</v>
      </c>
      <c r="G44" s="14" t="str">
        <f>VLOOKUP(EdgesData[[#This Row],[Node B]],NodesData[],2,FALSE)</f>
        <v>nAC688165_B606_4D82_A016_0263D701EDF2</v>
      </c>
      <c r="H44" s="15" t="str" cm="1">
        <f t="array" ref="H44">"n"&amp;SUBSTITUTE(CreateGuidString(),"-","_")</f>
        <v>n512EA8A8_75ED_4FFB_952E_ADF035AA262A</v>
      </c>
    </row>
    <row r="45" spans="1:8" x14ac:dyDescent="0.35">
      <c r="A45" s="14" t="s">
        <v>1900</v>
      </c>
      <c r="B45" s="14" t="str">
        <f>VLOOKUP(EdgesData[[#This Row],[Node A]],NodesData[],2,FALSE)</f>
        <v>n8B4BB7FC_2E2A_4C1A_8657_58EEC2DF8A9A</v>
      </c>
      <c r="C45" s="17" t="s">
        <v>1295</v>
      </c>
      <c r="D45" s="12" t="s">
        <v>1343</v>
      </c>
      <c r="F45" s="12" t="s">
        <v>0</v>
      </c>
      <c r="G45" s="14" t="str">
        <f>VLOOKUP(EdgesData[[#This Row],[Node B]],NodesData[],2,FALSE)</f>
        <v>n67C132A3_290E_4750_90DE_11E7C1778537</v>
      </c>
      <c r="H45" s="15" t="str" cm="1">
        <f t="array" ref="H45">"n"&amp;SUBSTITUTE(CreateGuidString(),"-","_")</f>
        <v>nA21D93F0_EF6D_4644_BF2C_95B6AFA58A53</v>
      </c>
    </row>
    <row r="46" spans="1:8" x14ac:dyDescent="0.35">
      <c r="A46" s="14" t="s">
        <v>1901</v>
      </c>
      <c r="B46" s="14" t="str">
        <f>VLOOKUP(EdgesData[[#This Row],[Node A]],NodesData[],2,FALSE)</f>
        <v>nF44C30A8_A797_4F0C_9C18_D87E7D5A8B88</v>
      </c>
      <c r="C46" s="18" t="s">
        <v>1297</v>
      </c>
      <c r="D46" s="12" t="s">
        <v>1343</v>
      </c>
      <c r="F46" s="12" t="s">
        <v>0</v>
      </c>
      <c r="G46" s="14" t="str">
        <f>VLOOKUP(EdgesData[[#This Row],[Node B]],NodesData[],2,FALSE)</f>
        <v>n67C132A3_290E_4750_90DE_11E7C1778537</v>
      </c>
      <c r="H46" s="15" t="str" cm="1">
        <f t="array" ref="H46">"n"&amp;SUBSTITUTE(CreateGuidString(),"-","_")</f>
        <v>n648FB6BC_C968_45D4_89A1_90D4F1C8EEC6</v>
      </c>
    </row>
    <row r="47" spans="1:8" x14ac:dyDescent="0.35">
      <c r="A47" s="14" t="s">
        <v>1902</v>
      </c>
      <c r="B47" s="14" t="str">
        <f>VLOOKUP(EdgesData[[#This Row],[Node A]],NodesData[],2,FALSE)</f>
        <v>n2F27DDAD_459D_4B06_9152_168BDF5063F5</v>
      </c>
      <c r="C47" s="17" t="s">
        <v>1312</v>
      </c>
      <c r="D47" s="12" t="s">
        <v>1343</v>
      </c>
      <c r="F47" s="12" t="s">
        <v>1332</v>
      </c>
      <c r="G47" s="14" t="str">
        <f>VLOOKUP(EdgesData[[#This Row],[Node B]],NodesData[],2,FALSE)</f>
        <v>n53877DB9_77FA_44E9_974A_BE3344133398</v>
      </c>
      <c r="H47" s="15" t="str" cm="1">
        <f t="array" ref="H47">"n"&amp;SUBSTITUTE(CreateGuidString(),"-","_")</f>
        <v>nC58582E3_5817_45D6_A5A0_F053D7D97208</v>
      </c>
    </row>
    <row r="48" spans="1:8" x14ac:dyDescent="0.35">
      <c r="A48" s="14" t="s">
        <v>1903</v>
      </c>
      <c r="B48" s="14" t="str">
        <f>VLOOKUP(EdgesData[[#This Row],[Node A]],NodesData[],2,FALSE)</f>
        <v>n2F27DDAD_459D_4B06_9152_168BDF5063F5</v>
      </c>
      <c r="C48" s="18" t="s">
        <v>1312</v>
      </c>
      <c r="D48" s="12" t="s">
        <v>1343</v>
      </c>
      <c r="F48" s="12" t="s">
        <v>618</v>
      </c>
      <c r="G48" s="14" t="str">
        <f>VLOOKUP(EdgesData[[#This Row],[Node B]],NodesData[],2,FALSE)</f>
        <v>nAC688165_B606_4D82_A016_0263D701EDF2</v>
      </c>
      <c r="H48" s="15" t="str" cm="1">
        <f t="array" ref="H48">"n"&amp;SUBSTITUTE(CreateGuidString(),"-","_")</f>
        <v>n73830110_4B7F_48F0_95F4_912B01A681A0</v>
      </c>
    </row>
    <row r="49" spans="1:8" x14ac:dyDescent="0.35">
      <c r="A49" s="14" t="s">
        <v>1904</v>
      </c>
      <c r="B49" s="14" t="str">
        <f>VLOOKUP(EdgesData[[#This Row],[Node A]],NodesData[],2,FALSE)</f>
        <v>nC196E133_4263_4398_B44A_B3053AC5D0E8</v>
      </c>
      <c r="C49" s="17" t="s">
        <v>1315</v>
      </c>
      <c r="D49" s="12" t="s">
        <v>1343</v>
      </c>
      <c r="F49" s="12" t="s">
        <v>1332</v>
      </c>
      <c r="G49" s="14" t="str">
        <f>VLOOKUP(EdgesData[[#This Row],[Node B]],NodesData[],2,FALSE)</f>
        <v>n53877DB9_77FA_44E9_974A_BE3344133398</v>
      </c>
      <c r="H49" s="15" t="str" cm="1">
        <f t="array" ref="H49">"n"&amp;SUBSTITUTE(CreateGuidString(),"-","_")</f>
        <v>n559C0248_034F_46A9_B8FE_4A3B909F09A3</v>
      </c>
    </row>
    <row r="50" spans="1:8" x14ac:dyDescent="0.35">
      <c r="A50" s="14" t="s">
        <v>1905</v>
      </c>
      <c r="B50" s="14" t="str">
        <f>VLOOKUP(EdgesData[[#This Row],[Node A]],NodesData[],2,FALSE)</f>
        <v>nC196E133_4263_4398_B44A_B3053AC5D0E8</v>
      </c>
      <c r="C50" s="18" t="s">
        <v>1315</v>
      </c>
      <c r="D50" s="12" t="s">
        <v>1343</v>
      </c>
      <c r="F50" s="12" t="s">
        <v>618</v>
      </c>
      <c r="G50" s="14" t="str">
        <f>VLOOKUP(EdgesData[[#This Row],[Node B]],NodesData[],2,FALSE)</f>
        <v>nAC688165_B606_4D82_A016_0263D701EDF2</v>
      </c>
      <c r="H50" s="15" t="str" cm="1">
        <f t="array" ref="H50">"n"&amp;SUBSTITUTE(CreateGuidString(),"-","_")</f>
        <v>n66988A9B_598A_4F22_88FC_B0D060A91558</v>
      </c>
    </row>
    <row r="51" spans="1:8" x14ac:dyDescent="0.35">
      <c r="A51" s="14" t="s">
        <v>1944</v>
      </c>
      <c r="B51" s="14" t="str">
        <f>VLOOKUP(EdgesData[[#This Row],[Node A]],NodesData[],2,FALSE)</f>
        <v>nE9C9661B_8C28_413E_A8E3_A720E03C04B7</v>
      </c>
      <c r="C51" s="13" t="s">
        <v>4</v>
      </c>
      <c r="D51" s="13" t="s">
        <v>1343</v>
      </c>
      <c r="F51" s="19" t="s">
        <v>1917</v>
      </c>
      <c r="G51" s="30" t="str">
        <f>VLOOKUP(EdgesData[[#This Row],[Node B]],NodesData[],2,FALSE)</f>
        <v>n23656C0A_A156_405F_9FF8_7AE62FD6FB07</v>
      </c>
      <c r="H51" s="31" t="str" cm="1">
        <f t="array" ref="H51">"n"&amp;SUBSTITUTE(CreateGuidString(),"-","_")</f>
        <v>n0A451CF0_22E0_44D3_AB03_3E608F7531FA</v>
      </c>
    </row>
    <row r="52" spans="1:8" x14ac:dyDescent="0.35">
      <c r="A52" s="14" t="s">
        <v>1945</v>
      </c>
      <c r="B52" s="14" t="str">
        <f>VLOOKUP(EdgesData[[#This Row],[Node A]],NodesData[],2,FALSE)</f>
        <v>n23656C0A_A156_405F_9FF8_7AE62FD6FB07</v>
      </c>
      <c r="C52" s="13" t="s">
        <v>1917</v>
      </c>
      <c r="D52" s="13" t="s">
        <v>1343</v>
      </c>
      <c r="F52" s="19" t="s">
        <v>1918</v>
      </c>
      <c r="G52" s="30" t="str">
        <f>VLOOKUP(EdgesData[[#This Row],[Node B]],NodesData[],2,FALSE)</f>
        <v>nBC613B66_5F94_4F48_91BD_5F6BBA766E79</v>
      </c>
      <c r="H52" s="31" t="str" cm="1">
        <f t="array" ref="H52">"n"&amp;SUBSTITUTE(CreateGuidString(),"-","_")</f>
        <v>nE8DE4BFE_8184_4CDB_AB2B_F5BBB01DDEC9</v>
      </c>
    </row>
    <row r="53" spans="1:8" x14ac:dyDescent="0.35">
      <c r="A53" s="14" t="s">
        <v>1946</v>
      </c>
      <c r="B53" s="14" t="str">
        <f>VLOOKUP(EdgesData[[#This Row],[Node A]],NodesData[],2,FALSE)</f>
        <v>nE9C9661B_8C28_413E_A8E3_A720E03C04B7</v>
      </c>
      <c r="C53" s="13" t="s">
        <v>4</v>
      </c>
      <c r="D53" s="13" t="s">
        <v>1919</v>
      </c>
      <c r="F53" s="19" t="s">
        <v>1924</v>
      </c>
      <c r="G53" s="30" t="str">
        <f>VLOOKUP(EdgesData[[#This Row],[Node B]],NodesData[],2,FALSE)</f>
        <v>n02B81E29_1266_4611_897E_FD90C5DD5788</v>
      </c>
      <c r="H53" s="31" t="str" cm="1">
        <f t="array" ref="H53">"n"&amp;SUBSTITUTE(CreateGuidString(),"-","_")</f>
        <v>n4DCA1FCE_1B55_469F_A7BE_191D25CCF3FD</v>
      </c>
    </row>
    <row r="54" spans="1:8" x14ac:dyDescent="0.35">
      <c r="A54" s="14" t="s">
        <v>1947</v>
      </c>
      <c r="B54" s="14" t="str">
        <f>VLOOKUP(EdgesData[[#This Row],[Node A]],NodesData[],2,FALSE)</f>
        <v>nE9C9661B_8C28_413E_A8E3_A720E03C04B7</v>
      </c>
      <c r="C54" s="13" t="s">
        <v>4</v>
      </c>
      <c r="D54" s="13" t="s">
        <v>1920</v>
      </c>
      <c r="F54" s="19" t="s">
        <v>1925</v>
      </c>
      <c r="G54" s="30" t="str">
        <f>VLOOKUP(EdgesData[[#This Row],[Node B]],NodesData[],2,FALSE)</f>
        <v>n89FBB4A6_DF18_465F_9DA3_BD367759F09E</v>
      </c>
      <c r="H54" s="31" t="str" cm="1">
        <f t="array" ref="H54">"n"&amp;SUBSTITUTE(CreateGuidString(),"-","_")</f>
        <v>n13EF72AA_08CA_410B_B24C_89AAA3D27701</v>
      </c>
    </row>
    <row r="55" spans="1:8" x14ac:dyDescent="0.35">
      <c r="A55" s="14" t="s">
        <v>1948</v>
      </c>
      <c r="B55" s="14" t="str">
        <f>VLOOKUP(EdgesData[[#This Row],[Node A]],NodesData[],2,FALSE)</f>
        <v>n02B81E29_1266_4611_897E_FD90C5DD5788</v>
      </c>
      <c r="C55" s="19" t="s">
        <v>1924</v>
      </c>
      <c r="D55" s="13" t="s">
        <v>1922</v>
      </c>
      <c r="F55" s="19" t="s">
        <v>1921</v>
      </c>
      <c r="G55" s="30" t="str">
        <f>VLOOKUP(EdgesData[[#This Row],[Node B]],NodesData[],2,FALSE)</f>
        <v>nF28EF766_A810_4024_A03F_F62A899E2EE6</v>
      </c>
      <c r="H55" s="31" t="str" cm="1">
        <f t="array" ref="H55">"n"&amp;SUBSTITUTE(CreateGuidString(),"-","_")</f>
        <v>nB26195B6_F9CB_4615_844F_03A801F54319</v>
      </c>
    </row>
    <row r="56" spans="1:8" x14ac:dyDescent="0.35">
      <c r="A56" s="14" t="s">
        <v>1949</v>
      </c>
      <c r="B56" s="14" t="str">
        <f>VLOOKUP(EdgesData[[#This Row],[Node A]],NodesData[],2,FALSE)</f>
        <v>n89FBB4A6_DF18_465F_9DA3_BD367759F09E</v>
      </c>
      <c r="C56" s="19" t="s">
        <v>1925</v>
      </c>
      <c r="D56" s="13" t="s">
        <v>1923</v>
      </c>
      <c r="F56" s="19" t="s">
        <v>1921</v>
      </c>
      <c r="G56" s="30" t="str">
        <f>VLOOKUP(EdgesData[[#This Row],[Node B]],NodesData[],2,FALSE)</f>
        <v>nF28EF766_A810_4024_A03F_F62A899E2EE6</v>
      </c>
      <c r="H56" s="31" t="str" cm="1">
        <f t="array" ref="H56">"n"&amp;SUBSTITUTE(CreateGuidString(),"-","_")</f>
        <v>n7E6F3531_1C90_4207_87E3_03DC75297CD1</v>
      </c>
    </row>
    <row r="57" spans="1:8" x14ac:dyDescent="0.35">
      <c r="A57" s="14" t="s">
        <v>1950</v>
      </c>
      <c r="B57" s="14" t="str">
        <f>VLOOKUP(EdgesData[[#This Row],[Node A]],NodesData[],2,FALSE)</f>
        <v>n02B81E29_1266_4611_897E_FD90C5DD5788</v>
      </c>
      <c r="C57" s="19" t="s">
        <v>1924</v>
      </c>
      <c r="D57" s="13" t="s">
        <v>1926</v>
      </c>
      <c r="E57" s="13" t="s">
        <v>1838</v>
      </c>
      <c r="F57" s="19" t="s">
        <v>1925</v>
      </c>
      <c r="G57" s="30" t="str">
        <f>VLOOKUP(EdgesData[[#This Row],[Node B]],NodesData[],2,FALSE)</f>
        <v>n89FBB4A6_DF18_465F_9DA3_BD367759F09E</v>
      </c>
      <c r="H57" s="31" t="str" cm="1">
        <f t="array" ref="H57">"n"&amp;SUBSTITUTE(CreateGuidString(),"-","_")</f>
        <v>n486B9FB2_ED32_4106_B93F_8269064F6641</v>
      </c>
    </row>
    <row r="58" spans="1:8" x14ac:dyDescent="0.35">
      <c r="A58" s="14" t="s">
        <v>1951</v>
      </c>
      <c r="B58" s="14" t="str">
        <f>VLOOKUP(EdgesData[[#This Row],[Node A]],NodesData[],2,FALSE)</f>
        <v>n02B81E29_1266_4611_897E_FD90C5DD5788</v>
      </c>
      <c r="C58" s="19" t="s">
        <v>1924</v>
      </c>
      <c r="D58" s="13" t="s">
        <v>1927</v>
      </c>
      <c r="F58" s="19" t="s">
        <v>1928</v>
      </c>
      <c r="G58" s="30" t="str">
        <f>VLOOKUP(EdgesData[[#This Row],[Node B]],NodesData[],2,FALSE)</f>
        <v>n52564682_5FAD_48CB_A320_6CFE17950D03</v>
      </c>
      <c r="H58" s="31" t="str" cm="1">
        <f t="array" ref="H58">"n"&amp;SUBSTITUTE(CreateGuidString(),"-","_")</f>
        <v>nB02D7F5B_26E1_4631_97FB_9B92CB3DD9A1</v>
      </c>
    </row>
    <row r="59" spans="1:8" x14ac:dyDescent="0.35">
      <c r="A59" s="14" t="s">
        <v>1952</v>
      </c>
      <c r="B59" s="14" t="str">
        <f>VLOOKUP(EdgesData[[#This Row],[Node A]],NodesData[],2,FALSE)</f>
        <v>n02B81E29_1266_4611_897E_FD90C5DD5788</v>
      </c>
      <c r="C59" s="19" t="s">
        <v>1924</v>
      </c>
      <c r="D59" s="13" t="s">
        <v>1927</v>
      </c>
      <c r="F59" s="19" t="s">
        <v>1929</v>
      </c>
      <c r="G59" s="30" t="str">
        <f>VLOOKUP(EdgesData[[#This Row],[Node B]],NodesData[],2,FALSE)</f>
        <v>nA59D49F8_3819_4341_A310_19C77AB08AAB</v>
      </c>
      <c r="H59" s="31" t="str" cm="1">
        <f t="array" ref="H59">"n"&amp;SUBSTITUTE(CreateGuidString(),"-","_")</f>
        <v>nD595CAD7_ED6F_44F0_86BB_0C88B965A46D</v>
      </c>
    </row>
    <row r="60" spans="1:8" x14ac:dyDescent="0.35">
      <c r="A60" s="14" t="s">
        <v>1953</v>
      </c>
      <c r="B60" s="14" t="str">
        <f>VLOOKUP(EdgesData[[#This Row],[Node A]],NodesData[],2,FALSE)</f>
        <v>n02B81E29_1266_4611_897E_FD90C5DD5788</v>
      </c>
      <c r="C60" s="19" t="s">
        <v>1924</v>
      </c>
      <c r="D60" s="13" t="s">
        <v>1927</v>
      </c>
      <c r="F60" s="19" t="s">
        <v>1930</v>
      </c>
      <c r="G60" s="30" t="str">
        <f>VLOOKUP(EdgesData[[#This Row],[Node B]],NodesData[],2,FALSE)</f>
        <v>nC0AF8721_A868_4A4D_9F85_3A6D9B88B489</v>
      </c>
      <c r="H60" s="31" t="str" cm="1">
        <f t="array" ref="H60">"n"&amp;SUBSTITUTE(CreateGuidString(),"-","_")</f>
        <v>n0D36835E_CF22_467A_933C_A4A55A23D57C</v>
      </c>
    </row>
    <row r="61" spans="1:8" x14ac:dyDescent="0.35">
      <c r="A61" s="14" t="s">
        <v>1954</v>
      </c>
      <c r="B61" s="14" t="str">
        <f>VLOOKUP(EdgesData[[#This Row],[Node A]],NodesData[],2,FALSE)</f>
        <v>n02B81E29_1266_4611_897E_FD90C5DD5788</v>
      </c>
      <c r="C61" s="19" t="s">
        <v>1924</v>
      </c>
      <c r="D61" s="13" t="s">
        <v>1931</v>
      </c>
      <c r="F61" s="19" t="s">
        <v>1932</v>
      </c>
      <c r="G61" s="30" t="str">
        <f>VLOOKUP(EdgesData[[#This Row],[Node B]],NodesData[],2,FALSE)</f>
        <v>n4E7B27FA_8562_4EC8_869A_378A5937334A</v>
      </c>
      <c r="H61" s="31" t="str" cm="1">
        <f t="array" ref="H61">"n"&amp;SUBSTITUTE(CreateGuidString(),"-","_")</f>
        <v>nCB175E38_E6C9_499C_9540_9A5CB69E8E36</v>
      </c>
    </row>
    <row r="62" spans="1:8" x14ac:dyDescent="0.35">
      <c r="A62" s="14" t="s">
        <v>1955</v>
      </c>
      <c r="B62" s="14" t="str">
        <f>VLOOKUP(EdgesData[[#This Row],[Node A]],NodesData[],2,FALSE)</f>
        <v>n89FBB4A6_DF18_465F_9DA3_BD367759F09E</v>
      </c>
      <c r="C62" s="19" t="s">
        <v>1925</v>
      </c>
      <c r="D62" s="13" t="s">
        <v>1931</v>
      </c>
      <c r="F62" s="19" t="s">
        <v>1932</v>
      </c>
      <c r="G62" s="30" t="str">
        <f>VLOOKUP(EdgesData[[#This Row],[Node B]],NodesData[],2,FALSE)</f>
        <v>n4E7B27FA_8562_4EC8_869A_378A5937334A</v>
      </c>
      <c r="H62" s="31" t="str" cm="1">
        <f t="array" ref="H62">"n"&amp;SUBSTITUTE(CreateGuidString(),"-","_")</f>
        <v>n17260B5F_F54A_4609_A340_8AF19FDCD912</v>
      </c>
    </row>
    <row r="63" spans="1:8" x14ac:dyDescent="0.35">
      <c r="A63" s="14" t="s">
        <v>1956</v>
      </c>
      <c r="B63" s="14" t="str">
        <f>VLOOKUP(EdgesData[[#This Row],[Node A]],NodesData[],2,FALSE)</f>
        <v>nE9C9661B_8C28_413E_A8E3_A720E03C04B7</v>
      </c>
      <c r="C63" s="13" t="s">
        <v>4</v>
      </c>
      <c r="D63" s="13" t="s">
        <v>1343</v>
      </c>
      <c r="F63" s="19" t="s">
        <v>1933</v>
      </c>
      <c r="G63" s="30" t="str">
        <f>VLOOKUP(EdgesData[[#This Row],[Node B]],NodesData[],2,FALSE)</f>
        <v>nE0352234_7814_467F_8B8B_EF900BACC357</v>
      </c>
      <c r="H63" s="31" t="str" cm="1">
        <f t="array" ref="H63">"n"&amp;SUBSTITUTE(CreateGuidString(),"-","_")</f>
        <v>n0C8BC5FF_37C2_4FD1_990A_A9B822774FB2</v>
      </c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E489"/>
  <sheetViews>
    <sheetView topLeftCell="A468" zoomScale="120" zoomScaleNormal="120" workbookViewId="0">
      <selection activeCell="A486" sqref="A486"/>
    </sheetView>
  </sheetViews>
  <sheetFormatPr defaultRowHeight="12.75" x14ac:dyDescent="0.35"/>
  <cols>
    <col min="1" max="1" width="42.86328125" style="2" bestFit="1" customWidth="1"/>
    <col min="2" max="2" width="23" style="3" bestFit="1" customWidth="1"/>
    <col min="3" max="3" width="98.46484375" style="3" bestFit="1" customWidth="1"/>
    <col min="4" max="4" width="215.06640625" style="19" bestFit="1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4"/>
    </row>
    <row r="2" spans="1:5" s="13" customFormat="1" ht="15" thickTop="1" thickBot="1" x14ac:dyDescent="0.5">
      <c r="A2" s="19" t="s">
        <v>1335</v>
      </c>
      <c r="B2" s="16" t="s">
        <v>1334</v>
      </c>
      <c r="C2" s="16" t="s">
        <v>1336</v>
      </c>
      <c r="D2" s="25" t="s">
        <v>1333</v>
      </c>
    </row>
    <row r="3" spans="1:5" ht="13.9" thickTop="1" thickBot="1" x14ac:dyDescent="0.4">
      <c r="A3" s="3" t="str">
        <f>NodesData[[#This Row],[Common Name]]</f>
        <v>4-Eyes Check</v>
      </c>
      <c r="B3" s="22" t="str">
        <f>NodesData[[#This Row],[Node ID]]</f>
        <v>n09FF5045_1C8C_4006_B2D6_F9742CBF96E8</v>
      </c>
      <c r="C3" s="3" t="str">
        <f>IF(NodesData[[#This Row],[URL]]="","",NodesData[[#This Row],[URL]])</f>
        <v/>
      </c>
      <c r="D3" s="26" t="str" cm="1">
        <f t="array" ref="D3">IF(ROW(NodesJSON[[#This Row],[label]])&gt;ROW(NodesJSON[[#Headers],[JSON]])+1,",","") &amp;"{"&amp;twoRangesToJSON(NodesJSON[[#Headers],[label]:[url]],NodesJSON[[#This Row],[label]:[url]])&amp;"}"</f>
        <v>{"label":"4-Eyes Check","id":"n09FF5045_1C8C_4006_B2D6_F9742CBF96E8","url":""}</v>
      </c>
      <c r="E3" s="2"/>
    </row>
    <row r="4" spans="1:5" ht="13.9" thickTop="1" thickBot="1" x14ac:dyDescent="0.4">
      <c r="A4" s="3" t="str">
        <f>NodesData[[#This Row],[Common Name]]</f>
        <v>4-Eyes Principle</v>
      </c>
      <c r="B4" s="23" t="str">
        <f>NodesData[[#This Row],[Node ID]]</f>
        <v>n949B469C_B258_4821_87B2_A3318627421D</v>
      </c>
      <c r="C4" s="3" t="str">
        <f>IF(NodesData[[#This Row],[URL]]="","",NodesData[[#This Row],[URL]])</f>
        <v>https://open-measure.atlassian.net/wiki/spaces/DIC/pages/805175450/4-Eyes+Principle</v>
      </c>
      <c r="D4" s="26" t="str" cm="1">
        <f t="array" ref="D4">IF(ROW(NodesJSON[[#This Row],[label]])&gt;ROW(NodesJSON[[#Headers],[JSON]])+1,",","") &amp;"{"&amp;twoRangesToJSON(NodesJSON[[#Headers],[label]:[url]],NodesJSON[[#This Row],[label]:[url]])&amp;"}"</f>
        <v>,{"label":"4-Eyes Principle","id":"n949B469C_B258_4821_87B2_A3318627421D","url":"https://open-measure.atlassian.net/wiki/spaces/DIC/pages/805175450/4-Eyes+Principle"}</v>
      </c>
      <c r="E4" s="2"/>
    </row>
    <row r="5" spans="1:5" ht="13.9" thickTop="1" thickBot="1" x14ac:dyDescent="0.4">
      <c r="A5" s="3" t="str">
        <f>NodesData[[#This Row],[Common Name]]</f>
        <v>Access</v>
      </c>
      <c r="B5" s="23" t="str">
        <f>NodesData[[#This Row],[Node ID]]</f>
        <v>n345814A3_CDB9_48CD_9A28_0EA438DFE1AF</v>
      </c>
      <c r="C5" s="3" t="str">
        <f>IF(NodesData[[#This Row],[URL]]="","",NodesData[[#This Row],[URL]])</f>
        <v>https://open-measure.atlassian.net/wiki/spaces/DIC/pages/123962347/Access</v>
      </c>
      <c r="D5" s="26" t="str" cm="1">
        <f t="array" ref="D5">IF(ROW(NodesJSON[[#This Row],[label]])&gt;ROW(NodesJSON[[#Headers],[JSON]])+1,",","") &amp;"{"&amp;twoRangesToJSON(NodesJSON[[#Headers],[label]:[url]],NodesJSON[[#This Row],[label]:[url]])&amp;"}"</f>
        <v>,{"label":"Access","id":"n345814A3_CDB9_48CD_9A28_0EA438DFE1AF","url":"https://open-measure.atlassian.net/wiki/spaces/DIC/pages/123962347/Access"}</v>
      </c>
      <c r="E5" s="2"/>
    </row>
    <row r="6" spans="1:5" ht="13.9" thickTop="1" thickBot="1" x14ac:dyDescent="0.4">
      <c r="A6" s="3" t="str">
        <f>NodesData[[#This Row],[Common Name]]</f>
        <v>Access Audit</v>
      </c>
      <c r="B6" s="23" t="str">
        <f>NodesData[[#This Row],[Node ID]]</f>
        <v>n50BECF28_43AF_4D2B_9A00_548252A11959</v>
      </c>
      <c r="C6" s="3" t="str">
        <f>IF(NodesData[[#This Row],[URL]]="","",NodesData[[#This Row],[URL]])</f>
        <v>https://open-measure.atlassian.net/wiki/spaces/DIC/pages/1121878227</v>
      </c>
      <c r="D6" s="26" t="str" cm="1">
        <f t="array" ref="D6">IF(ROW(NodesJSON[[#This Row],[label]])&gt;ROW(NodesJSON[[#Headers],[JSON]])+1,",","") &amp;"{"&amp;twoRangesToJSON(NodesJSON[[#Headers],[label]:[url]],NodesJSON[[#This Row],[label]:[url]])&amp;"}"</f>
        <v>,{"label":"Access Audit","id":"n50BECF28_43AF_4D2B_9A00_548252A11959","url":"https://open-measure.atlassian.net/wiki/spaces/DIC/pages/1121878227"}</v>
      </c>
      <c r="E6" s="2"/>
    </row>
    <row r="7" spans="1:5" ht="13.9" thickTop="1" thickBot="1" x14ac:dyDescent="0.4">
      <c r="A7" s="3" t="str">
        <f>NodesData[[#This Row],[Common Name]]</f>
        <v>Access Continuum</v>
      </c>
      <c r="B7" s="23" t="str">
        <f>NodesData[[#This Row],[Node ID]]</f>
        <v>n5AC3C686_E96D_4E16_A7A7_F5E33273E16B</v>
      </c>
      <c r="C7" s="3" t="str">
        <f>IF(NodesData[[#This Row],[URL]]="","",NodesData[[#This Row],[URL]])</f>
        <v>https://open-measure.atlassian.net/wiki/spaces/DIC/pages/1034223816/Access+Continuum</v>
      </c>
      <c r="D7" s="26" t="str" cm="1">
        <f t="array" ref="D7">IF(ROW(NodesJSON[[#This Row],[label]])&gt;ROW(NodesJSON[[#Headers],[JSON]])+1,",","") &amp;"{"&amp;twoRangesToJSON(NodesJSON[[#Headers],[label]:[url]],NodesJSON[[#This Row],[label]:[url]])&amp;"}"</f>
        <v>,{"label":"Access Continuum","id":"n5AC3C686_E96D_4E16_A7A7_F5E33273E16B","url":"https://open-measure.atlassian.net/wiki/spaces/DIC/pages/1034223816/Access+Continuum"}</v>
      </c>
      <c r="E7" s="2"/>
    </row>
    <row r="8" spans="1:5" ht="13.9" thickTop="1" thickBot="1" x14ac:dyDescent="0.4">
      <c r="A8" s="3" t="str">
        <f>NodesData[[#This Row],[Common Name]]</f>
        <v>Access Control</v>
      </c>
      <c r="B8" s="23" t="str">
        <f>NodesData[[#This Row],[Node ID]]</f>
        <v>nC8849963_097C_4D88_9F09_0BE7822C1A27</v>
      </c>
      <c r="C8" s="3" t="str">
        <f>IF(NodesData[[#This Row],[URL]]="","",NodesData[[#This Row],[URL]])</f>
        <v>https://open-measure.atlassian.net/wiki/spaces/DIC/pages/427163781</v>
      </c>
      <c r="D8" s="26" t="str" cm="1">
        <f t="array" ref="D8">IF(ROW(NodesJSON[[#This Row],[label]])&gt;ROW(NodesJSON[[#Headers],[JSON]])+1,",","") &amp;"{"&amp;twoRangesToJSON(NodesJSON[[#Headers],[label]:[url]],NodesJSON[[#This Row],[label]:[url]])&amp;"}"</f>
        <v>,{"label":"Access Control","id":"nC8849963_097C_4D88_9F09_0BE7822C1A27","url":"https://open-measure.atlassian.net/wiki/spaces/DIC/pages/427163781"}</v>
      </c>
      <c r="E8" s="2"/>
    </row>
    <row r="9" spans="1:5" ht="13.9" thickTop="1" thickBot="1" x14ac:dyDescent="0.4">
      <c r="A9" s="3" t="str">
        <f>NodesData[[#This Row],[Common Name]]</f>
        <v>Access Control List</v>
      </c>
      <c r="B9" s="23" t="str">
        <f>NodesData[[#This Row],[Node ID]]</f>
        <v>nB5D15B0C_90C3_4DC7_BCEE_7009BF5FA6B0</v>
      </c>
      <c r="C9" s="3" t="str">
        <f>IF(NodesData[[#This Row],[URL]]="","",NodesData[[#This Row],[URL]])</f>
        <v>https://open-measure.atlassian.net/wiki/spaces/DIC/pages/822345754</v>
      </c>
      <c r="D9" s="26" t="str" cm="1">
        <f t="array" ref="D9">IF(ROW(NodesJSON[[#This Row],[label]])&gt;ROW(NodesJSON[[#Headers],[JSON]])+1,",","") &amp;"{"&amp;twoRangesToJSON(NodesJSON[[#Headers],[label]:[url]],NodesJSON[[#This Row],[label]:[url]])&amp;"}"</f>
        <v>,{"label":"Access Control List","id":"nB5D15B0C_90C3_4DC7_BCEE_7009BF5FA6B0","url":"https://open-measure.atlassian.net/wiki/spaces/DIC/pages/822345754"}</v>
      </c>
      <c r="E9" s="2"/>
    </row>
    <row r="10" spans="1:5" ht="13.9" thickTop="1" thickBot="1" x14ac:dyDescent="0.4">
      <c r="A10" s="3" t="str">
        <f>NodesData[[#This Row],[Common Name]]</f>
        <v>Access Control Mechanism</v>
      </c>
      <c r="B10" s="23" t="str">
        <f>NodesData[[#This Row],[Node ID]]</f>
        <v>n43F62EE6_EF98_4F57_B80F_8D93BAD953C7</v>
      </c>
      <c r="C10" s="3" t="str">
        <f>IF(NodesData[[#This Row],[URL]]="","",NodesData[[#This Row],[URL]])</f>
        <v>https://open-measure.atlassian.net/wiki/spaces/DIC/pages/67633606</v>
      </c>
      <c r="D10" s="26" t="str" cm="1">
        <f t="array" ref="D10">IF(ROW(NodesJSON[[#This Row],[label]])&gt;ROW(NodesJSON[[#Headers],[JSON]])+1,",","") &amp;"{"&amp;twoRangesToJSON(NodesJSON[[#Headers],[label]:[url]],NodesJSON[[#This Row],[label]:[url]])&amp;"}"</f>
        <v>,{"label":"Access Control Mechanism","id":"n43F62EE6_EF98_4F57_B80F_8D93BAD953C7","url":"https://open-measure.atlassian.net/wiki/spaces/DIC/pages/67633606"}</v>
      </c>
      <c r="E10" s="2"/>
    </row>
    <row r="11" spans="1:5" ht="13.9" thickTop="1" thickBot="1" x14ac:dyDescent="0.4">
      <c r="A11" s="3" t="str">
        <f>NodesData[[#This Row],[Common Name]]</f>
        <v>Access Control Model</v>
      </c>
      <c r="B11" s="23" t="str">
        <f>NodesData[[#This Row],[Node ID]]</f>
        <v>nA82E8086_80AC_481F_9FE9_6158EBAA5FD4</v>
      </c>
      <c r="C11" s="3" t="str">
        <f>IF(NodesData[[#This Row],[URL]]="","",NodesData[[#This Row],[URL]])</f>
        <v>https://open-measure.atlassian.net/wiki/spaces/DIC/pages/67699193</v>
      </c>
      <c r="D11" s="26" t="str" cm="1">
        <f t="array" ref="D11">IF(ROW(NodesJSON[[#This Row],[label]])&gt;ROW(NodesJSON[[#Headers],[JSON]])+1,",","") &amp;"{"&amp;twoRangesToJSON(NodesJSON[[#Headers],[label]:[url]],NodesJSON[[#This Row],[label]:[url]])&amp;"}"</f>
        <v>,{"label":"Access Control Model","id":"nA82E8086_80AC_481F_9FE9_6158EBAA5FD4","url":"https://open-measure.atlassian.net/wiki/spaces/DIC/pages/67699193"}</v>
      </c>
      <c r="E11" s="2"/>
    </row>
    <row r="12" spans="1:5" ht="13.9" thickTop="1" thickBot="1" x14ac:dyDescent="0.4">
      <c r="A12" s="3" t="str">
        <f>NodesData[[#This Row],[Common Name]]</f>
        <v>Access Control Policy</v>
      </c>
      <c r="B12" s="23" t="str">
        <f>NodesData[[#This Row],[Node ID]]</f>
        <v>n8FC24F45_A985_41A5_AD50_B3DB59F8F1CB</v>
      </c>
      <c r="C12" s="3" t="str">
        <f>IF(NodesData[[#This Row],[URL]]="","",NodesData[[#This Row],[URL]])</f>
        <v>https://open-measure.atlassian.net/wiki/spaces/DIC/pages/67633597</v>
      </c>
      <c r="D12" s="26" t="str" cm="1">
        <f t="array" ref="D12">IF(ROW(NodesJSON[[#This Row],[label]])&gt;ROW(NodesJSON[[#Headers],[JSON]])+1,",","") &amp;"{"&amp;twoRangesToJSON(NodesJSON[[#Headers],[label]:[url]],NodesJSON[[#This Row],[label]:[url]])&amp;"}"</f>
        <v>,{"label":"Access Control Policy","id":"n8FC24F45_A985_41A5_AD50_B3DB59F8F1CB","url":"https://open-measure.atlassian.net/wiki/spaces/DIC/pages/67633597"}</v>
      </c>
      <c r="E12" s="2"/>
    </row>
    <row r="13" spans="1:5" ht="13.9" thickTop="1" thickBot="1" x14ac:dyDescent="0.4">
      <c r="A13" s="3" t="str">
        <f>NodesData[[#This Row],[Common Name]]</f>
        <v>Access Granularity</v>
      </c>
      <c r="B13" s="23" t="str">
        <f>NodesData[[#This Row],[Node ID]]</f>
        <v>n497BAD86_FE0D_4D81_BE05_AA9EEB93B4EC</v>
      </c>
      <c r="C13" s="3" t="str">
        <f>IF(NodesData[[#This Row],[URL]]="","",NodesData[[#This Row],[URL]])</f>
        <v>https://open-measure.atlassian.net/wiki/spaces/DIC/pages/1006632974</v>
      </c>
      <c r="D13" s="26" t="str" cm="1">
        <f t="array" ref="D13">IF(ROW(NodesJSON[[#This Row],[label]])&gt;ROW(NodesJSON[[#Headers],[JSON]])+1,",","") &amp;"{"&amp;twoRangesToJSON(NodesJSON[[#Headers],[label]:[url]],NodesJSON[[#This Row],[label]:[url]])&amp;"}"</f>
        <v>,{"label":"Access Granularity","id":"n497BAD86_FE0D_4D81_BE05_AA9EEB93B4EC","url":"https://open-measure.atlassian.net/wiki/spaces/DIC/pages/1006632974"}</v>
      </c>
      <c r="E13" s="2"/>
    </row>
    <row r="14" spans="1:5" ht="13.9" thickTop="1" thickBot="1" x14ac:dyDescent="0.4">
      <c r="A14" s="3" t="str">
        <f>NodesData[[#This Row],[Common Name]]</f>
        <v>Access Privilege</v>
      </c>
      <c r="B14" s="23" t="str">
        <f>NodesData[[#This Row],[Node ID]]</f>
        <v>n4A503F49_7D20_4B79_832C_C1F952C6FE7A</v>
      </c>
      <c r="C14" s="3" t="str">
        <f>IF(NodesData[[#This Row],[URL]]="","",NodesData[[#This Row],[URL]])</f>
        <v>https://open-measure.atlassian.net/wiki/spaces/DIC/pages/1122631723</v>
      </c>
      <c r="D14" s="26" t="str" cm="1">
        <f t="array" ref="D14">IF(ROW(NodesJSON[[#This Row],[label]])&gt;ROW(NodesJSON[[#Headers],[JSON]])+1,",","") &amp;"{"&amp;twoRangesToJSON(NodesJSON[[#Headers],[label]:[url]],NodesJSON[[#This Row],[label]:[url]])&amp;"}"</f>
        <v>,{"label":"Access Privilege","id":"n4A503F49_7D20_4B79_832C_C1F952C6FE7A","url":"https://open-measure.atlassian.net/wiki/spaces/DIC/pages/1122631723"}</v>
      </c>
      <c r="E14" s="2"/>
    </row>
    <row r="15" spans="1:5" ht="13.9" thickTop="1" thickBot="1" x14ac:dyDescent="0.4">
      <c r="A15" s="3" t="str">
        <f>NodesData[[#This Row],[Common Name]]</f>
        <v>Access Right</v>
      </c>
      <c r="B15" s="23" t="str">
        <f>NodesData[[#This Row],[Node ID]]</f>
        <v>n1A9106FF_36C5_478C_9A0E_FF5F93C55D1F</v>
      </c>
      <c r="C15" s="3" t="str">
        <f>IF(NodesData[[#This Row],[URL]]="","",NodesData[[#This Row],[URL]])</f>
        <v>https://open-measure.atlassian.net/wiki/spaces/DIC/pages/1122599013</v>
      </c>
      <c r="D15" s="26" t="str" cm="1">
        <f t="array" ref="D15">IF(ROW(NodesJSON[[#This Row],[label]])&gt;ROW(NodesJSON[[#Headers],[JSON]])+1,",","") &amp;"{"&amp;twoRangesToJSON(NodesJSON[[#Headers],[label]:[url]],NodesJSON[[#This Row],[label]:[url]])&amp;"}"</f>
        <v>,{"label":"Access Right","id":"n1A9106FF_36C5_478C_9A0E_FF5F93C55D1F","url":"https://open-measure.atlassian.net/wiki/spaces/DIC/pages/1122599013"}</v>
      </c>
      <c r="E15" s="2"/>
    </row>
    <row r="16" spans="1:5" ht="13.9" thickTop="1" thickBot="1" x14ac:dyDescent="0.4">
      <c r="A16" s="3" t="str">
        <f>NodesData[[#This Row],[Common Name]]</f>
        <v>Access Rights Management</v>
      </c>
      <c r="B16" s="23" t="str">
        <f>NodesData[[#This Row],[Node ID]]</f>
        <v>nE49F9EAF_3DC5_47FA_9722_CDE0190EAD09</v>
      </c>
      <c r="C16" s="3" t="str">
        <f>IF(NodesData[[#This Row],[URL]]="","",NodesData[[#This Row],[URL]])</f>
        <v>https://open-measure.atlassian.net/wiki/spaces/DIC/pages/1704003</v>
      </c>
      <c r="D16" s="26" t="str" cm="1">
        <f t="array" ref="D16">IF(ROW(NodesJSON[[#This Row],[label]])&gt;ROW(NodesJSON[[#Headers],[JSON]])+1,",","") &amp;"{"&amp;twoRangesToJSON(NodesJSON[[#Headers],[label]:[url]],NodesJSON[[#This Row],[label]:[url]])&amp;"}"</f>
        <v>,{"label":"Access Rights Management","id":"nE49F9EAF_3DC5_47FA_9722_CDE0190EAD09","url":"https://open-measure.atlassian.net/wiki/spaces/DIC/pages/1704003"}</v>
      </c>
      <c r="E16" s="2"/>
    </row>
    <row r="17" spans="1:5" ht="13.9" thickTop="1" thickBot="1" x14ac:dyDescent="0.4">
      <c r="A17" s="3" t="str">
        <f>NodesData[[#This Row],[Common Name]]</f>
        <v>Access Token</v>
      </c>
      <c r="B17" s="23" t="str">
        <f>NodesData[[#This Row],[Node ID]]</f>
        <v>nAB8CC74A_69EA_4A1D_A0BB_7FA855D1CD4C</v>
      </c>
      <c r="C17" s="3" t="str">
        <f>IF(NodesData[[#This Row],[URL]]="","",NodesData[[#This Row],[URL]])</f>
        <v>https://open-measure.atlassian.net/wiki/spaces/DIC/pages/1600684040/Access+Token</v>
      </c>
      <c r="D17" s="26" t="str" cm="1">
        <f t="array" ref="D17">IF(ROW(NodesJSON[[#This Row],[label]])&gt;ROW(NodesJSON[[#Headers],[JSON]])+1,",","") &amp;"{"&amp;twoRangesToJSON(NodesJSON[[#Headers],[label]:[url]],NodesJSON[[#This Row],[label]:[url]])&amp;"}"</f>
        <v>,{"label":"Access Token","id":"nAB8CC74A_69EA_4A1D_A0BB_7FA855D1CD4C","url":"https://open-measure.atlassian.net/wiki/spaces/DIC/pages/1600684040/Access+Token"}</v>
      </c>
      <c r="E17" s="2"/>
    </row>
    <row r="18" spans="1:5" ht="13.9" thickTop="1" thickBot="1" x14ac:dyDescent="0.4">
      <c r="A18" s="3" t="str">
        <f>NodesData[[#This Row],[Common Name]]</f>
        <v>Account</v>
      </c>
      <c r="B18" s="23" t="str">
        <f>NodesData[[#This Row],[Node ID]]</f>
        <v>n60E574D8_853F_46D9_A1FB_433B2771BF75</v>
      </c>
      <c r="C18" s="3" t="str">
        <f>IF(NodesData[[#This Row],[URL]]="","",NodesData[[#This Row],[URL]])</f>
        <v>https://open-measure.atlassian.net/wiki/spaces/DIC/pages/461308120/Account</v>
      </c>
      <c r="D18" s="26" t="str" cm="1">
        <f t="array" ref="D18">IF(ROW(NodesJSON[[#This Row],[label]])&gt;ROW(NodesJSON[[#Headers],[JSON]])+1,",","") &amp;"{"&amp;twoRangesToJSON(NodesJSON[[#Headers],[label]:[url]],NodesJSON[[#This Row],[label]:[url]])&amp;"}"</f>
        <v>,{"label":"Account","id":"n60E574D8_853F_46D9_A1FB_433B2771BF75","url":"https://open-measure.atlassian.net/wiki/spaces/DIC/pages/461308120/Account"}</v>
      </c>
      <c r="E18" s="2"/>
    </row>
    <row r="19" spans="1:5" ht="13.9" thickTop="1" thickBot="1" x14ac:dyDescent="0.4">
      <c r="A19" s="3" t="str">
        <f>NodesData[[#This Row],[Common Name]]</f>
        <v>Account Lockout Policy</v>
      </c>
      <c r="B19" s="23" t="str">
        <f>NodesData[[#This Row],[Node ID]]</f>
        <v>n6CB6D4CB_AB42_4B54_8FC3_DD4C4D6C2B3E</v>
      </c>
      <c r="C19" s="3" t="str">
        <f>IF(NodesData[[#This Row],[URL]]="","",NodesData[[#This Row],[URL]])</f>
        <v>https://open-measure.atlassian.net/wiki/spaces/DIC/pages/67699360</v>
      </c>
      <c r="D19" s="26" t="str" cm="1">
        <f t="array" ref="D19">IF(ROW(NodesJSON[[#This Row],[label]])&gt;ROW(NodesJSON[[#Headers],[JSON]])+1,",","") &amp;"{"&amp;twoRangesToJSON(NodesJSON[[#Headers],[label]:[url]],NodesJSON[[#This Row],[label]:[url]])&amp;"}"</f>
        <v>,{"label":"Account Lockout Policy","id":"n6CB6D4CB_AB42_4B54_8FC3_DD4C4D6C2B3E","url":"https://open-measure.atlassian.net/wiki/spaces/DIC/pages/67699360"}</v>
      </c>
      <c r="E19" s="2"/>
    </row>
    <row r="20" spans="1:5" ht="13.9" thickTop="1" thickBot="1" x14ac:dyDescent="0.4">
      <c r="A20" s="3" t="str">
        <f>NodesData[[#This Row],[Common Name]]</f>
        <v>Account Management</v>
      </c>
      <c r="B20" s="23" t="str">
        <f>NodesData[[#This Row],[Node ID]]</f>
        <v>nF83276D7_E44A_4A0B_A465_28B40B846C1C</v>
      </c>
      <c r="C20" s="3" t="str">
        <f>IF(NodesData[[#This Row],[URL]]="","",NodesData[[#This Row],[URL]])</f>
        <v>https://open-measure.atlassian.net/wiki/spaces/DIC/pages/1146847331</v>
      </c>
      <c r="D20" s="26" t="str" cm="1">
        <f t="array" ref="D20">IF(ROW(NodesJSON[[#This Row],[label]])&gt;ROW(NodesJSON[[#Headers],[JSON]])+1,",","") &amp;"{"&amp;twoRangesToJSON(NodesJSON[[#Headers],[label]:[url]],NodesJSON[[#This Row],[label]:[url]])&amp;"}"</f>
        <v>,{"label":"Account Management","id":"nF83276D7_E44A_4A0B_A465_28B40B846C1C","url":"https://open-measure.atlassian.net/wiki/spaces/DIC/pages/1146847331"}</v>
      </c>
      <c r="E20" s="2"/>
    </row>
    <row r="21" spans="1:5" ht="13.9" thickTop="1" thickBot="1" x14ac:dyDescent="0.4">
      <c r="A21" s="3" t="str">
        <f>NodesData[[#This Row],[Common Name]]</f>
        <v>Account Takeover</v>
      </c>
      <c r="B21" s="23" t="str">
        <f>NodesData[[#This Row],[Node ID]]</f>
        <v>nE9C9661B_8C28_413E_A8E3_A720E03C04B7</v>
      </c>
      <c r="C21" s="3" t="str">
        <f>IF(NodesData[[#This Row],[URL]]="","",NodesData[[#This Row],[URL]])</f>
        <v>https://open-measure.atlassian.net/wiki/spaces/DIC/pages/1079050286/Account+Takeover</v>
      </c>
      <c r="D21" s="26" t="str" cm="1">
        <f t="array" ref="D21">IF(ROW(NodesJSON[[#This Row],[label]])&gt;ROW(NodesJSON[[#Headers],[JSON]])+1,",","") &amp;"{"&amp;twoRangesToJSON(NodesJSON[[#Headers],[label]:[url]],NodesJSON[[#This Row],[label]:[url]])&amp;"}"</f>
        <v>,{"label":"Account Takeover","id":"nE9C9661B_8C28_413E_A8E3_A720E03C04B7","url":"https://open-measure.atlassian.net/wiki/spaces/DIC/pages/1079050286/Account+Takeover"}</v>
      </c>
      <c r="E21" s="2"/>
    </row>
    <row r="22" spans="1:5" ht="13.9" thickTop="1" thickBot="1" x14ac:dyDescent="0.4">
      <c r="A22" s="3" t="str">
        <f>NodesData[[#This Row],[Common Name]]</f>
        <v>Accountability</v>
      </c>
      <c r="B22" s="23" t="str">
        <f>NodesData[[#This Row],[Node ID]]</f>
        <v>nE5052478_9D1A_4E9E_BA4E_FF57B8D216EC</v>
      </c>
      <c r="C22" s="3" t="str">
        <f>IF(NodesData[[#This Row],[URL]]="","",NodesData[[#This Row],[URL]])</f>
        <v>https://open-measure.atlassian.net/wiki/spaces/DIC/pages/425623718</v>
      </c>
      <c r="D22" s="26" t="str" cm="1">
        <f t="array" ref="D22">IF(ROW(NodesJSON[[#This Row],[label]])&gt;ROW(NodesJSON[[#Headers],[JSON]])+1,",","") &amp;"{"&amp;twoRangesToJSON(NodesJSON[[#Headers],[label]:[url]],NodesJSON[[#This Row],[label]:[url]])&amp;"}"</f>
        <v>,{"label":"Accountability","id":"nE5052478_9D1A_4E9E_BA4E_FF57B8D216EC","url":"https://open-measure.atlassian.net/wiki/spaces/DIC/pages/425623718"}</v>
      </c>
      <c r="E22" s="2"/>
    </row>
    <row r="23" spans="1:5" ht="13.9" thickTop="1" thickBot="1" x14ac:dyDescent="0.4">
      <c r="A23" s="3" t="str">
        <f>NodesData[[#This Row],[Common Name]]</f>
        <v>Accreditation</v>
      </c>
      <c r="B23" s="23" t="str">
        <f>NodesData[[#This Row],[Node ID]]</f>
        <v>nFF744E9A_218E_4CDD_98E9_D977BAE7E561</v>
      </c>
      <c r="C23" s="3" t="str">
        <f>IF(NodesData[[#This Row],[URL]]="","",NodesData[[#This Row],[URL]])</f>
        <v>https://open-measure.atlassian.net/wiki/spaces/DIC/pages/446955580</v>
      </c>
      <c r="D23" s="26" t="str" cm="1">
        <f t="array" ref="D23">IF(ROW(NodesJSON[[#This Row],[label]])&gt;ROW(NodesJSON[[#Headers],[JSON]])+1,",","") &amp;"{"&amp;twoRangesToJSON(NodesJSON[[#Headers],[label]:[url]],NodesJSON[[#This Row],[label]:[url]])&amp;"}"</f>
        <v>,{"label":"Accreditation","id":"nFF744E9A_218E_4CDD_98E9_D977BAE7E561","url":"https://open-measure.atlassian.net/wiki/spaces/DIC/pages/446955580"}</v>
      </c>
      <c r="E23" s="2"/>
    </row>
    <row r="24" spans="1:5" ht="13.9" thickTop="1" thickBot="1" x14ac:dyDescent="0.4">
      <c r="A24" s="3" t="str">
        <f>NodesData[[#This Row],[Common Name]]</f>
        <v>Active Impersonation Attack</v>
      </c>
      <c r="B24" s="23" t="str">
        <f>NodesData[[#This Row],[Node ID]]</f>
        <v>nCCFA1605_394C_4A41_9411_016EBBD1F932</v>
      </c>
      <c r="C24" s="3" t="str">
        <f>IF(NodesData[[#This Row],[URL]]="","",NodesData[[#This Row],[URL]])</f>
        <v>https://open-measure.atlassian.net/wiki/spaces/DIC/pages/974454812</v>
      </c>
      <c r="D24" s="26" t="str" cm="1">
        <f t="array" ref="D24">IF(ROW(NodesJSON[[#This Row],[label]])&gt;ROW(NodesJSON[[#Headers],[JSON]])+1,",","") &amp;"{"&amp;twoRangesToJSON(NodesJSON[[#Headers],[label]:[url]],NodesJSON[[#This Row],[label]:[url]])&amp;"}"</f>
        <v>,{"label":"Active Impersonation Attack","id":"nCCFA1605_394C_4A41_9411_016EBBD1F932","url":"https://open-measure.atlassian.net/wiki/spaces/DIC/pages/974454812"}</v>
      </c>
      <c r="E24" s="2"/>
    </row>
    <row r="25" spans="1:5" ht="13.9" thickTop="1" thickBot="1" x14ac:dyDescent="0.4">
      <c r="A25" s="3" t="str">
        <f>NodesData[[#This Row],[Common Name]]</f>
        <v>AP</v>
      </c>
      <c r="B25" s="23" t="str">
        <f>NodesData[[#This Row],[Node ID]]</f>
        <v>nE25E9786_BF32_4FF9_AD96_CA6093825D81</v>
      </c>
      <c r="C25" s="3" t="str">
        <f>IF(NodesData[[#This Row],[URL]]="","",NodesData[[#This Row],[URL]])</f>
        <v>https://open-measure.atlassian.net/wiki/spaces/DIC/pages/81101665/AP</v>
      </c>
      <c r="D25" s="26" t="str" cm="1">
        <f t="array" ref="D25">IF(ROW(NodesJSON[[#This Row],[label]])&gt;ROW(NodesJSON[[#Headers],[JSON]])+1,",","") &amp;"{"&amp;twoRangesToJSON(NodesJSON[[#Headers],[label]:[url]],NodesJSON[[#This Row],[label]:[url]])&amp;"}"</f>
        <v>,{"label":"AP","id":"nE25E9786_BF32_4FF9_AD96_CA6093825D81","url":"https://open-measure.atlassian.net/wiki/spaces/DIC/pages/81101665/AP"}</v>
      </c>
      <c r="E25" s="2"/>
    </row>
    <row r="26" spans="1:5" ht="13.9" thickTop="1" thickBot="1" x14ac:dyDescent="0.4">
      <c r="A26" s="3" t="str">
        <f>NodesData[[#This Row],[Common Name]]</f>
        <v>Applicant</v>
      </c>
      <c r="B26" s="23" t="str">
        <f>NodesData[[#This Row],[Node ID]]</f>
        <v>n84B52A55_528C_4D8E_AC41_6975F8BB6772</v>
      </c>
      <c r="C26" s="3" t="str">
        <f>IF(NodesData[[#This Row],[URL]]="","",NodesData[[#This Row],[URL]])</f>
        <v>https://open-measure.atlassian.net/wiki/spaces/DIC/pages/848625750</v>
      </c>
      <c r="D26" s="26" t="str" cm="1">
        <f t="array" ref="D26">IF(ROW(NodesJSON[[#This Row],[label]])&gt;ROW(NodesJSON[[#Headers],[JSON]])+1,",","") &amp;"{"&amp;twoRangesToJSON(NodesJSON[[#Headers],[label]:[url]],NodesJSON[[#This Row],[label]:[url]])&amp;"}"</f>
        <v>,{"label":"Applicant","id":"n84B52A55_528C_4D8E_AC41_6975F8BB6772","url":"https://open-measure.atlassian.net/wiki/spaces/DIC/pages/848625750"}</v>
      </c>
      <c r="E26" s="2"/>
    </row>
    <row r="27" spans="1:5" ht="13.9" thickTop="1" thickBot="1" x14ac:dyDescent="0.4">
      <c r="A27" s="3" t="str">
        <f>NodesData[[#This Row],[Common Name]]</f>
        <v>Application</v>
      </c>
      <c r="B27" s="23" t="str">
        <f>NodesData[[#This Row],[Node ID]]</f>
        <v>n72B6719C_C19A_4205_B703_0239826216C6</v>
      </c>
      <c r="C27" s="3" t="str">
        <f>IF(NodesData[[#This Row],[URL]]="","",NodesData[[#This Row],[URL]])</f>
        <v>https://open-measure.atlassian.net/wiki/spaces/DIC/pages/5965602/Application</v>
      </c>
      <c r="D27" s="26" t="str" cm="1">
        <f t="array" ref="D27">IF(ROW(NodesJSON[[#This Row],[label]])&gt;ROW(NodesJSON[[#Headers],[JSON]])+1,",","") &amp;"{"&amp;twoRangesToJSON(NodesJSON[[#Headers],[label]:[url]],NodesJSON[[#This Row],[label]:[url]])&amp;"}"</f>
        <v>,{"label":"Application","id":"n72B6719C_C19A_4205_B703_0239826216C6","url":"https://open-measure.atlassian.net/wiki/spaces/DIC/pages/5965602/Application"}</v>
      </c>
      <c r="E27" s="2"/>
    </row>
    <row r="28" spans="1:5" ht="13.9" thickTop="1" thickBot="1" x14ac:dyDescent="0.4">
      <c r="A28" s="3" t="str">
        <f>NodesData[[#This Row],[Common Name]]</f>
        <v>Application Administrator</v>
      </c>
      <c r="B28" s="23" t="str">
        <f>NodesData[[#This Row],[Node ID]]</f>
        <v>nC98FF4A8_B8CF_4F33_A0F7_9002E0B55993</v>
      </c>
      <c r="C28" s="3" t="str">
        <f>IF(NodesData[[#This Row],[URL]]="","",NodesData[[#This Row],[URL]])</f>
        <v>https://open-measure.atlassian.net/wiki/spaces/DIC/pages/274236090</v>
      </c>
      <c r="D28" s="26" t="str" cm="1">
        <f t="array" ref="D28">IF(ROW(NodesJSON[[#This Row],[label]])&gt;ROW(NodesJSON[[#Headers],[JSON]])+1,",","") &amp;"{"&amp;twoRangesToJSON(NodesJSON[[#Headers],[label]:[url]],NodesJSON[[#This Row],[label]:[url]])&amp;"}"</f>
        <v>,{"label":"Application Administrator","id":"nC98FF4A8_B8CF_4F33_A0F7_9002E0B55993","url":"https://open-measure.atlassian.net/wiki/spaces/DIC/pages/274236090"}</v>
      </c>
      <c r="E28" s="2"/>
    </row>
    <row r="29" spans="1:5" ht="13.9" thickTop="1" thickBot="1" x14ac:dyDescent="0.4">
      <c r="A29" s="3" t="str">
        <f>NodesData[[#This Row],[Common Name]]</f>
        <v>Application Instance</v>
      </c>
      <c r="B29" s="23" t="str">
        <f>NodesData[[#This Row],[Node ID]]</f>
        <v>n330A99D3_39A5_4757_967F_1E72BB400D93</v>
      </c>
      <c r="C29" s="3" t="str">
        <f>IF(NodesData[[#This Row],[URL]]="","",NodesData[[#This Row],[URL]])</f>
        <v>https://open-measure.atlassian.net/wiki/spaces/DIC/pages/834044036</v>
      </c>
      <c r="D29" s="26" t="str" cm="1">
        <f t="array" ref="D29">IF(ROW(NodesJSON[[#This Row],[label]])&gt;ROW(NodesJSON[[#Headers],[JSON]])+1,",","") &amp;"{"&amp;twoRangesToJSON(NodesJSON[[#Headers],[label]:[url]],NodesJSON[[#This Row],[label]:[url]])&amp;"}"</f>
        <v>,{"label":"Application Instance","id":"n330A99D3_39A5_4757_967F_1E72BB400D93","url":"https://open-measure.atlassian.net/wiki/spaces/DIC/pages/834044036"}</v>
      </c>
      <c r="E29" s="2"/>
    </row>
    <row r="30" spans="1:5" ht="13.9" thickTop="1" thickBot="1" x14ac:dyDescent="0.4">
      <c r="A30" s="3" t="str">
        <f>NodesData[[#This Row],[Common Name]]</f>
        <v>Application Multiplexing</v>
      </c>
      <c r="B30" s="23" t="str">
        <f>NodesData[[#This Row],[Node ID]]</f>
        <v>nD6A8B379_9D4E_4112_B9E5_B4588BCB49D9</v>
      </c>
      <c r="C30" s="3" t="str">
        <f>IF(NodesData[[#This Row],[URL]]="","",NodesData[[#This Row],[URL]])</f>
        <v>https://open-measure.atlassian.net/wiki/spaces/DIC/pages/1658355721/Application+Multiplexing</v>
      </c>
      <c r="D30" s="26" t="str" cm="1">
        <f t="array" ref="D30">IF(ROW(NodesJSON[[#This Row],[label]])&gt;ROW(NodesJSON[[#Headers],[JSON]])+1,",","") &amp;"{"&amp;twoRangesToJSON(NodesJSON[[#Headers],[label]:[url]],NodesJSON[[#This Row],[label]:[url]])&amp;"}"</f>
        <v>,{"label":"Application Multiplexing","id":"nD6A8B379_9D4E_4112_B9E5_B4588BCB49D9","url":"https://open-measure.atlassian.net/wiki/spaces/DIC/pages/1658355721/Application+Multiplexing"}</v>
      </c>
      <c r="E30" s="2"/>
    </row>
    <row r="31" spans="1:5" ht="13.9" thickTop="1" thickBot="1" x14ac:dyDescent="0.4">
      <c r="A31" s="3" t="str">
        <f>NodesData[[#This Row],[Common Name]]</f>
        <v>Application Package</v>
      </c>
      <c r="B31" s="23" t="str">
        <f>NodesData[[#This Row],[Node ID]]</f>
        <v>nBF754068_D51A_4AC8_A362_C61F502C1D0B</v>
      </c>
      <c r="C31" s="3" t="str">
        <f>IF(NodesData[[#This Row],[URL]]="","",NodesData[[#This Row],[URL]])</f>
        <v>https://open-measure.atlassian.net/wiki/spaces/DIC/pages/5932704</v>
      </c>
      <c r="D31" s="26" t="str" cm="1">
        <f t="array" ref="D31">IF(ROW(NodesJSON[[#This Row],[label]])&gt;ROW(NodesJSON[[#Headers],[JSON]])+1,",","") &amp;"{"&amp;twoRangesToJSON(NodesJSON[[#Headers],[label]:[url]],NodesJSON[[#This Row],[label]:[url]])&amp;"}"</f>
        <v>,{"label":"Application Package","id":"nBF754068_D51A_4AC8_A362_C61F502C1D0B","url":"https://open-measure.atlassian.net/wiki/spaces/DIC/pages/5932704"}</v>
      </c>
      <c r="E31" s="2"/>
    </row>
    <row r="32" spans="1:5" ht="13.9" thickTop="1" thickBot="1" x14ac:dyDescent="0.4">
      <c r="A32" s="3" t="str">
        <f>NodesData[[#This Row],[Common Name]]</f>
        <v>Application Program</v>
      </c>
      <c r="B32" s="23" t="str">
        <f>NodesData[[#This Row],[Node ID]]</f>
        <v>n53981EC2_9DED_4349_BC86_E5D6093333ED</v>
      </c>
      <c r="C32" s="3" t="str">
        <f>IF(NodesData[[#This Row],[URL]]="","",NodesData[[#This Row],[URL]])</f>
        <v>https://open-measure.atlassian.net/wiki/spaces/DIC/pages/6030793/Application+Program</v>
      </c>
      <c r="D32" s="26" t="str" cm="1">
        <f t="array" ref="D32">IF(ROW(NodesJSON[[#This Row],[label]])&gt;ROW(NodesJSON[[#Headers],[JSON]])+1,",","") &amp;"{"&amp;twoRangesToJSON(NodesJSON[[#Headers],[label]:[url]],NodesJSON[[#This Row],[label]:[url]])&amp;"}"</f>
        <v>,{"label":"Application Program","id":"n53981EC2_9DED_4349_BC86_E5D6093333ED","url":"https://open-measure.atlassian.net/wiki/spaces/DIC/pages/6030793/Application+Program"}</v>
      </c>
      <c r="E32" s="2"/>
    </row>
    <row r="33" spans="1:5" ht="13.9" thickTop="1" thickBot="1" x14ac:dyDescent="0.4">
      <c r="A33" s="3" t="str">
        <f>NodesData[[#This Row],[Common Name]]</f>
        <v>Application-Level Policy</v>
      </c>
      <c r="B33" s="23" t="str">
        <f>NodesData[[#This Row],[Node ID]]</f>
        <v>n8511EC23_ED3A_42D2_86FC_40B1D3E32F2D</v>
      </c>
      <c r="C33" s="3" t="str">
        <f>IF(NodesData[[#This Row],[URL]]="","",NodesData[[#This Row],[URL]])</f>
        <v>https://open-measure.atlassian.net/wiki/spaces/DIC/pages/1122631854</v>
      </c>
      <c r="D33" s="26" t="str" cm="1">
        <f t="array" ref="D33">IF(ROW(NodesJSON[[#This Row],[label]])&gt;ROW(NodesJSON[[#Headers],[JSON]])+1,",","") &amp;"{"&amp;twoRangesToJSON(NodesJSON[[#Headers],[label]:[url]],NodesJSON[[#This Row],[label]:[url]])&amp;"}"</f>
        <v>,{"label":"Application-Level Policy","id":"n8511EC23_ED3A_42D2_86FC_40B1D3E32F2D","url":"https://open-measure.atlassian.net/wiki/spaces/DIC/pages/1122631854"}</v>
      </c>
      <c r="E33" s="2"/>
    </row>
    <row r="34" spans="1:5" ht="13.9" thickTop="1" thickBot="1" x14ac:dyDescent="0.4">
      <c r="A34" s="3" t="str">
        <f>NodesData[[#This Row],[Common Name]]</f>
        <v>Archive</v>
      </c>
      <c r="B34" s="23" t="str">
        <f>NodesData[[#This Row],[Node ID]]</f>
        <v>n1FB40DB9_D8D0_4978_BD01_879C77DE04A8</v>
      </c>
      <c r="C34" s="3" t="str">
        <f>IF(NodesData[[#This Row],[URL]]="","",NodesData[[#This Row],[URL]])</f>
        <v>https://open-measure.atlassian.net/wiki/spaces/DIC/pages/425197720</v>
      </c>
      <c r="D34" s="26" t="str" cm="1">
        <f t="array" ref="D34">IF(ROW(NodesJSON[[#This Row],[label]])&gt;ROW(NodesJSON[[#Headers],[JSON]])+1,",","") &amp;"{"&amp;twoRangesToJSON(NodesJSON[[#Headers],[label]:[url]],NodesJSON[[#This Row],[label]:[url]])&amp;"}"</f>
        <v>,{"label":"Archive","id":"n1FB40DB9_D8D0_4978_BD01_879C77DE04A8","url":"https://open-measure.atlassian.net/wiki/spaces/DIC/pages/425197720"}</v>
      </c>
      <c r="E34" s="2"/>
    </row>
    <row r="35" spans="1:5" ht="13.9" thickTop="1" thickBot="1" x14ac:dyDescent="0.4">
      <c r="A35" s="3" t="str">
        <f>NodesData[[#This Row],[Common Name]]</f>
        <v>ARM</v>
      </c>
      <c r="B35" s="23" t="str">
        <f>NodesData[[#This Row],[Node ID]]</f>
        <v>nB3F90AFA_FC46_4122_9901_4FF284E9E7EC</v>
      </c>
      <c r="C35" s="3" t="str">
        <f>IF(NodesData[[#This Row],[URL]]="","",NodesData[[#This Row],[URL]])</f>
        <v>https://open-measure.atlassian.net/wiki/spaces/DIC/pages/1703994/ARM</v>
      </c>
      <c r="D35" s="26" t="str" cm="1">
        <f t="array" ref="D35">IF(ROW(NodesJSON[[#This Row],[label]])&gt;ROW(NodesJSON[[#Headers],[JSON]])+1,",","") &amp;"{"&amp;twoRangesToJSON(NodesJSON[[#Headers],[label]:[url]],NodesJSON[[#This Row],[label]:[url]])&amp;"}"</f>
        <v>,{"label":"ARM","id":"nB3F90AFA_FC46_4122_9901_4FF284E9E7EC","url":"https://open-measure.atlassian.net/wiki/spaces/DIC/pages/1703994/ARM"}</v>
      </c>
      <c r="E35" s="2"/>
    </row>
    <row r="36" spans="1:5" ht="13.9" thickTop="1" thickBot="1" x14ac:dyDescent="0.4">
      <c r="A36" s="3" t="str">
        <f>NodesData[[#This Row],[Common Name]]</f>
        <v>Asset Custody</v>
      </c>
      <c r="B36" s="23" t="str">
        <f>NodesData[[#This Row],[Node ID]]</f>
        <v>n941163ED_640B_408A_8AEE_A41839EAB169</v>
      </c>
      <c r="C36" s="3" t="str">
        <f>IF(NodesData[[#This Row],[URL]]="","",NodesData[[#This Row],[URL]])</f>
        <v>https://open-measure.atlassian.net/wiki/spaces/DIC/pages/1094516867</v>
      </c>
      <c r="D36" s="26" t="str" cm="1">
        <f t="array" ref="D36">IF(ROW(NodesJSON[[#This Row],[label]])&gt;ROW(NodesJSON[[#Headers],[JSON]])+1,",","") &amp;"{"&amp;twoRangesToJSON(NodesJSON[[#Headers],[label]:[url]],NodesJSON[[#This Row],[label]:[url]])&amp;"}"</f>
        <v>,{"label":"Asset Custody","id":"n941163ED_640B_408A_8AEE_A41839EAB169","url":"https://open-measure.atlassian.net/wiki/spaces/DIC/pages/1094516867"}</v>
      </c>
      <c r="E36" s="2"/>
    </row>
    <row r="37" spans="1:5" ht="13.9" thickTop="1" thickBot="1" x14ac:dyDescent="0.4">
      <c r="A37" s="3" t="str">
        <f>NodesData[[#This Row],[Common Name]]</f>
        <v>Attestation</v>
      </c>
      <c r="B37" s="23" t="str">
        <f>NodesData[[#This Row],[Node ID]]</f>
        <v>n0CDD8E1B_608D_404D_AC1A_27954DBC282F</v>
      </c>
      <c r="C37" s="3" t="str">
        <f>IF(NodesData[[#This Row],[URL]]="","",NodesData[[#This Row],[URL]])</f>
        <v>https://open-measure.atlassian.net/wiki/spaces/DIC/pages/1323368851/Attestation</v>
      </c>
      <c r="D37" s="26" t="str" cm="1">
        <f t="array" ref="D37">IF(ROW(NodesJSON[[#This Row],[label]])&gt;ROW(NodesJSON[[#Headers],[JSON]])+1,",","") &amp;"{"&amp;twoRangesToJSON(NodesJSON[[#Headers],[label]:[url]],NodesJSON[[#This Row],[label]:[url]])&amp;"}"</f>
        <v>,{"label":"Attestation","id":"n0CDD8E1B_608D_404D_AC1A_27954DBC282F","url":"https://open-measure.atlassian.net/wiki/spaces/DIC/pages/1323368851/Attestation"}</v>
      </c>
      <c r="E37" s="2"/>
    </row>
    <row r="38" spans="1:5" ht="13.9" thickTop="1" thickBot="1" x14ac:dyDescent="0.4">
      <c r="A38" s="3" t="str">
        <f>NodesData[[#This Row],[Common Name]]</f>
        <v>Attribute</v>
      </c>
      <c r="B38" s="23" t="str">
        <f>NodesData[[#This Row],[Node ID]]</f>
        <v>nD0FF0291_03AE_4248_8CFC_F92543A2535F</v>
      </c>
      <c r="C38" s="3" t="str">
        <f>IF(NodesData[[#This Row],[URL]]="","",NodesData[[#This Row],[URL]])</f>
        <v>https://open-measure.atlassian.net/wiki/spaces/DIC/pages/409174161</v>
      </c>
      <c r="D38" s="26" t="str" cm="1">
        <f t="array" ref="D38">IF(ROW(NodesJSON[[#This Row],[label]])&gt;ROW(NodesJSON[[#Headers],[JSON]])+1,",","") &amp;"{"&amp;twoRangesToJSON(NodesJSON[[#Headers],[label]:[url]],NodesJSON[[#This Row],[label]:[url]])&amp;"}"</f>
        <v>,{"label":"Attribute","id":"nD0FF0291_03AE_4248_8CFC_F92543A2535F","url":"https://open-measure.atlassian.net/wiki/spaces/DIC/pages/409174161"}</v>
      </c>
      <c r="E38" s="2"/>
    </row>
    <row r="39" spans="1:5" ht="13.9" thickTop="1" thickBot="1" x14ac:dyDescent="0.4">
      <c r="A39" s="3" t="str">
        <f>NodesData[[#This Row],[Common Name]]</f>
        <v>Attribute Provider</v>
      </c>
      <c r="B39" s="23" t="str">
        <f>NodesData[[#This Row],[Node ID]]</f>
        <v>n818AA88B_F47E_48A3_896A_B86B61970370</v>
      </c>
      <c r="C39" s="3" t="str">
        <f>IF(NodesData[[#This Row],[URL]]="","",NodesData[[#This Row],[URL]])</f>
        <v>https://open-measure.atlassian.net/wiki/spaces/DIC/pages/81101655</v>
      </c>
      <c r="D39" s="26" t="str" cm="1">
        <f t="array" ref="D39">IF(ROW(NodesJSON[[#This Row],[label]])&gt;ROW(NodesJSON[[#Headers],[JSON]])+1,",","") &amp;"{"&amp;twoRangesToJSON(NodesJSON[[#Headers],[label]:[url]],NodesJSON[[#This Row],[label]:[url]])&amp;"}"</f>
        <v>,{"label":"Attribute Provider","id":"n818AA88B_F47E_48A3_896A_B86B61970370","url":"https://open-measure.atlassian.net/wiki/spaces/DIC/pages/81101655"}</v>
      </c>
      <c r="E39" s="2"/>
    </row>
    <row r="40" spans="1:5" ht="13.9" thickTop="1" thickBot="1" x14ac:dyDescent="0.4">
      <c r="A40" s="3" t="str">
        <f>NodesData[[#This Row],[Common Name]]</f>
        <v>Authenticated Users</v>
      </c>
      <c r="B40" s="23" t="str">
        <f>NodesData[[#This Row],[Node ID]]</f>
        <v>nF97A2FB7_CEBC_41A2_93A3_8B494BBD7EDE</v>
      </c>
      <c r="C40" s="3" t="str">
        <f>IF(NodesData[[#This Row],[URL]]="","",NodesData[[#This Row],[URL]])</f>
        <v>https://open-measure.atlassian.net/wiki/spaces/DIC/pages/966492169</v>
      </c>
      <c r="D40" s="26" t="str" cm="1">
        <f t="array" ref="D40">IF(ROW(NodesJSON[[#This Row],[label]])&gt;ROW(NodesJSON[[#Headers],[JSON]])+1,",","") &amp;"{"&amp;twoRangesToJSON(NodesJSON[[#Headers],[label]:[url]],NodesJSON[[#This Row],[label]:[url]])&amp;"}"</f>
        <v>,{"label":"Authenticated Users","id":"nF97A2FB7_CEBC_41A2_93A3_8B494BBD7EDE","url":"https://open-measure.atlassian.net/wiki/spaces/DIC/pages/966492169"}</v>
      </c>
      <c r="E40" s="2"/>
    </row>
    <row r="41" spans="1:5" ht="13.9" thickTop="1" thickBot="1" x14ac:dyDescent="0.4">
      <c r="A41" s="3" t="str">
        <f>NodesData[[#This Row],[Common Name]]</f>
        <v>Authentication</v>
      </c>
      <c r="B41" s="23" t="str">
        <f>NodesData[[#This Row],[Node ID]]</f>
        <v>n5498F625_6E3B_46CB_976C_85F3529AECDF</v>
      </c>
      <c r="C41" s="3" t="str">
        <f>IF(NodesData[[#This Row],[URL]]="","",NodesData[[#This Row],[URL]])</f>
        <v>https://open-measure.atlassian.net/wiki/spaces/DIC/pages/61177884</v>
      </c>
      <c r="D41" s="26" t="str" cm="1">
        <f t="array" ref="D41">IF(ROW(NodesJSON[[#This Row],[label]])&gt;ROW(NodesJSON[[#Headers],[JSON]])+1,",","") &amp;"{"&amp;twoRangesToJSON(NodesJSON[[#Headers],[label]:[url]],NodesJSON[[#This Row],[label]:[url]])&amp;"}"</f>
        <v>,{"label":"Authentication","id":"n5498F625_6E3B_46CB_976C_85F3529AECDF","url":"https://open-measure.atlassian.net/wiki/spaces/DIC/pages/61177884"}</v>
      </c>
      <c r="E41" s="2"/>
    </row>
    <row r="42" spans="1:5" ht="13.9" thickTop="1" thickBot="1" x14ac:dyDescent="0.4">
      <c r="A42" s="3" t="str">
        <f>NodesData[[#This Row],[Common Name]]</f>
        <v>Authentication Factor</v>
      </c>
      <c r="B42" s="23" t="str">
        <f>NodesData[[#This Row],[Node ID]]</f>
        <v>n67C132A3_290E_4750_90DE_11E7C1778537</v>
      </c>
      <c r="C42" s="8"/>
      <c r="D42" s="26" t="str" cm="1">
        <f t="array" ref="D42">IF(ROW(NodesJSON[[#This Row],[label]])&gt;ROW(NodesJSON[[#Headers],[JSON]])+1,",","") &amp;"{"&amp;twoRangesToJSON(NodesJSON[[#Headers],[label]:[url]],NodesJSON[[#This Row],[label]:[url]])&amp;"}"</f>
        <v>,{"label":"Authentication Factor","id":"n67C132A3_290E_4750_90DE_11E7C1778537","url":""}</v>
      </c>
      <c r="E42" s="2"/>
    </row>
    <row r="43" spans="1:5" ht="13.9" thickTop="1" thickBot="1" x14ac:dyDescent="0.4">
      <c r="A43" s="3" t="str">
        <f>NodesData[[#This Row],[Common Name]]</f>
        <v>Authentication Method</v>
      </c>
      <c r="B43" s="23" t="str">
        <f>NodesData[[#This Row],[Node ID]]</f>
        <v>n53877DB9_77FA_44E9_974A_BE3344133398</v>
      </c>
      <c r="C43" s="10" t="s">
        <v>586</v>
      </c>
      <c r="D43" s="26" t="str" cm="1">
        <f t="array" ref="D43">IF(ROW(NodesJSON[[#This Row],[label]])&gt;ROW(NodesJSON[[#Headers],[JSON]])+1,",","") &amp;"{"&amp;twoRangesToJSON(NodesJSON[[#Headers],[label]:[url]],NodesJSON[[#This Row],[label]:[url]])&amp;"}"</f>
        <v>,{"label":"Authentication Method","id":"n53877DB9_77FA_44E9_974A_BE3344133398","url":"https://open-measure.atlassian.net/wiki/spaces/DIC/pages/848724060"}</v>
      </c>
      <c r="E43" s="2"/>
    </row>
    <row r="44" spans="1:5" ht="13.9" thickTop="1" thickBot="1" x14ac:dyDescent="0.4">
      <c r="A44" s="3" t="str">
        <f>NodesData[[#This Row],[Common Name]]</f>
        <v>Authenticator</v>
      </c>
      <c r="B44" s="23" t="str">
        <f>NodesData[[#This Row],[Node ID]]</f>
        <v>n7A4D7599_F86F_4594_8B18_58AA2548C0B4</v>
      </c>
      <c r="C44" s="10" t="s">
        <v>588</v>
      </c>
      <c r="D44" s="26" t="str" cm="1">
        <f t="array" ref="D44">IF(ROW(NodesJSON[[#This Row],[label]])&gt;ROW(NodesJSON[[#Headers],[JSON]])+1,",","") &amp;"{"&amp;twoRangesToJSON(NodesJSON[[#Headers],[label]:[url]],NodesJSON[[#This Row],[label]:[url]])&amp;"}"</f>
        <v>,{"label":"Authenticator","id":"n7A4D7599_F86F_4594_8B18_58AA2548C0B4","url":"https://open-measure.atlassian.net/wiki/spaces/DIC/pages/998178905"}</v>
      </c>
      <c r="E44" s="2"/>
    </row>
    <row r="45" spans="1:5" ht="13.9" thickTop="1" thickBot="1" x14ac:dyDescent="0.4">
      <c r="A45" s="3" t="str">
        <f>NodesData[[#This Row],[Common Name]]</f>
        <v>Authority</v>
      </c>
      <c r="B45" s="23" t="str">
        <f>NodesData[[#This Row],[Node ID]]</f>
        <v>nC7C1A468_0E1F_46E1_B73A_731992ABA6D5</v>
      </c>
      <c r="C45" s="10" t="s">
        <v>590</v>
      </c>
      <c r="D45" s="26" t="str" cm="1">
        <f t="array" ref="D45">IF(ROW(NodesJSON[[#This Row],[label]])&gt;ROW(NodesJSON[[#Headers],[JSON]])+1,",","") &amp;"{"&amp;twoRangesToJSON(NodesJSON[[#Headers],[label]:[url]],NodesJSON[[#This Row],[label]:[url]])&amp;"}"</f>
        <v>,{"label":"Authority","id":"nC7C1A468_0E1F_46E1_B73A_731992ABA6D5","url":"https://open-measure.atlassian.net/wiki/spaces/DIC/pages/60882993"}</v>
      </c>
      <c r="E45" s="2"/>
    </row>
    <row r="46" spans="1:5" ht="13.9" thickTop="1" thickBot="1" x14ac:dyDescent="0.4">
      <c r="A46" s="3" t="str">
        <f>NodesData[[#This Row],[Common Name]]</f>
        <v>Authorization</v>
      </c>
      <c r="B46" s="23" t="str">
        <f>NodesData[[#This Row],[Node ID]]</f>
        <v>n88704212_4558_4B65_9E18_ACA6FB85434F</v>
      </c>
      <c r="C46" s="10" t="s">
        <v>593</v>
      </c>
      <c r="D46" s="26" t="str" cm="1">
        <f t="array" ref="D46">IF(ROW(NodesJSON[[#This Row],[label]])&gt;ROW(NodesJSON[[#Headers],[JSON]])+1,",","") &amp;"{"&amp;twoRangesToJSON(NodesJSON[[#Headers],[label]:[url]],NodesJSON[[#This Row],[label]:[url]])&amp;"}"</f>
        <v>,{"label":"Authorization","id":"n88704212_4558_4B65_9E18_ACA6FB85434F","url":"https://open-measure.atlassian.net/wiki/spaces/DIC/pages/1311472"}</v>
      </c>
      <c r="E46" s="2"/>
    </row>
    <row r="47" spans="1:5" ht="13.9" thickTop="1" thickBot="1" x14ac:dyDescent="0.4">
      <c r="A47" s="3" t="str">
        <f>NodesData[[#This Row],[Common Name]]</f>
        <v>Authorization Externalization</v>
      </c>
      <c r="B47" s="23" t="str">
        <f>NodesData[[#This Row],[Node ID]]</f>
        <v>nEFD1A6B4_F1EC_40F7_985E_A79FDAFA5290</v>
      </c>
      <c r="C47" s="10" t="s">
        <v>595</v>
      </c>
      <c r="D47" s="26" t="str" cm="1">
        <f t="array" ref="D47">IF(ROW(NodesJSON[[#This Row],[label]])&gt;ROW(NodesJSON[[#Headers],[JSON]])+1,",","") &amp;"{"&amp;twoRangesToJSON(NodesJSON[[#Headers],[label]:[url]],NodesJSON[[#This Row],[label]:[url]])&amp;"}"</f>
        <v>,{"label":"Authorization Externalization","id":"nEFD1A6B4_F1EC_40F7_985E_A79FDAFA5290","url":"https://open-measure.atlassian.net/wiki/spaces/DIC/pages/998277774"}</v>
      </c>
      <c r="E47" s="2"/>
    </row>
    <row r="48" spans="1:5" ht="13.9" thickTop="1" thickBot="1" x14ac:dyDescent="0.4">
      <c r="A48" s="3" t="str">
        <f>NodesData[[#This Row],[Common Name]]</f>
        <v>Awareness</v>
      </c>
      <c r="B48" s="23" t="str">
        <f>NodesData[[#This Row],[Node ID]]</f>
        <v>nED52833B_3CB7_4602_8F07_AAFFA537007A</v>
      </c>
      <c r="C48" s="10" t="s">
        <v>597</v>
      </c>
      <c r="D48" s="26" t="str" cm="1">
        <f t="array" ref="D48">IF(ROW(NodesJSON[[#This Row],[label]])&gt;ROW(NodesJSON[[#Headers],[JSON]])+1,",","") &amp;"{"&amp;twoRangesToJSON(NodesJSON[[#Headers],[label]:[url]],NodesJSON[[#This Row],[label]:[url]])&amp;"}"</f>
        <v>,{"label":"Awareness","id":"nED52833B_3CB7_4602_8F07_AAFFA537007A","url":"https://open-measure.atlassian.net/wiki/spaces/DIC/pages/998245198"}</v>
      </c>
      <c r="E48" s="2"/>
    </row>
    <row r="49" spans="1:5" ht="13.9" thickTop="1" thickBot="1" x14ac:dyDescent="0.4">
      <c r="A49" s="3" t="str">
        <f>NodesData[[#This Row],[Common Name]]</f>
        <v>AWS Account Root User</v>
      </c>
      <c r="B49" s="23" t="str">
        <f>NodesData[[#This Row],[Node ID]]</f>
        <v>n4D85EB1C_A961_426D_AEF6_EEE56E460849</v>
      </c>
      <c r="C49" s="10" t="s">
        <v>599</v>
      </c>
      <c r="D49" s="26" t="str" cm="1">
        <f t="array" ref="D49">IF(ROW(NodesJSON[[#This Row],[label]])&gt;ROW(NodesJSON[[#Headers],[JSON]])+1,",","") &amp;"{"&amp;twoRangesToJSON(NodesJSON[[#Headers],[label]:[url]],NodesJSON[[#This Row],[label]:[url]])&amp;"}"</f>
        <v>,{"label":"AWS Account Root User","id":"n4D85EB1C_A961_426D_AEF6_EEE56E460849","url":"https://open-measure.atlassian.net/wiki/spaces/DIC/pages/998277876"}</v>
      </c>
      <c r="E49" s="2"/>
    </row>
    <row r="50" spans="1:5" ht="13.9" thickTop="1" thickBot="1" x14ac:dyDescent="0.4">
      <c r="A50" s="3" t="str">
        <f>NodesData[[#This Row],[Common Name]]</f>
        <v>AWS ACL</v>
      </c>
      <c r="B50" s="23" t="str">
        <f>NodesData[[#This Row],[Node ID]]</f>
        <v>nD9B0296D_0D3A_447A_941D_9C10A546E6EA</v>
      </c>
      <c r="C50" s="10" t="s">
        <v>601</v>
      </c>
      <c r="D50" s="26" t="str" cm="1">
        <f t="array" ref="D50">IF(ROW(NodesJSON[[#This Row],[label]])&gt;ROW(NodesJSON[[#Headers],[JSON]])+1,",","") &amp;"{"&amp;twoRangesToJSON(NodesJSON[[#Headers],[label]:[url]],NodesJSON[[#This Row],[label]:[url]])&amp;"}"</f>
        <v>,{"label":"AWS ACL","id":"nD9B0296D_0D3A_447A_941D_9C10A546E6EA","url":"https://open-measure.atlassian.net/wiki/spaces/DIC/pages/998277805"}</v>
      </c>
      <c r="E50" s="2"/>
    </row>
    <row r="51" spans="1:5" ht="13.9" thickTop="1" thickBot="1" x14ac:dyDescent="0.4">
      <c r="A51" s="3" t="str">
        <f>NodesData[[#This Row],[Common Name]]</f>
        <v>AWS IAM</v>
      </c>
      <c r="B51" s="23" t="str">
        <f>NodesData[[#This Row],[Node ID]]</f>
        <v>n1482D4D7_7EEE_42C9_A18A_162895B6DAD6</v>
      </c>
      <c r="C51" s="10" t="s">
        <v>603</v>
      </c>
      <c r="D51" s="26" t="str" cm="1">
        <f t="array" ref="D51">IF(ROW(NodesJSON[[#This Row],[label]])&gt;ROW(NodesJSON[[#Headers],[JSON]])+1,",","") &amp;"{"&amp;twoRangesToJSON(NodesJSON[[#Headers],[label]:[url]],NodesJSON[[#This Row],[label]:[url]])&amp;"}"</f>
        <v>,{"label":"AWS IAM","id":"n1482D4D7_7EEE_42C9_A18A_162895B6DAD6","url":"https://open-measure.atlassian.net/wiki/spaces/DIC/pages/998277852"}</v>
      </c>
      <c r="E51" s="2"/>
    </row>
    <row r="52" spans="1:5" ht="13.9" thickTop="1" thickBot="1" x14ac:dyDescent="0.4">
      <c r="A52" s="3" t="str">
        <f>NodesData[[#This Row],[Common Name]]</f>
        <v>AWS IAM Group</v>
      </c>
      <c r="B52" s="23" t="str">
        <f>NodesData[[#This Row],[Node ID]]</f>
        <v>nCCBCF09B_7033_4E6D_9851_D29BB7B648A6</v>
      </c>
      <c r="C52" s="10" t="s">
        <v>605</v>
      </c>
      <c r="D52" s="26" t="str" cm="1">
        <f t="array" ref="D52">IF(ROW(NodesJSON[[#This Row],[label]])&gt;ROW(NodesJSON[[#Headers],[JSON]])+1,",","") &amp;"{"&amp;twoRangesToJSON(NodesJSON[[#Headers],[label]:[url]],NodesJSON[[#This Row],[label]:[url]])&amp;"}"</f>
        <v>,{"label":"AWS IAM Group","id":"nCCBCF09B_7033_4E6D_9851_D29BB7B648A6","url":"https://open-measure.atlassian.net/wiki/spaces/DIC/pages/1071251573"}</v>
      </c>
      <c r="E52" s="2"/>
    </row>
    <row r="53" spans="1:5" ht="13.9" thickTop="1" thickBot="1" x14ac:dyDescent="0.4">
      <c r="A53" s="3" t="str">
        <f>NodesData[[#This Row],[Common Name]]</f>
        <v>AWS IAM Policy</v>
      </c>
      <c r="B53" s="23" t="str">
        <f>NodesData[[#This Row],[Node ID]]</f>
        <v>n1875AE23_28E6_45EE_840E_8F1F9D6DA18E</v>
      </c>
      <c r="C53" s="10" t="s">
        <v>607</v>
      </c>
      <c r="D53" s="26" t="str" cm="1">
        <f t="array" ref="D53">IF(ROW(NodesJSON[[#This Row],[label]])&gt;ROW(NodesJSON[[#Headers],[JSON]])+1,",","") &amp;"{"&amp;twoRangesToJSON(NodesJSON[[#Headers],[label]:[url]],NodesJSON[[#This Row],[label]:[url]])&amp;"}"</f>
        <v>,{"label":"AWS IAM Policy","id":"n1875AE23_28E6_45EE_840E_8F1F9D6DA18E","url":"https://open-measure.atlassian.net/wiki/spaces/DIC/pages/998245151"}</v>
      </c>
      <c r="E53" s="2"/>
    </row>
    <row r="54" spans="1:5" ht="13.9" thickTop="1" thickBot="1" x14ac:dyDescent="0.4">
      <c r="A54" s="3" t="str">
        <f>NodesData[[#This Row],[Common Name]]</f>
        <v>AWS IAM Principal</v>
      </c>
      <c r="B54" s="23" t="str">
        <f>NodesData[[#This Row],[Node ID]]</f>
        <v>nF9259DCB_1490_4C14_A807_E2EB6BAEBCD6</v>
      </c>
      <c r="C54" s="10" t="s">
        <v>609</v>
      </c>
      <c r="D54" s="26" t="str" cm="1">
        <f t="array" ref="D54">IF(ROW(NodesJSON[[#This Row],[label]])&gt;ROW(NodesJSON[[#Headers],[JSON]])+1,",","") &amp;"{"&amp;twoRangesToJSON(NodesJSON[[#Headers],[label]:[url]],NodesJSON[[#This Row],[label]:[url]])&amp;"}"</f>
        <v>,{"label":"AWS IAM Principal","id":"nF9259DCB_1490_4C14_A807_E2EB6BAEBCD6","url":"https://open-measure.atlassian.net/wiki/spaces/DIC/pages/998277835"}</v>
      </c>
      <c r="E54" s="2"/>
    </row>
    <row r="55" spans="1:5" ht="13.9" thickTop="1" thickBot="1" x14ac:dyDescent="0.4">
      <c r="A55" s="3" t="str">
        <f>NodesData[[#This Row],[Common Name]]</f>
        <v>AWS IAM Role</v>
      </c>
      <c r="B55" s="23" t="str">
        <f>NodesData[[#This Row],[Node ID]]</f>
        <v>n1523F730_02BA_4AF6_B7DC_8FA728AB8AEA</v>
      </c>
      <c r="C55" s="10" t="s">
        <v>611</v>
      </c>
      <c r="D55" s="26" t="str" cm="1">
        <f t="array" ref="D55">IF(ROW(NodesJSON[[#This Row],[label]])&gt;ROW(NodesJSON[[#Headers],[JSON]])+1,",","") &amp;"{"&amp;twoRangesToJSON(NodesJSON[[#Headers],[label]:[url]],NodesJSON[[#This Row],[label]:[url]])&amp;"}"</f>
        <v>,{"label":"AWS IAM Role","id":"n1523F730_02BA_4AF6_B7DC_8FA728AB8AEA","url":"https://open-measure.atlassian.net/wiki/spaces/DIC/pages/998245125"}</v>
      </c>
      <c r="E55" s="2"/>
    </row>
    <row r="56" spans="1:5" ht="13.9" thickTop="1" thickBot="1" x14ac:dyDescent="0.4">
      <c r="A56" s="3" t="str">
        <f>NodesData[[#This Row],[Common Name]]</f>
        <v>AWS IAM Temporary Security Credentials</v>
      </c>
      <c r="B56" s="23" t="str">
        <f>NodesData[[#This Row],[Node ID]]</f>
        <v>nB8600109_406A_41D5_A938_F40D2ABD263D</v>
      </c>
      <c r="C56" s="10" t="s">
        <v>591</v>
      </c>
      <c r="D56" s="26" t="str" cm="1">
        <f t="array" ref="D56">IF(ROW(NodesJSON[[#This Row],[label]])&gt;ROW(NodesJSON[[#Headers],[JSON]])+1,",","") &amp;"{"&amp;twoRangesToJSON(NodesJSON[[#Headers],[label]:[url]],NodesJSON[[#This Row],[label]:[url]])&amp;"}"</f>
        <v>,{"label":"AWS IAM Temporary Security Credentials","id":"nB8600109_406A_41D5_A938_F40D2ABD263D","url":"https://open-measure.atlassian.net/wiki/spaces/DIC/pages/1137573936/Authorization+Externalization"}</v>
      </c>
      <c r="E56" s="2"/>
    </row>
    <row r="57" spans="1:5" ht="13.9" thickTop="1" thickBot="1" x14ac:dyDescent="0.4">
      <c r="A57" s="3" t="str">
        <f>NodesData[[#This Row],[Common Name]]</f>
        <v>AWS IAM User</v>
      </c>
      <c r="B57" s="23" t="str">
        <f>NodesData[[#This Row],[Node ID]]</f>
        <v>n4E8EECAB_7960_4F74_8E07_F9D79BBA6BFD</v>
      </c>
      <c r="C57" s="10" t="s">
        <v>613</v>
      </c>
      <c r="D57" s="26" t="str" cm="1">
        <f t="array" ref="D57">IF(ROW(NodesJSON[[#This Row],[label]])&gt;ROW(NodesJSON[[#Headers],[JSON]])+1,",","") &amp;"{"&amp;twoRangesToJSON(NodesJSON[[#Headers],[label]:[url]],NodesJSON[[#This Row],[label]:[url]])&amp;"}"</f>
        <v>,{"label":"AWS IAM User","id":"n4E8EECAB_7960_4F74_8E07_F9D79BBA6BFD","url":"https://open-measure.atlassian.net/wiki/spaces/DIC/pages/797933843"}</v>
      </c>
      <c r="E57" s="2"/>
    </row>
    <row r="58" spans="1:5" ht="13.9" thickTop="1" thickBot="1" x14ac:dyDescent="0.4">
      <c r="A58" s="3" t="str">
        <f>NodesData[[#This Row],[Common Name]]</f>
        <v>Back-end Authentication</v>
      </c>
      <c r="B58" s="23" t="str">
        <f>NodesData[[#This Row],[Node ID]]</f>
        <v>nDED8E2C9_B484_47BD_8A0C_4FC25D9ABA2F</v>
      </c>
      <c r="C58" s="10" t="s">
        <v>615</v>
      </c>
      <c r="D58" s="26" t="str" cm="1">
        <f t="array" ref="D58">IF(ROW(NodesJSON[[#This Row],[label]])&gt;ROW(NodesJSON[[#Headers],[JSON]])+1,",","") &amp;"{"&amp;twoRangesToJSON(NodesJSON[[#Headers],[label]:[url]],NodesJSON[[#This Row],[label]:[url]])&amp;"}"</f>
        <v>,{"label":"Back-end Authentication","id":"nDED8E2C9_B484_47BD_8A0C_4FC25D9ABA2F","url":"https://open-measure.atlassian.net/wiki/spaces/DIC/pages/1228079157"}</v>
      </c>
      <c r="E58" s="2"/>
    </row>
    <row r="59" spans="1:5" ht="13.9" thickTop="1" thickBot="1" x14ac:dyDescent="0.4">
      <c r="A59" s="3" t="str">
        <f>NodesData[[#This Row],[Common Name]]</f>
        <v>BankID</v>
      </c>
      <c r="B59" s="23" t="str">
        <f>NodesData[[#This Row],[Node ID]]</f>
        <v>nBB7D7752_E1E7_4228_B216_44BF27C469CE</v>
      </c>
      <c r="C59" s="4"/>
      <c r="D59" s="26" t="str" cm="1">
        <f t="array" ref="D59">IF(ROW(NodesJSON[[#This Row],[label]])&gt;ROW(NodesJSON[[#Headers],[JSON]])+1,",","") &amp;"{"&amp;twoRangesToJSON(NodesJSON[[#Headers],[label]:[url]],NodesJSON[[#This Row],[label]:[url]])&amp;"}"</f>
        <v>,{"label":"BankID","id":"nBB7D7752_E1E7_4228_B216_44BF27C469CE","url":""}</v>
      </c>
      <c r="E59" s="2"/>
    </row>
    <row r="60" spans="1:5" ht="13.9" thickTop="1" thickBot="1" x14ac:dyDescent="0.4">
      <c r="A60" s="3" t="str">
        <f>NodesData[[#This Row],[Common Name]]</f>
        <v>Basic Z Rule</v>
      </c>
      <c r="B60" s="23" t="str">
        <f>NodesData[[#This Row],[Node ID]]</f>
        <v>nBC4E0E05_749F_4BAA_8247_C9B39135AB8E</v>
      </c>
      <c r="C60" s="10" t="s">
        <v>617</v>
      </c>
      <c r="D60" s="26" t="str" cm="1">
        <f t="array" ref="D60">IF(ROW(NodesJSON[[#This Row],[label]])&gt;ROW(NodesJSON[[#Headers],[JSON]])+1,",","") &amp;"{"&amp;twoRangesToJSON(NodesJSON[[#Headers],[label]:[url]],NodesJSON[[#This Row],[label]:[url]])&amp;"}"</f>
        <v>,{"label":"Basic Z Rule","id":"nBC4E0E05_749F_4BAA_8247_C9B39135AB8E","url":"https://open-measure.atlassian.net/wiki/spaces/DIC/pages/1237549087/Bell-LaPadula+Model"}</v>
      </c>
      <c r="E60" s="2"/>
    </row>
    <row r="61" spans="1:5" ht="13.9" thickTop="1" thickBot="1" x14ac:dyDescent="0.4">
      <c r="A61" s="3" t="str">
        <f>NodesData[[#This Row],[Common Name]]</f>
        <v>Behavioral Authentication</v>
      </c>
      <c r="B61" s="23" t="str">
        <f>NodesData[[#This Row],[Node ID]]</f>
        <v>n3DDE93A9_BFEF_41F6_B831_7BC6CEAF25CD</v>
      </c>
      <c r="C61" s="10" t="s">
        <v>616</v>
      </c>
      <c r="D61" s="26" t="str" cm="1">
        <f t="array" ref="D61">IF(ROW(NodesJSON[[#This Row],[label]])&gt;ROW(NodesJSON[[#Headers],[JSON]])+1,",","") &amp;"{"&amp;twoRangesToJSON(NodesJSON[[#Headers],[label]:[url]],NodesJSON[[#This Row],[label]:[url]])&amp;"}"</f>
        <v>,{"label":"Behavioral Authentication","id":"n3DDE93A9_BFEF_41F6_B831_7BC6CEAF25CD","url":"https://open-measure.atlassian.net/wiki/spaces/DIC/pages/1673527501/Behavioral+Authentication"}</v>
      </c>
      <c r="E61" s="2"/>
    </row>
    <row r="62" spans="1:5" ht="13.9" thickTop="1" thickBot="1" x14ac:dyDescent="0.4">
      <c r="A62" s="3" t="str">
        <f>NodesData[[#This Row],[Common Name]]</f>
        <v>Bell-LaPadula Model</v>
      </c>
      <c r="B62" s="23" t="str">
        <f>NodesData[[#This Row],[Node ID]]</f>
        <v>n72711DB2_F0B3_4F52_A4E4_A4A5446CD2A8</v>
      </c>
      <c r="C62" s="10" t="s">
        <v>619</v>
      </c>
      <c r="D62" s="26" t="str" cm="1">
        <f t="array" ref="D62">IF(ROW(NodesJSON[[#This Row],[label]])&gt;ROW(NodesJSON[[#Headers],[JSON]])+1,",","") &amp;"{"&amp;twoRangesToJSON(NodesJSON[[#Headers],[label]:[url]],NodesJSON[[#This Row],[label]:[url]])&amp;"}"</f>
        <v>,{"label":"Bell-LaPadula Model","id":"n72711DB2_F0B3_4F52_A4E4_A4A5446CD2A8","url":"https://open-measure.atlassian.net/wiki/spaces/DIC/pages/409174210"}</v>
      </c>
      <c r="E62" s="2"/>
    </row>
    <row r="63" spans="1:5" ht="13.9" thickTop="1" thickBot="1" x14ac:dyDescent="0.4">
      <c r="A63" s="3" t="str">
        <f>NodesData[[#This Row],[Common Name]]</f>
        <v>Biometric Authentication</v>
      </c>
      <c r="B63" s="23" t="str">
        <f>NodesData[[#This Row],[Node ID]]</f>
        <v>n4781A6BD_729E_4392_B73C_0DA1C77F45BA</v>
      </c>
      <c r="C63" s="10" t="s">
        <v>621</v>
      </c>
      <c r="D63" s="26" t="str" cm="1">
        <f t="array" ref="D63">IF(ROW(NodesJSON[[#This Row],[label]])&gt;ROW(NodesJSON[[#Headers],[JSON]])+1,",","") &amp;"{"&amp;twoRangesToJSON(NodesJSON[[#Headers],[label]:[url]],NodesJSON[[#This Row],[label]:[url]])&amp;"}"</f>
        <v>,{"label":"Biometric Authentication","id":"n4781A6BD_729E_4392_B73C_0DA1C77F45BA","url":"https://open-measure.atlassian.net/wiki/spaces/DIC/pages/409010581"}</v>
      </c>
      <c r="E63" s="2"/>
    </row>
    <row r="64" spans="1:5" ht="13.9" thickTop="1" thickBot="1" x14ac:dyDescent="0.4">
      <c r="A64" s="3" t="str">
        <f>NodesData[[#This Row],[Common Name]]</f>
        <v>Biometric Identification</v>
      </c>
      <c r="B64" s="23" t="str">
        <f>NodesData[[#This Row],[Node ID]]</f>
        <v>nAC688165_B606_4D82_A016_0263D701EDF2</v>
      </c>
      <c r="C64" s="10" t="s">
        <v>623</v>
      </c>
      <c r="D64" s="26" t="str" cm="1">
        <f t="array" ref="D64">IF(ROW(NodesJSON[[#This Row],[label]])&gt;ROW(NodesJSON[[#Headers],[JSON]])+1,",","") &amp;"{"&amp;twoRangesToJSON(NodesJSON[[#Headers],[label]:[url]],NodesJSON[[#This Row],[label]:[url]])&amp;"}"</f>
        <v>,{"label":"Biometric Identification","id":"nAC688165_B606_4D82_A016_0263D701EDF2","url":"https://open-measure.atlassian.net/wiki/spaces/DIC/pages/1031209441"}</v>
      </c>
      <c r="E64" s="2"/>
    </row>
    <row r="65" spans="1:5" ht="13.9" thickTop="1" thickBot="1" x14ac:dyDescent="0.4">
      <c r="A65" s="3" t="str">
        <f>NodesData[[#This Row],[Common Name]]</f>
        <v>Biometrics</v>
      </c>
      <c r="B65" s="23" t="str">
        <f>NodesData[[#This Row],[Node ID]]</f>
        <v>n58FC3163_C98D_45E6_8BD3_405AF26CA056</v>
      </c>
      <c r="C65" s="10" t="s">
        <v>625</v>
      </c>
      <c r="D65" s="26" t="str" cm="1">
        <f t="array" ref="D65">IF(ROW(NodesJSON[[#This Row],[label]])&gt;ROW(NodesJSON[[#Headers],[JSON]])+1,",","") &amp;"{"&amp;twoRangesToJSON(NodesJSON[[#Headers],[label]:[url]],NodesJSON[[#This Row],[label]:[url]])&amp;"}"</f>
        <v>,{"label":"Biometrics","id":"n58FC3163_C98D_45E6_8BD3_405AF26CA056","url":"https://open-measure.atlassian.net/wiki/spaces/DIC/pages/794492970"}</v>
      </c>
      <c r="E65" s="2"/>
    </row>
    <row r="66" spans="1:5" ht="13.9" thickTop="1" thickBot="1" x14ac:dyDescent="0.4">
      <c r="A66" s="3" t="str">
        <f>NodesData[[#This Row],[Common Name]]</f>
        <v>Birth Certificate</v>
      </c>
      <c r="B66" s="23" t="str">
        <f>NodesData[[#This Row],[Node ID]]</f>
        <v>n5E88C9AF_9919_47E5_AC97_3C0F882D8992</v>
      </c>
      <c r="C66" s="10" t="s">
        <v>626</v>
      </c>
      <c r="D66" s="26" t="str" cm="1">
        <f t="array" ref="D66">IF(ROW(NodesJSON[[#This Row],[label]])&gt;ROW(NodesJSON[[#Headers],[JSON]])+1,",","") &amp;"{"&amp;twoRangesToJSON(NodesJSON[[#Headers],[label]:[url]],NodesJSON[[#This Row],[label]:[url]])&amp;"}"</f>
        <v>,{"label":"Birth Certificate","id":"n5E88C9AF_9919_47E5_AC97_3C0F882D8992","url":"https://open-measure.atlassian.net/wiki/spaces/DIC/pages/1571389777/Boundary+Control"}</v>
      </c>
      <c r="E66" s="2"/>
    </row>
    <row r="67" spans="1:5" ht="13.9" thickTop="1" thickBot="1" x14ac:dyDescent="0.4">
      <c r="A67" s="3" t="str">
        <f>NodesData[[#This Row],[Common Name]]</f>
        <v>Blast Radius</v>
      </c>
      <c r="B67" s="23" t="str">
        <f>NodesData[[#This Row],[Node ID]]</f>
        <v>n242739C9_E8F8_40EF_98D0_C57F8BD3A408</v>
      </c>
      <c r="C67" s="4"/>
      <c r="D67" s="26" t="str" cm="1">
        <f t="array" ref="D67">IF(ROW(NodesJSON[[#This Row],[label]])&gt;ROW(NodesJSON[[#Headers],[JSON]])+1,",","") &amp;"{"&amp;twoRangesToJSON(NodesJSON[[#Headers],[label]:[url]],NodesJSON[[#This Row],[label]:[url]])&amp;"}"</f>
        <v>,{"label":"Blast Radius","id":"n242739C9_E8F8_40EF_98D0_C57F8BD3A408","url":""}</v>
      </c>
      <c r="E67" s="2"/>
    </row>
    <row r="68" spans="1:5" ht="13.9" thickTop="1" thickBot="1" x14ac:dyDescent="0.4">
      <c r="A68" s="3" t="str">
        <f>NodesData[[#This Row],[Common Name]]</f>
        <v>Boundary Control</v>
      </c>
      <c r="B68" s="23" t="str">
        <f>NodesData[[#This Row],[Node ID]]</f>
        <v>n8B61F4C7_8FA2_43DC_B58C_AB2C5C0A8877</v>
      </c>
      <c r="C68" s="10" t="s">
        <v>628</v>
      </c>
      <c r="D68" s="26" t="str" cm="1">
        <f t="array" ref="D68">IF(ROW(NodesJSON[[#This Row],[label]])&gt;ROW(NodesJSON[[#Headers],[JSON]])+1,",","") &amp;"{"&amp;twoRangesToJSON(NodesJSON[[#Headers],[label]:[url]],NodesJSON[[#This Row],[label]:[url]])&amp;"}"</f>
        <v>,{"label":"Boundary Control","id":"n8B61F4C7_8FA2_43DC_B58C_AB2C5C0A8877","url":"https://open-measure.atlassian.net/wiki/spaces/DIC/pages/81101750"}</v>
      </c>
      <c r="E68" s="2"/>
    </row>
    <row r="69" spans="1:5" ht="13.9" thickTop="1" thickBot="1" x14ac:dyDescent="0.4">
      <c r="A69" s="3" t="str">
        <f>NodesData[[#This Row],[Common Name]]</f>
        <v>Brainwaves Authentication</v>
      </c>
      <c r="B69" s="23" t="str">
        <f>NodesData[[#This Row],[Node ID]]</f>
        <v>n45A95ED6_6BE9_42DC_8F8E_4940542AA763</v>
      </c>
      <c r="C69" s="10" t="s">
        <v>629</v>
      </c>
      <c r="D69" s="26" t="str" cm="1">
        <f t="array" ref="D69">IF(ROW(NodesJSON[[#This Row],[label]])&gt;ROW(NodesJSON[[#Headers],[JSON]])+1,",","") &amp;"{"&amp;twoRangesToJSON(NodesJSON[[#Headers],[label]:[url]],NodesJSON[[#This Row],[label]:[url]])&amp;"}"</f>
        <v>,{"label":"Brainwaves Authentication","id":"n45A95ED6_6BE9_42DC_8F8E_4940542AA763","url":"https://open-measure.atlassian.net/wiki/spaces/DIC/pages/1348763687/Brute+Force+Attack"}</v>
      </c>
      <c r="E69" s="2"/>
    </row>
    <row r="70" spans="1:5" ht="13.9" thickTop="1" thickBot="1" x14ac:dyDescent="0.4">
      <c r="A70" s="3" t="str">
        <f>NodesData[[#This Row],[Common Name]]</f>
        <v>Broker</v>
      </c>
      <c r="B70" s="23" t="str">
        <f>NodesData[[#This Row],[Node ID]]</f>
        <v>nFEE07D8B_E1AA_4F0C_A615_463A81456806</v>
      </c>
      <c r="C70" s="10" t="s">
        <v>631</v>
      </c>
      <c r="D70" s="26" t="str" cm="1">
        <f t="array" ref="D70">IF(ROW(NodesJSON[[#This Row],[label]])&gt;ROW(NodesJSON[[#Headers],[JSON]])+1,",","") &amp;"{"&amp;twoRangesToJSON(NodesJSON[[#Headers],[label]:[url]],NodesJSON[[#This Row],[label]:[url]])&amp;"}"</f>
        <v>,{"label":"Broker","id":"nFEE07D8B_E1AA_4F0C_A615_463A81456806","url":"https://open-measure.atlassian.net/wiki/spaces/DIC/pages/140772106"}</v>
      </c>
      <c r="E70" s="2"/>
    </row>
    <row r="71" spans="1:5" ht="13.9" thickTop="1" thickBot="1" x14ac:dyDescent="0.4">
      <c r="A71" s="3" t="str">
        <f>NodesData[[#This Row],[Common Name]]</f>
        <v>Brute Force Attack</v>
      </c>
      <c r="B71" s="23" t="str">
        <f>NodesData[[#This Row],[Node ID]]</f>
        <v>n24D85D8A_2BBF_487D_999E_F0E1E9711A44</v>
      </c>
      <c r="C71" s="10" t="s">
        <v>632</v>
      </c>
      <c r="D71" s="26" t="str" cm="1">
        <f t="array" ref="D71">IF(ROW(NodesJSON[[#This Row],[label]])&gt;ROW(NodesJSON[[#Headers],[JSON]])+1,",","") &amp;"{"&amp;twoRangesToJSON(NodesJSON[[#Headers],[label]:[url]],NodesJSON[[#This Row],[label]:[url]])&amp;"}"</f>
        <v>,{"label":"Brute Force Attack","id":"n24D85D8A_2BBF_487D_999E_F0E1E9711A44","url":"https://open-measure.atlassian.net/wiki/spaces/DIC/pages/1228079170/BZR"}</v>
      </c>
      <c r="E71" s="2"/>
    </row>
    <row r="72" spans="1:5" ht="13.9" thickTop="1" thickBot="1" x14ac:dyDescent="0.4">
      <c r="A72" s="3" t="str">
        <f>NodesData[[#This Row],[Common Name]]</f>
        <v>Built-in</v>
      </c>
      <c r="B72" s="23" t="str">
        <f>NodesData[[#This Row],[Node ID]]</f>
        <v>n99E2345A_FF0B_4044_A4E5_0D26498BF352</v>
      </c>
      <c r="C72" s="10" t="s">
        <v>633</v>
      </c>
      <c r="D72" s="26" t="str" cm="1">
        <f t="array" ref="D72">IF(ROW(NodesJSON[[#This Row],[label]])&gt;ROW(NodesJSON[[#Headers],[JSON]])+1,",","") &amp;"{"&amp;twoRangesToJSON(NodesJSON[[#Headers],[label]:[url]],NodesJSON[[#This Row],[label]:[url]])&amp;"}"</f>
        <v>,{"label":"Built-in","id":"n99E2345A_FF0B_4044_A4E5_0D26498BF352","url":"https://open-measure.atlassian.net/wiki/spaces/DIC/pages/1254588417/Cached+Credential"}</v>
      </c>
      <c r="E72" s="2"/>
    </row>
    <row r="73" spans="1:5" ht="13.9" thickTop="1" thickBot="1" x14ac:dyDescent="0.4">
      <c r="A73" s="3" t="str">
        <f>NodesData[[#This Row],[Common Name]]</f>
        <v>BZR</v>
      </c>
      <c r="B73" s="23" t="str">
        <f>NodesData[[#This Row],[Node ID]]</f>
        <v>nB340D7B3_A560_4CAB_8C9A_4A7ECB00C604</v>
      </c>
      <c r="C73" s="10" t="s">
        <v>634</v>
      </c>
      <c r="D73" s="26" t="str" cm="1">
        <f t="array" ref="D73">IF(ROW(NodesJSON[[#This Row],[label]])&gt;ROW(NodesJSON[[#Headers],[JSON]])+1,",","") &amp;"{"&amp;twoRangesToJSON(NodesJSON[[#Headers],[label]:[url]],NodesJSON[[#This Row],[label]:[url]])&amp;"}"</f>
        <v>,{"label":"BZR","id":"nB340D7B3_A560_4CAB_8C9A_4A7ECB00C604","url":"https://open-measure.atlassian.net/wiki/spaces/DIC/pages/442466346/CDD"}</v>
      </c>
      <c r="E73" s="2"/>
    </row>
    <row r="74" spans="1:5" ht="13.9" thickTop="1" thickBot="1" x14ac:dyDescent="0.4">
      <c r="A74" s="3" t="str">
        <f>NodesData[[#This Row],[Common Name]]</f>
        <v>Cached Credential</v>
      </c>
      <c r="B74" s="23" t="str">
        <f>NodesData[[#This Row],[Node ID]]</f>
        <v>n2A6F0314_872D_4E0E_A944_F17EF346E29C</v>
      </c>
      <c r="C74" s="10" t="s">
        <v>636</v>
      </c>
      <c r="D74" s="26" t="str" cm="1">
        <f t="array" ref="D74">IF(ROW(NodesJSON[[#This Row],[label]])&gt;ROW(NodesJSON[[#Headers],[JSON]])+1,",","") &amp;"{"&amp;twoRangesToJSON(NodesJSON[[#Headers],[label]:[url]],NodesJSON[[#This Row],[label]:[url]])&amp;"}"</f>
        <v>,{"label":"Cached Credential","id":"n2A6F0314_872D_4E0E_A944_F17EF346E29C","url":"https://open-measure.atlassian.net/wiki/spaces/DIC/pages/1152483641"}</v>
      </c>
      <c r="E74" s="2"/>
    </row>
    <row r="75" spans="1:5" ht="13.9" thickTop="1" thickBot="1" x14ac:dyDescent="0.4">
      <c r="A75" s="3" t="str">
        <f>NodesData[[#This Row],[Common Name]]</f>
        <v>Capability to store information</v>
      </c>
      <c r="B75" s="23" t="str">
        <f>NodesData[[#This Row],[Node ID]]</f>
        <v>nFB32F479_4EF7_409C_900B_EE48AA0DE846</v>
      </c>
      <c r="C75" s="4"/>
      <c r="D75" s="26" t="str" cm="1">
        <f t="array" ref="D75">IF(ROW(NodesJSON[[#This Row],[label]])&gt;ROW(NodesJSON[[#Headers],[JSON]])+1,",","") &amp;"{"&amp;twoRangesToJSON(NodesJSON[[#Headers],[label]:[url]],NodesJSON[[#This Row],[label]:[url]])&amp;"}"</f>
        <v>,{"label":"Capability to store information","id":"nFB32F479_4EF7_409C_900B_EE48AA0DE846","url":""}</v>
      </c>
      <c r="E75" s="2"/>
    </row>
    <row r="76" spans="1:5" ht="13.9" thickTop="1" thickBot="1" x14ac:dyDescent="0.4">
      <c r="A76" s="3" t="str">
        <f>NodesData[[#This Row],[Common Name]]</f>
        <v>Capability to transform information</v>
      </c>
      <c r="B76" s="23" t="str">
        <f>NodesData[[#This Row],[Node ID]]</f>
        <v>nFA6C8A63_7071_4E20_BB02_F78403869E0B</v>
      </c>
      <c r="C76" s="10" t="s">
        <v>638</v>
      </c>
      <c r="D76" s="26" t="str" cm="1">
        <f t="array" ref="D76">IF(ROW(NodesJSON[[#This Row],[label]])&gt;ROW(NodesJSON[[#Headers],[JSON]])+1,",","") &amp;"{"&amp;twoRangesToJSON(NodesJSON[[#Headers],[label]:[url]],NodesJSON[[#This Row],[label]:[url]])&amp;"}"</f>
        <v>,{"label":"Capability to transform information","id":"nFA6C8A63_7071_4E20_BB02_F78403869E0B","url":"https://open-measure.atlassian.net/wiki/spaces/DIC/pages/823459864"}</v>
      </c>
      <c r="E76" s="2"/>
    </row>
    <row r="77" spans="1:5" ht="13.9" thickTop="1" thickBot="1" x14ac:dyDescent="0.4">
      <c r="A77" s="3" t="str">
        <f>NodesData[[#This Row],[Common Name]]</f>
        <v>Capability to transmit information</v>
      </c>
      <c r="B77" s="23" t="str">
        <f>NodesData[[#This Row],[Node ID]]</f>
        <v>nAC062A15_C72B_42D8_BBDF_C7EB64B35F26</v>
      </c>
      <c r="C77" s="10" t="s">
        <v>639</v>
      </c>
      <c r="D77" s="26" t="str" cm="1">
        <f t="array" ref="D77">IF(ROW(NodesJSON[[#This Row],[label]])&gt;ROW(NodesJSON[[#Headers],[JSON]])+1,",","") &amp;"{"&amp;twoRangesToJSON(NodesJSON[[#Headers],[label]:[url]],NodesJSON[[#This Row],[label]:[url]])&amp;"}"</f>
        <v>,{"label":"Capability to transmit information","id":"nAC062A15_C72B_42D8_BBDF_C7EB64B35F26","url":"https://open-measure.atlassian.net/wiki/spaces/DIC/pages/1290076214/CIBA"}</v>
      </c>
      <c r="E77" s="2"/>
    </row>
    <row r="78" spans="1:5" ht="13.9" thickTop="1" thickBot="1" x14ac:dyDescent="0.4">
      <c r="A78" s="3" t="str">
        <f>NodesData[[#This Row],[Common Name]]</f>
        <v>Capabilty to collect information</v>
      </c>
      <c r="B78" s="23" t="str">
        <f>NodesData[[#This Row],[Node ID]]</f>
        <v>nF3A221C8_C126_458E_818C_DAE6B57CD442</v>
      </c>
      <c r="C78" s="10" t="s">
        <v>640</v>
      </c>
      <c r="D78" s="26" t="str" cm="1">
        <f t="array" ref="D78">IF(ROW(NodesJSON[[#This Row],[label]])&gt;ROW(NodesJSON[[#Headers],[JSON]])+1,",","") &amp;"{"&amp;twoRangesToJSON(NodesJSON[[#Headers],[label]:[url]],NodesJSON[[#This Row],[label]:[url]])&amp;"}"</f>
        <v>,{"label":"Capabilty to collect information","id":"nF3A221C8_C126_458E_818C_DAE6B57CD442","url":"https://open-measure.atlassian.net/wiki/spaces/DIC/pages/1323499650/Claim"}</v>
      </c>
      <c r="E78" s="2"/>
    </row>
    <row r="79" spans="1:5" ht="13.9" thickTop="1" thickBot="1" x14ac:dyDescent="0.4">
      <c r="A79" s="3" t="str">
        <f>NodesData[[#This Row],[Common Name]]</f>
        <v>CDD</v>
      </c>
      <c r="B79" s="23" t="str">
        <f>NodesData[[#This Row],[Node ID]]</f>
        <v>n8A9F74A8_A65F_42A3_9DB0_D40AD68EC967</v>
      </c>
      <c r="C79" s="10" t="s">
        <v>641</v>
      </c>
      <c r="D79" s="26" t="str" cm="1">
        <f t="array" ref="D79">IF(ROW(NodesJSON[[#This Row],[label]])&gt;ROW(NodesJSON[[#Headers],[JSON]])+1,",","") &amp;"{"&amp;twoRangesToJSON(NodesJSON[[#Headers],[label]:[url]],NodesJSON[[#This Row],[label]:[url]])&amp;"}"</f>
        <v>,{"label":"CDD","id":"n8A9F74A8_A65F_42A3_9DB0_D40AD68EC967","url":"https://open-measure.atlassian.net/wiki/spaces/DIC/pages/1309605928/Claim+Registry+Model"}</v>
      </c>
      <c r="E79" s="2"/>
    </row>
    <row r="80" spans="1:5" ht="13.9" thickTop="1" thickBot="1" x14ac:dyDescent="0.4">
      <c r="A80" s="3" t="str">
        <f>NodesData[[#This Row],[Common Name]]</f>
        <v>Centralized Identity Management System</v>
      </c>
      <c r="B80" s="23" t="str">
        <f>NodesData[[#This Row],[Node ID]]</f>
        <v>nD371E402_1DDA_467A_9EFD_7333BAD6987B</v>
      </c>
      <c r="C80" s="10" t="s">
        <v>643</v>
      </c>
      <c r="D80" s="26" t="str" cm="1">
        <f t="array" ref="D80">IF(ROW(NodesJSON[[#This Row],[label]])&gt;ROW(NodesJSON[[#Headers],[JSON]])+1,",","") &amp;"{"&amp;twoRangesToJSON(NodesJSON[[#Headers],[label]:[url]],NodesJSON[[#This Row],[label]:[url]])&amp;"}"</f>
        <v>,{"label":"Centralized Identity Management System","id":"nD371E402_1DDA_467A_9EFD_7333BAD6987B","url":"https://open-measure.atlassian.net/wiki/spaces/DIC/pages/848363630"}</v>
      </c>
      <c r="E80" s="2"/>
    </row>
    <row r="81" spans="1:5" ht="13.9" thickTop="1" thickBot="1" x14ac:dyDescent="0.4">
      <c r="A81" s="3" t="str">
        <f>NodesData[[#This Row],[Common Name]]</f>
        <v>Certificate-based Authentication</v>
      </c>
      <c r="B81" s="23" t="str">
        <f>NodesData[[#This Row],[Node ID]]</f>
        <v>n736BFE87_02BE_46E7_8DB0_A2B034ECD6BC</v>
      </c>
      <c r="C81" s="10" t="s">
        <v>645</v>
      </c>
      <c r="D81" s="26" t="str" cm="1">
        <f t="array" ref="D81">IF(ROW(NodesJSON[[#This Row],[label]])&gt;ROW(NodesJSON[[#Headers],[JSON]])+1,",","") &amp;"{"&amp;twoRangesToJSON(NodesJSON[[#Headers],[label]:[url]],NodesJSON[[#This Row],[label]:[url]])&amp;"}"</f>
        <v>,{"label":"Certificate-based Authentication","id":"n736BFE87_02BE_46E7_8DB0_A2B034ECD6BC","url":"https://open-measure.atlassian.net/wiki/spaces/DIC/pages/140771387"}</v>
      </c>
      <c r="E81" s="2"/>
    </row>
    <row r="82" spans="1:5" ht="13.9" thickTop="1" thickBot="1" x14ac:dyDescent="0.4">
      <c r="A82" s="3" t="str">
        <f>NodesData[[#This Row],[Common Name]]</f>
        <v>Certification</v>
      </c>
      <c r="B82" s="23" t="str">
        <f>NodesData[[#This Row],[Node ID]]</f>
        <v>nBF62899B_4BED_47AF_AF3B_1E10D830EA41</v>
      </c>
      <c r="C82" s="4"/>
      <c r="D82" s="26" t="str" cm="1">
        <f t="array" ref="D82">IF(ROW(NodesJSON[[#This Row],[label]])&gt;ROW(NodesJSON[[#Headers],[JSON]])+1,",","") &amp;"{"&amp;twoRangesToJSON(NodesJSON[[#Headers],[label]:[url]],NodesJSON[[#This Row],[label]:[url]])&amp;"}"</f>
        <v>,{"label":"Certification","id":"nBF62899B_4BED_47AF_AF3B_1E10D830EA41","url":""}</v>
      </c>
      <c r="E82" s="2"/>
    </row>
    <row r="83" spans="1:5" ht="13.9" thickTop="1" thickBot="1" x14ac:dyDescent="0.4">
      <c r="A83" s="3" t="str">
        <f>NodesData[[#This Row],[Common Name]]</f>
        <v>CIBA</v>
      </c>
      <c r="B83" s="23" t="str">
        <f>NodesData[[#This Row],[Node ID]]</f>
        <v>n7393F50C_2074_415B_8362_C7F0AD5AD8C9</v>
      </c>
      <c r="C83" s="10" t="s">
        <v>648</v>
      </c>
      <c r="D83" s="26" t="str" cm="1">
        <f t="array" ref="D83">IF(ROW(NodesJSON[[#This Row],[label]])&gt;ROW(NodesJSON[[#Headers],[JSON]])+1,",","") &amp;"{"&amp;twoRangesToJSON(NodesJSON[[#Headers],[label]:[url]],NodesJSON[[#This Row],[label]:[url]])&amp;"}"</f>
        <v>,{"label":"CIBA","id":"n7393F50C_2074_415B_8362_C7F0AD5AD8C9","url":"https://open-measure.atlassian.net/wiki/spaces/DIC/pages/1152516136"}</v>
      </c>
      <c r="E83" s="2"/>
    </row>
    <row r="84" spans="1:5" ht="13.9" thickTop="1" thickBot="1" x14ac:dyDescent="0.4">
      <c r="A84" s="3" t="str">
        <f>NodesData[[#This Row],[Common Name]]</f>
        <v>Claim</v>
      </c>
      <c r="B84" s="23" t="str">
        <f>NodesData[[#This Row],[Node ID]]</f>
        <v>nBCD1222E_E013_4743_9588_168A8E8A4CCC</v>
      </c>
      <c r="C84" s="10" t="s">
        <v>650</v>
      </c>
      <c r="D84" s="26" t="str" cm="1">
        <f t="array" ref="D84">IF(ROW(NodesJSON[[#This Row],[label]])&gt;ROW(NodesJSON[[#Headers],[JSON]])+1,",","") &amp;"{"&amp;twoRangesToJSON(NodesJSON[[#Headers],[label]:[url]],NodesJSON[[#This Row],[label]:[url]])&amp;"}"</f>
        <v>,{"label":"Claim","id":"nBCD1222E_E013_4743_9588_168A8E8A4CCC","url":"https://open-measure.atlassian.net/wiki/spaces/DIC/pages/1152516118"}</v>
      </c>
      <c r="E84" s="2"/>
    </row>
    <row r="85" spans="1:5" ht="13.9" thickTop="1" thickBot="1" x14ac:dyDescent="0.4">
      <c r="A85" s="3" t="str">
        <f>NodesData[[#This Row],[Common Name]]</f>
        <v>Claim Registry Model</v>
      </c>
      <c r="B85" s="23" t="str">
        <f>NodesData[[#This Row],[Node ID]]</f>
        <v>n09BFADD4_A980_40F3_A98A_B65C0F02447F</v>
      </c>
      <c r="C85" s="10" t="s">
        <v>652</v>
      </c>
      <c r="D85" s="26" t="str" cm="1">
        <f t="array" ref="D85">IF(ROW(NodesJSON[[#This Row],[label]])&gt;ROW(NodesJSON[[#Headers],[JSON]])+1,",","") &amp;"{"&amp;twoRangesToJSON(NodesJSON[[#Headers],[label]:[url]],NodesJSON[[#This Row],[label]:[url]])&amp;"}"</f>
        <v>,{"label":"Claim Registry Model","id":"n09BFADD4_A980_40F3_A98A_B65C0F02447F","url":"https://open-measure.atlassian.net/wiki/spaces/DIC/pages/1147043959"}</v>
      </c>
      <c r="E85" s="2"/>
    </row>
    <row r="86" spans="1:5" ht="13.9" thickTop="1" thickBot="1" x14ac:dyDescent="0.4">
      <c r="A86" s="3" t="str">
        <f>NodesData[[#This Row],[Common Name]]</f>
        <v>Claimant</v>
      </c>
      <c r="B86" s="23" t="str">
        <f>NodesData[[#This Row],[Node ID]]</f>
        <v>n67C38909_17F6_4502_B532_983E8C4AB8F8</v>
      </c>
      <c r="C86" s="10" t="s">
        <v>654</v>
      </c>
      <c r="D86" s="26" t="str" cm="1">
        <f t="array" ref="D86">IF(ROW(NodesJSON[[#This Row],[label]])&gt;ROW(NodesJSON[[#Headers],[JSON]])+1,",","") &amp;"{"&amp;twoRangesToJSON(NodesJSON[[#Headers],[label]:[url]],NodesJSON[[#This Row],[label]:[url]])&amp;"}"</f>
        <v>,{"label":"Claimant","id":"n67C38909_17F6_4502_B532_983E8C4AB8F8","url":"https://open-measure.atlassian.net/wiki/spaces/DIC/pages/206307528"}</v>
      </c>
      <c r="E86" s="2"/>
    </row>
    <row r="87" spans="1:5" ht="13.9" thickTop="1" thickBot="1" x14ac:dyDescent="0.4">
      <c r="A87" s="3" t="str">
        <f>NodesData[[#This Row],[Common Name]]</f>
        <v>Classification</v>
      </c>
      <c r="B87" s="23" t="str">
        <f>NodesData[[#This Row],[Node ID]]</f>
        <v>n3AF44A35_CD82_4A03_B96B_2C8E7E9F40FE</v>
      </c>
      <c r="C87" s="10" t="s">
        <v>655</v>
      </c>
      <c r="D87" s="26" t="str" cm="1">
        <f t="array" ref="D87">IF(ROW(NodesJSON[[#This Row],[label]])&gt;ROW(NodesJSON[[#Headers],[JSON]])+1,",","") &amp;"{"&amp;twoRangesToJSON(NodesJSON[[#Headers],[label]:[url]],NodesJSON[[#This Row],[label]:[url]])&amp;"}"</f>
        <v>,{"label":"Classification","id":"n3AF44A35_CD82_4A03_B96B_2C8E7E9F40FE","url":"https://open-measure.atlassian.net/wiki/spaces/DIC/pages/206766142/Cloud+Service+User"}</v>
      </c>
      <c r="E87" s="2"/>
    </row>
    <row r="88" spans="1:5" ht="13.9" thickTop="1" thickBot="1" x14ac:dyDescent="0.4">
      <c r="A88" s="3" t="str">
        <f>NodesData[[#This Row],[Common Name]]</f>
        <v>Client Initiated Backchannel Authentication</v>
      </c>
      <c r="B88" s="23" t="str">
        <f>NodesData[[#This Row],[Node ID]]</f>
        <v>n6362F1FB_53FB_45C5_A797_A947C7ECB972</v>
      </c>
      <c r="C88" s="10" t="s">
        <v>657</v>
      </c>
      <c r="D88" s="26" t="str" cm="1">
        <f t="array" ref="D88">IF(ROW(NodesJSON[[#This Row],[label]])&gt;ROW(NodesJSON[[#Headers],[JSON]])+1,",","") &amp;"{"&amp;twoRangesToJSON(NodesJSON[[#Headers],[label]:[url]],NodesJSON[[#This Row],[label]:[url]])&amp;"}"</f>
        <v>,{"label":"Client Initiated Backchannel Authentication","id":"n6362F1FB_53FB_45C5_A797_A947C7ECB972","url":"https://open-measure.atlassian.net/wiki/spaces/DIC/pages/998277125"}</v>
      </c>
      <c r="E88" s="2"/>
    </row>
    <row r="89" spans="1:5" ht="13.9" thickTop="1" thickBot="1" x14ac:dyDescent="0.4">
      <c r="A89" s="3" t="str">
        <f>NodesData[[#This Row],[Common Name]]</f>
        <v>Cloud Identity Management System</v>
      </c>
      <c r="B89" s="23" t="str">
        <f>NodesData[[#This Row],[Node ID]]</f>
        <v>n80E713F8_140B_4FA1_AD0A_95353ACF23CE</v>
      </c>
      <c r="C89" s="10" t="s">
        <v>659</v>
      </c>
      <c r="D89" s="26" t="str" cm="1">
        <f t="array" ref="D89">IF(ROW(NodesJSON[[#This Row],[label]])&gt;ROW(NodesJSON[[#Headers],[JSON]])+1,",","") &amp;"{"&amp;twoRangesToJSON(NodesJSON[[#Headers],[label]:[url]],NodesJSON[[#This Row],[label]:[url]])&amp;"}"</f>
        <v>,{"label":"Cloud Identity Management System","id":"n80E713F8_140B_4FA1_AD0A_95353ACF23CE","url":"https://open-measure.atlassian.net/wiki/spaces/DIC/pages/461307985"}</v>
      </c>
      <c r="E89" s="2"/>
    </row>
    <row r="90" spans="1:5" ht="13.9" thickTop="1" thickBot="1" x14ac:dyDescent="0.4">
      <c r="A90" s="3" t="str">
        <f>NodesData[[#This Row],[Common Name]]</f>
        <v>Cloud IdMS</v>
      </c>
      <c r="B90" s="23" t="str">
        <f>NodesData[[#This Row],[Node ID]]</f>
        <v>nC7A5534A_F936_4092_AF5A_4868FEC6CF24</v>
      </c>
      <c r="C90" s="10" t="s">
        <v>661</v>
      </c>
      <c r="D90" s="26" t="str" cm="1">
        <f t="array" ref="D90">IF(ROW(NodesJSON[[#This Row],[label]])&gt;ROW(NodesJSON[[#Headers],[JSON]])+1,",","") &amp;"{"&amp;twoRangesToJSON(NodesJSON[[#Headers],[label]:[url]],NodesJSON[[#This Row],[label]:[url]])&amp;"}"</f>
        <v>,{"label":"Cloud IdMS","id":"nC7A5534A_F936_4092_AF5A_4868FEC6CF24","url":"https://open-measure.atlassian.net/wiki/spaces/DIC/pages/974454827"}</v>
      </c>
      <c r="E90" s="2"/>
    </row>
    <row r="91" spans="1:5" ht="13.9" thickTop="1" thickBot="1" x14ac:dyDescent="0.4">
      <c r="A91" s="3" t="str">
        <f>NodesData[[#This Row],[Common Name]]</f>
        <v>Cloud Service Consumers</v>
      </c>
      <c r="B91" s="23" t="str">
        <f>NodesData[[#This Row],[Node ID]]</f>
        <v>n4180E5F4_C1E3_4F95_9CBB_CD85E0BCC655</v>
      </c>
      <c r="C91" s="10" t="s">
        <v>646</v>
      </c>
      <c r="D91" s="26" t="str" cm="1">
        <f t="array" ref="D91">IF(ROW(NodesJSON[[#This Row],[label]])&gt;ROW(NodesJSON[[#Headers],[JSON]])+1,",","") &amp;"{"&amp;twoRangesToJSON(NodesJSON[[#Headers],[label]:[url]],NodesJSON[[#This Row],[label]:[url]])&amp;"}"</f>
        <v>,{"label":"Cloud Service Consumers","id":"n4180E5F4_C1E3_4F95_9CBB_CD85E0BCC655","url":"https://open-measure.atlassian.net/wiki/spaces/DIC/pages/1290076229/Client+Initiated+Backchannel+Authentication"}</v>
      </c>
      <c r="E91" s="2"/>
    </row>
    <row r="92" spans="1:5" ht="13.9" thickTop="1" thickBot="1" x14ac:dyDescent="0.4">
      <c r="A92" s="3" t="str">
        <f>NodesData[[#This Row],[Common Name]]</f>
        <v>Cloud Service Provider</v>
      </c>
      <c r="B92" s="23" t="str">
        <f>NodesData[[#This Row],[Node ID]]</f>
        <v>nC844F971_544C_4338_94D2_6A965B7BCF89</v>
      </c>
      <c r="C92" s="10" t="s">
        <v>665</v>
      </c>
      <c r="D92" s="26" t="str" cm="1">
        <f t="array" ref="D92">IF(ROW(NodesJSON[[#This Row],[label]])&gt;ROW(NodesJSON[[#Headers],[JSON]])+1,",","") &amp;"{"&amp;twoRangesToJSON(NodesJSON[[#Headers],[label]:[url]],NodesJSON[[#This Row],[label]:[url]])&amp;"}"</f>
        <v>,{"label":"Cloud Service Provider","id":"nC844F971_544C_4338_94D2_6A965B7BCF89","url":"https://open-measure.atlassian.net/wiki/spaces/DIC/pages/82838169"}</v>
      </c>
      <c r="E92" s="2"/>
    </row>
    <row r="93" spans="1:5" ht="13.9" thickTop="1" thickBot="1" x14ac:dyDescent="0.4">
      <c r="A93" s="3" t="str">
        <f>NodesData[[#This Row],[Common Name]]</f>
        <v>Cloud Service User</v>
      </c>
      <c r="B93" s="23" t="str">
        <f>NodesData[[#This Row],[Node ID]]</f>
        <v>nE857DAE9_4FEB_442D_A1CF_D7B687ABF6B7</v>
      </c>
      <c r="C93" s="10" t="s">
        <v>667</v>
      </c>
      <c r="D93" s="26" t="str" cm="1">
        <f t="array" ref="D93">IF(ROW(NodesJSON[[#This Row],[label]])&gt;ROW(NodesJSON[[#Headers],[JSON]])+1,",","") &amp;"{"&amp;twoRangesToJSON(NodesJSON[[#Headers],[label]:[url]],NodesJSON[[#This Row],[label]:[url]])&amp;"}"</f>
        <v>,{"label":"Cloud Service User","id":"nE857DAE9_4FEB_442D_A1CF_D7B687ABF6B7","url":"https://open-measure.atlassian.net/wiki/spaces/DIC/pages/138346642"}</v>
      </c>
      <c r="E93" s="2"/>
    </row>
    <row r="94" spans="1:5" ht="13.9" thickTop="1" thickBot="1" x14ac:dyDescent="0.4">
      <c r="A94" s="3" t="str">
        <f>NodesData[[#This Row],[Common Name]]</f>
        <v>Coherent Whole</v>
      </c>
      <c r="B94" s="23" t="str">
        <f>NodesData[[#This Row],[Node ID]]</f>
        <v>n2E4A35A7_53BB_4F4B_8554_B6584F77D71D</v>
      </c>
      <c r="C94" s="10" t="s">
        <v>668</v>
      </c>
      <c r="D94" s="26" t="str" cm="1">
        <f t="array" ref="D94">IF(ROW(NodesJSON[[#This Row],[label]])&gt;ROW(NodesJSON[[#Headers],[JSON]])+1,",","") &amp;"{"&amp;twoRangesToJSON(NodesJSON[[#Headers],[label]:[url]],NodesJSON[[#This Row],[label]:[url]])&amp;"}"</f>
        <v>,{"label":"Coherent Whole","id":"n2E4A35A7_53BB_4F4B_8554_B6584F77D71D","url":"https://open-measure.atlassian.net/wiki/spaces/DIC/pages/67633343/Credential"}</v>
      </c>
      <c r="E94" s="2"/>
    </row>
    <row r="95" spans="1:5" ht="13.9" thickTop="1" thickBot="1" x14ac:dyDescent="0.4">
      <c r="A95" s="3" t="str">
        <f>NodesData[[#This Row],[Common Name]]</f>
        <v>Commission Error</v>
      </c>
      <c r="B95" s="23" t="str">
        <f>NodesData[[#This Row],[Node ID]]</f>
        <v>n4D29847A_7439_438F_9BF4_1A9AC6B66382</v>
      </c>
      <c r="C95" s="10" t="s">
        <v>669</v>
      </c>
      <c r="D95" s="26" t="str" cm="1">
        <f t="array" ref="D95">IF(ROW(NodesJSON[[#This Row],[label]])&gt;ROW(NodesJSON[[#Headers],[JSON]])+1,",","") &amp;"{"&amp;twoRangesToJSON(NodesJSON[[#Headers],[label]:[url]],NodesJSON[[#This Row],[label]:[url]])&amp;"}"</f>
        <v>,{"label":"Commission Error","id":"n4D29847A_7439_438F_9BF4_1A9AC6B66382","url":"https://open-measure.atlassian.net/wiki/spaces/DIC/pages/1254719498/Credential+Harvesting"}</v>
      </c>
      <c r="E95" s="2"/>
    </row>
    <row r="96" spans="1:5" ht="13.9" thickTop="1" thickBot="1" x14ac:dyDescent="0.4">
      <c r="A96" s="3" t="str">
        <f>NodesData[[#This Row],[Common Name]]</f>
        <v>Compromised Identity</v>
      </c>
      <c r="B96" s="23" t="str">
        <f>NodesData[[#This Row],[Node ID]]</f>
        <v>n5AE73A5D_7DC4_4E67_BA86_77F767004525</v>
      </c>
      <c r="C96" s="10" t="s">
        <v>671</v>
      </c>
      <c r="D96" s="26" t="str" cm="1">
        <f t="array" ref="D96">IF(ROW(NodesJSON[[#This Row],[label]])&gt;ROW(NodesJSON[[#Headers],[JSON]])+1,",","") &amp;"{"&amp;twoRangesToJSON(NodesJSON[[#Headers],[label]:[url]],NodesJSON[[#This Row],[label]:[url]])&amp;"}"</f>
        <v>,{"label":"Compromised Identity","id":"n5AE73A5D_7DC4_4E67_BA86_77F767004525","url":"https://open-measure.atlassian.net/wiki/spaces/DIC/pages/82870977"}</v>
      </c>
      <c r="E96" s="2"/>
    </row>
    <row r="97" spans="1:5" ht="13.9" thickTop="1" thickBot="1" x14ac:dyDescent="0.4">
      <c r="A97" s="3" t="str">
        <f>NodesData[[#This Row],[Common Name]]</f>
        <v>Concurrent Impersonation Attack</v>
      </c>
      <c r="B97" s="23" t="str">
        <f>NodesData[[#This Row],[Node ID]]</f>
        <v>n7613977B_913F_4201_81B8_F2639D95D430</v>
      </c>
      <c r="C97" s="10" t="s">
        <v>672</v>
      </c>
      <c r="D97" s="26" t="str" cm="1">
        <f t="array" ref="D97">IF(ROW(NodesJSON[[#This Row],[label]])&gt;ROW(NodesJSON[[#Headers],[JSON]])+1,",","") &amp;"{"&amp;twoRangesToJSON(NodesJSON[[#Headers],[label]:[url]],NodesJSON[[#This Row],[label]:[url]])&amp;"}"</f>
        <v>,{"label":"Concurrent Impersonation Attack","id":"n7613977B_913F_4201_81B8_F2639D95D430","url":"https://open-measure.atlassian.net/wiki/spaces/DIC/pages/1348862053/Credential+Stuffing"}</v>
      </c>
      <c r="E97" s="2"/>
    </row>
    <row r="98" spans="1:5" ht="13.9" thickTop="1" thickBot="1" x14ac:dyDescent="0.4">
      <c r="A98" s="3" t="str">
        <f>NodesData[[#This Row],[Common Name]]</f>
        <v>Continuous Authentication</v>
      </c>
      <c r="B98" s="23" t="str">
        <f>NodesData[[#This Row],[Node ID]]</f>
        <v>n80A2BE7C_191D_425D_A7B8_93B0ACBEE01B</v>
      </c>
      <c r="C98" s="10" t="s">
        <v>674</v>
      </c>
      <c r="D98" s="26" t="str" cm="1">
        <f t="array" ref="D98">IF(ROW(NodesJSON[[#This Row],[label]])&gt;ROW(NodesJSON[[#Headers],[JSON]])+1,",","") &amp;"{"&amp;twoRangesToJSON(NodesJSON[[#Headers],[label]:[url]],NodesJSON[[#This Row],[label]:[url]])&amp;"}"</f>
        <v>,{"label":"Continuous Authentication","id":"n80A2BE7C_191D_425D_A7B8_93B0ACBEE01B","url":"https://open-measure.atlassian.net/wiki/spaces/DIC/pages/461340725"}</v>
      </c>
      <c r="E98" s="2"/>
    </row>
    <row r="99" spans="1:5" ht="13.9" thickTop="1" thickBot="1" x14ac:dyDescent="0.4">
      <c r="A99" s="3" t="str">
        <f>NodesData[[#This Row],[Common Name]]</f>
        <v>Control Class</v>
      </c>
      <c r="B99" s="23" t="str">
        <f>NodesData[[#This Row],[Node ID]]</f>
        <v>nCEEB6DF9_D56B_4A1B_9B36_35674D25F038</v>
      </c>
      <c r="C99" s="10" t="s">
        <v>676</v>
      </c>
      <c r="D99" s="26" t="str" cm="1">
        <f t="array" ref="D99">IF(ROW(NodesJSON[[#This Row],[label]])&gt;ROW(NodesJSON[[#Headers],[JSON]])+1,",","") &amp;"{"&amp;twoRangesToJSON(NodesJSON[[#Headers],[label]:[url]],NodesJSON[[#This Row],[label]:[url]])&amp;"}"</f>
        <v>,{"label":"Control Class","id":"nCEEB6DF9_D56B_4A1B_9B36_35674D25F038","url":"https://open-measure.atlassian.net/wiki/spaces/DIC/pages/427130918"}</v>
      </c>
      <c r="E99" s="2"/>
    </row>
    <row r="100" spans="1:5" ht="13.9" thickTop="1" thickBot="1" x14ac:dyDescent="0.4">
      <c r="A100" s="3" t="str">
        <f>NodesData[[#This Row],[Common Name]]</f>
        <v>Control Party</v>
      </c>
      <c r="B100" s="23" t="str">
        <f>NodesData[[#This Row],[Node ID]]</f>
        <v>n2036668D_41FC_42AC_A26E_DCB28C92BB42</v>
      </c>
      <c r="C100" s="10" t="s">
        <v>677</v>
      </c>
      <c r="D100" s="26" t="str" cm="1">
        <f t="array" ref="D100">IF(ROW(NodesJSON[[#This Row],[label]])&gt;ROW(NodesJSON[[#Headers],[JSON]])+1,",","") &amp;"{"&amp;twoRangesToJSON(NodesJSON[[#Headers],[label]:[url]],NodesJSON[[#This Row],[label]:[url]])&amp;"}"</f>
        <v>,{"label":"Control Party","id":"n2036668D_41FC_42AC_A26E_DCB28C92BB42","url":"https://open-measure.atlassian.net/wiki/spaces/DIC/pages/1152516162/CSC"}</v>
      </c>
      <c r="E100" s="2"/>
    </row>
    <row r="101" spans="1:5" ht="13.9" thickTop="1" thickBot="1" x14ac:dyDescent="0.4">
      <c r="A101" s="3" t="str">
        <f>NodesData[[#This Row],[Common Name]]</f>
        <v>Core Identity</v>
      </c>
      <c r="B101" s="23" t="str">
        <f>NodesData[[#This Row],[Node ID]]</f>
        <v>n3B5C4453_42D1_4B17_BE96_3CB27267BE34</v>
      </c>
      <c r="C101" s="10" t="s">
        <v>678</v>
      </c>
      <c r="D101" s="26" t="str" cm="1">
        <f t="array" ref="D101">IF(ROW(NodesJSON[[#This Row],[label]])&gt;ROW(NodesJSON[[#Headers],[JSON]])+1,",","") &amp;"{"&amp;twoRangesToJSON(NodesJSON[[#Headers],[label]:[url]],NodesJSON[[#This Row],[label]:[url]])&amp;"}"</f>
        <v>,{"label":"Core Identity","id":"n3B5C4453_42D1_4B17_BE96_3CB27267BE34","url":"https://open-measure.atlassian.net/wiki/spaces/DIC/pages/82903984/CSP"}</v>
      </c>
      <c r="E101" s="2"/>
    </row>
    <row r="102" spans="1:5" ht="13.9" thickTop="1" thickBot="1" x14ac:dyDescent="0.4">
      <c r="A102" s="3" t="str">
        <f>NodesData[[#This Row],[Common Name]]</f>
        <v>Credential</v>
      </c>
      <c r="B102" s="23" t="str">
        <f>NodesData[[#This Row],[Node ID]]</f>
        <v>n71B0143B_00D4_447A_802A_D03702D2600F</v>
      </c>
      <c r="C102" s="10" t="s">
        <v>679</v>
      </c>
      <c r="D102" s="26" t="str" cm="1">
        <f t="array" ref="D102">IF(ROW(NodesJSON[[#This Row],[label]])&gt;ROW(NodesJSON[[#Headers],[JSON]])+1,",","") &amp;"{"&amp;twoRangesToJSON(NodesJSON[[#Headers],[label]:[url]],NodesJSON[[#This Row],[label]:[url]])&amp;"}"</f>
        <v>,{"label":"Credential","id":"n71B0143B_00D4_447A_802A_D03702D2600F","url":"https://open-measure.atlassian.net/wiki/spaces/DIC/pages/206667867/CSU"}</v>
      </c>
      <c r="E102" s="2"/>
    </row>
    <row r="103" spans="1:5" ht="13.9" thickTop="1" thickBot="1" x14ac:dyDescent="0.4">
      <c r="A103" s="3" t="str">
        <f>NodesData[[#This Row],[Common Name]]</f>
        <v>Credential Harvesting</v>
      </c>
      <c r="B103" s="23" t="str">
        <f>NodesData[[#This Row],[Node ID]]</f>
        <v>n835E7716_4234_4D63_9E3D_53FD75BD48A0</v>
      </c>
      <c r="C103" s="10" t="s">
        <v>681</v>
      </c>
      <c r="D103" s="26" t="str" cm="1">
        <f t="array" ref="D103">IF(ROW(NodesJSON[[#This Row],[label]])&gt;ROW(NodesJSON[[#Headers],[JSON]])+1,",","") &amp;"{"&amp;twoRangesToJSON(NodesJSON[[#Headers],[label]:[url]],NodesJSON[[#This Row],[label]:[url]])&amp;"}"</f>
        <v>,{"label":"Credential Harvesting","id":"n835E7716_4234_4D63_9E3D_53FD75BD48A0","url":"https://open-measure.atlassian.net/wiki/spaces/DIC/pages/414482448"}</v>
      </c>
      <c r="E103" s="2"/>
    </row>
    <row r="104" spans="1:5" ht="13.9" thickTop="1" thickBot="1" x14ac:dyDescent="0.4">
      <c r="A104" s="3" t="str">
        <f>NodesData[[#This Row],[Common Name]]</f>
        <v>Credential Service Provider</v>
      </c>
      <c r="B104" s="23" t="str">
        <f>NodesData[[#This Row],[Node ID]]</f>
        <v>nC28A38BD_F29A_4E07_BDC5_A430C7F08178</v>
      </c>
      <c r="C104" s="10" t="s">
        <v>683</v>
      </c>
      <c r="D104" s="26" t="str" cm="1">
        <f t="array" ref="D104">IF(ROW(NodesJSON[[#This Row],[label]])&gt;ROW(NodesJSON[[#Headers],[JSON]])+1,",","") &amp;"{"&amp;twoRangesToJSON(NodesJSON[[#Headers],[label]:[url]],NodesJSON[[#This Row],[label]:[url]])&amp;"}"</f>
        <v>,{"label":"Credential Service Provider","id":"nC28A38BD_F29A_4E07_BDC5_A430C7F08178","url":"https://open-measure.atlassian.net/wiki/spaces/DIC/pages/414548006"}</v>
      </c>
      <c r="E104" s="2"/>
    </row>
    <row r="105" spans="1:5" ht="13.9" thickTop="1" thickBot="1" x14ac:dyDescent="0.4">
      <c r="A105" s="3" t="str">
        <f>NodesData[[#This Row],[Common Name]]</f>
        <v>Credential Stuffing</v>
      </c>
      <c r="B105" s="23" t="str">
        <f>NodesData[[#This Row],[Node ID]]</f>
        <v>nE507E167_D5A0_4734_A76D_1E688002EDB6</v>
      </c>
      <c r="C105" s="10" t="s">
        <v>685</v>
      </c>
      <c r="D105" s="26" t="str" cm="1">
        <f t="array" ref="D105">IF(ROW(NodesJSON[[#This Row],[label]])&gt;ROW(NodesJSON[[#Headers],[JSON]])+1,",","") &amp;"{"&amp;twoRangesToJSON(NodesJSON[[#Headers],[label]:[url]],NodesJSON[[#This Row],[label]:[url]])&amp;"}"</f>
        <v>,{"label":"Credential Stuffing","id":"nE507E167_D5A0_4734_A76D_1E688002EDB6","url":"https://open-measure.atlassian.net/wiki/spaces/DIC/pages/138444875"}</v>
      </c>
      <c r="E105" s="2"/>
    </row>
    <row r="106" spans="1:5" ht="13.9" thickTop="1" thickBot="1" x14ac:dyDescent="0.4">
      <c r="A106" s="3" t="str">
        <f>NodesData[[#This Row],[Common Name]]</f>
        <v>Credential Theft</v>
      </c>
      <c r="B106" s="23" t="str">
        <f>NodesData[[#This Row],[Node ID]]</f>
        <v>nC30B0213_3434_4800_8A7F_F5D9753E7F4F</v>
      </c>
      <c r="C106" s="10" t="s">
        <v>687</v>
      </c>
      <c r="D106" s="26" t="str" cm="1">
        <f t="array" ref="D106">IF(ROW(NodesJSON[[#This Row],[label]])&gt;ROW(NodesJSON[[#Headers],[JSON]])+1,",","") &amp;"{"&amp;twoRangesToJSON(NodesJSON[[#Headers],[label]:[url]],NodesJSON[[#This Row],[label]:[url]])&amp;"}"</f>
        <v>,{"label":"Credential Theft","id":"nC30B0213_3434_4800_8A7F_F5D9753E7F4F","url":"https://open-measure.atlassian.net/wiki/spaces/DIC/pages/409010717"}</v>
      </c>
      <c r="E106" s="2"/>
    </row>
    <row r="107" spans="1:5" ht="13.9" thickTop="1" thickBot="1" x14ac:dyDescent="0.4">
      <c r="A107" s="3" t="str">
        <f>NodesData[[#This Row],[Common Name]]</f>
        <v>Cryptographic Key</v>
      </c>
      <c r="B107" s="23" t="str">
        <f>NodesData[[#This Row],[Node ID]]</f>
        <v>nD6E2EFC3_D781_401F_AE1A_9DC8865CF67B</v>
      </c>
      <c r="C107" s="10" t="s">
        <v>689</v>
      </c>
      <c r="D107" s="26" t="str" cm="1">
        <f t="array" ref="D107">IF(ROW(NodesJSON[[#This Row],[label]])&gt;ROW(NodesJSON[[#Headers],[JSON]])+1,",","") &amp;"{"&amp;twoRangesToJSON(NodesJSON[[#Headers],[label]:[url]],NodesJSON[[#This Row],[label]:[url]])&amp;"}"</f>
        <v>,{"label":"Cryptographic Key","id":"nD6E2EFC3_D781_401F_AE1A_9DC8865CF67B","url":"https://open-measure.atlassian.net/wiki/spaces/DIC/pages/408944928"}</v>
      </c>
      <c r="E107" s="2"/>
    </row>
    <row r="108" spans="1:5" ht="13.9" thickTop="1" thickBot="1" x14ac:dyDescent="0.4">
      <c r="A108" s="3" t="str">
        <f>NodesData[[#This Row],[Common Name]]</f>
        <v>CSC</v>
      </c>
      <c r="B108" s="23" t="str">
        <f>NodesData[[#This Row],[Node ID]]</f>
        <v>n3CF9484A_E6FA_4D95_9D47_B5595CE2AD13</v>
      </c>
      <c r="C108" s="10" t="s">
        <v>691</v>
      </c>
      <c r="D108" s="26" t="str" cm="1">
        <f t="array" ref="D108">IF(ROW(NodesJSON[[#This Row],[label]])&gt;ROW(NodesJSON[[#Headers],[JSON]])+1,",","") &amp;"{"&amp;twoRangesToJSON(NodesJSON[[#Headers],[label]:[url]],NodesJSON[[#This Row],[label]:[url]])&amp;"}"</f>
        <v>,{"label":"CSC","id":"n3CF9484A_E6FA_4D95_9D47_B5595CE2AD13","url":"https://open-measure.atlassian.net/wiki/spaces/DIC/pages/797900801"}</v>
      </c>
      <c r="E108" s="2"/>
    </row>
    <row r="109" spans="1:5" ht="13.9" thickTop="1" thickBot="1" x14ac:dyDescent="0.4">
      <c r="A109" s="3" t="str">
        <f>NodesData[[#This Row],[Common Name]]</f>
        <v>CSP</v>
      </c>
      <c r="B109" s="23" t="str">
        <f>NodesData[[#This Row],[Node ID]]</f>
        <v>n602C3EC3_8435_47BF_A604_7D75066CC857</v>
      </c>
      <c r="C109" s="10" t="s">
        <v>692</v>
      </c>
      <c r="D109" s="26" t="str" cm="1">
        <f t="array" ref="D109">IF(ROW(NodesJSON[[#This Row],[label]])&gt;ROW(NodesJSON[[#Headers],[JSON]])+1,",","") &amp;"{"&amp;twoRangesToJSON(NodesJSON[[#Headers],[label]:[url]],NodesJSON[[#This Row],[label]:[url]])&amp;"}"</f>
        <v>,{"label":"CSP","id":"n602C3EC3_8435_47BF_A604_7D75066CC857","url":"https://open-measure.atlassian.net/wiki/spaces/DIC/pages/1451982933/Cyber-sabotage"}</v>
      </c>
      <c r="E109" s="2"/>
    </row>
    <row r="110" spans="1:5" ht="13.9" thickTop="1" thickBot="1" x14ac:dyDescent="0.4">
      <c r="A110" s="3" t="str">
        <f>NodesData[[#This Row],[Common Name]]</f>
        <v>CSU</v>
      </c>
      <c r="B110" s="23" t="str">
        <f>NodesData[[#This Row],[Node ID]]</f>
        <v>nFF6942C5_7966_4E4A_8491_8D4F0333B971</v>
      </c>
      <c r="C110" s="10" t="s">
        <v>693</v>
      </c>
      <c r="D110" s="26" t="str" cm="1">
        <f t="array" ref="D110">IF(ROW(NodesJSON[[#This Row],[label]])&gt;ROW(NodesJSON[[#Headers],[JSON]])+1,",","") &amp;"{"&amp;twoRangesToJSON(NodesJSON[[#Headers],[label]:[url]],NodesJSON[[#This Row],[label]:[url]])&amp;"}"</f>
        <v>,{"label":"CSU","id":"nFF6942C5_7966_4E4A_8491_8D4F0333B971","url":"https://open-measure.atlassian.net/wiki/spaces/DIC/pages/1177845938/DAC"}</v>
      </c>
      <c r="E110" s="2"/>
    </row>
    <row r="111" spans="1:5" ht="13.9" thickTop="1" thickBot="1" x14ac:dyDescent="0.4">
      <c r="A111" s="3" t="str">
        <f>NodesData[[#This Row],[Common Name]]</f>
        <v>Customer Due Diligence</v>
      </c>
      <c r="B111" s="23" t="str">
        <f>NodesData[[#This Row],[Node ID]]</f>
        <v>nAF7F194C_57F9_469D_96EF_9261A46CC7FC</v>
      </c>
      <c r="C111" s="10" t="s">
        <v>694</v>
      </c>
      <c r="D111" s="26" t="str" cm="1">
        <f t="array" ref="D111">IF(ROW(NodesJSON[[#This Row],[label]])&gt;ROW(NodesJSON[[#Headers],[JSON]])+1,",","") &amp;"{"&amp;twoRangesToJSON(NodesJSON[[#Headers],[label]:[url]],NodesJSON[[#This Row],[label]:[url]])&amp;"}"</f>
        <v>,{"label":"Customer Due Diligence","id":"nAF7F194C_57F9_469D_96EF_9261A46CC7FC","url":"https://open-measure.atlassian.net/wiki/spaces/DIC/pages/1267400850/Data+Anonymization"}</v>
      </c>
      <c r="E111" s="2"/>
    </row>
    <row r="112" spans="1:5" ht="13.9" thickTop="1" thickBot="1" x14ac:dyDescent="0.4">
      <c r="A112" s="3" t="str">
        <f>NodesData[[#This Row],[Common Name]]</f>
        <v>Customer Identification</v>
      </c>
      <c r="B112" s="23" t="str">
        <f>NodesData[[#This Row],[Node ID]]</f>
        <v>nC4DE4DA0_78E1_4926_AF0C_F091AF13103D</v>
      </c>
      <c r="C112" s="10" t="s">
        <v>696</v>
      </c>
      <c r="D112" s="26" t="str" cm="1">
        <f t="array" ref="D112">IF(ROW(NodesJSON[[#This Row],[label]])&gt;ROW(NodesJSON[[#Headers],[JSON]])+1,",","") &amp;"{"&amp;twoRangesToJSON(NodesJSON[[#Headers],[label]:[url]],NodesJSON[[#This Row],[label]:[url]])&amp;"}"</f>
        <v>,{"label":"Customer Identification","id":"nC4DE4DA0_78E1_4926_AF0C_F091AF13103D","url":"https://open-measure.atlassian.net/wiki/spaces/DIC/pages/998244454"}</v>
      </c>
      <c r="E112" s="2"/>
    </row>
    <row r="113" spans="1:5" ht="13.9" thickTop="1" thickBot="1" x14ac:dyDescent="0.4">
      <c r="A113" s="3" t="str">
        <f>NodesData[[#This Row],[Common Name]]</f>
        <v>Customer Identity</v>
      </c>
      <c r="B113" s="23" t="str">
        <f>NodesData[[#This Row],[Node ID]]</f>
        <v>nE1CBAB67_758C_4F2C_BA6A_799375745B56</v>
      </c>
      <c r="C113" s="10" t="s">
        <v>704</v>
      </c>
      <c r="D113" s="26" t="str" cm="1">
        <f t="array" ref="D113">IF(ROW(NodesJSON[[#This Row],[label]])&gt;ROW(NodesJSON[[#Headers],[JSON]])+1,",","") &amp;"{"&amp;twoRangesToJSON(NodesJSON[[#Headers],[label]:[url]],NodesJSON[[#This Row],[label]:[url]])&amp;"}"</f>
        <v>,{"label":"Customer Identity","id":"nE1CBAB67_758C_4F2C_BA6A_799375745B56","url":"https://open-measure.atlassian.net/wiki/spaces/DIC/pages/1132331029"}</v>
      </c>
      <c r="E113" s="2"/>
    </row>
    <row r="114" spans="1:5" ht="13.9" thickTop="1" thickBot="1" x14ac:dyDescent="0.4">
      <c r="A114" s="3" t="str">
        <f>NodesData[[#This Row],[Common Name]]</f>
        <v>Customer Identity Verification</v>
      </c>
      <c r="B114" s="23" t="str">
        <f>NodesData[[#This Row],[Node ID]]</f>
        <v>nCD6230CD_7164_4B21_8324_961CA3471D9D</v>
      </c>
      <c r="C114" s="10" t="s">
        <v>698</v>
      </c>
      <c r="D114" s="26" t="str" cm="1">
        <f t="array" ref="D114">IF(ROW(NodesJSON[[#This Row],[label]])&gt;ROW(NodesJSON[[#Headers],[JSON]])+1,",","") &amp;"{"&amp;twoRangesToJSON(NodesJSON[[#Headers],[label]:[url]],NodesJSON[[#This Row],[label]:[url]])&amp;"}"</f>
        <v>,{"label":"Customer Identity Verification","id":"nCD6230CD_7164_4B21_8324_961CA3471D9D","url":"https://open-measure.atlassian.net/wiki/spaces/DIC/pages/508330028"}</v>
      </c>
      <c r="E114" s="2"/>
    </row>
    <row r="115" spans="1:5" ht="13.9" thickTop="1" thickBot="1" x14ac:dyDescent="0.4">
      <c r="A115" s="3" t="str">
        <f>NodesData[[#This Row],[Common Name]]</f>
        <v>Customer On-Boarding</v>
      </c>
      <c r="B115" s="23" t="str">
        <f>NodesData[[#This Row],[Node ID]]</f>
        <v>n5A0D36D7_5907_497B_BDD0_B9F7946871C7</v>
      </c>
      <c r="C115" s="10" t="s">
        <v>700</v>
      </c>
      <c r="D115" s="26" t="str" cm="1">
        <f t="array" ref="D115">IF(ROW(NodesJSON[[#This Row],[label]])&gt;ROW(NodesJSON[[#Headers],[JSON]])+1,",","") &amp;"{"&amp;twoRangesToJSON(NodesJSON[[#Headers],[label]:[url]],NodesJSON[[#This Row],[label]:[url]])&amp;"}"</f>
        <v>,{"label":"Customer On-Boarding","id":"n5A0D36D7_5907_497B_BDD0_B9F7946871C7","url":"https://open-measure.atlassian.net/wiki/spaces/DIC/pages/1027048097"}</v>
      </c>
      <c r="E115" s="2"/>
    </row>
    <row r="116" spans="1:5" ht="13.9" thickTop="1" thickBot="1" x14ac:dyDescent="0.4">
      <c r="A116" s="3" t="str">
        <f>NodesData[[#This Row],[Common Name]]</f>
        <v>Customer Privacy and Consent Management</v>
      </c>
      <c r="B116" s="23" t="str">
        <f>NodesData[[#This Row],[Node ID]]</f>
        <v>n4729C2B4_13E7_433F_8412_F95545EA75F7</v>
      </c>
      <c r="C116" s="10" t="s">
        <v>702</v>
      </c>
      <c r="D116" s="26" t="str" cm="1">
        <f t="array" ref="D116">IF(ROW(NodesJSON[[#This Row],[label]])&gt;ROW(NodesJSON[[#Headers],[JSON]])+1,",","") &amp;"{"&amp;twoRangesToJSON(NodesJSON[[#Headers],[label]:[url]],NodesJSON[[#This Row],[label]:[url]])&amp;"}"</f>
        <v>,{"label":"Customer Privacy and Consent Management","id":"n4729C2B4_13E7_433F_8412_F95545EA75F7","url":"https://open-measure.atlassian.net/wiki/spaces/DIC/pages/998179040"}</v>
      </c>
      <c r="E116" s="2"/>
    </row>
    <row r="117" spans="1:5" ht="13.9" thickTop="1" thickBot="1" x14ac:dyDescent="0.4">
      <c r="A117" s="3" t="str">
        <f>NodesData[[#This Row],[Common Name]]</f>
        <v>Cyber-sabotage</v>
      </c>
      <c r="B117" s="23" t="str">
        <f>NodesData[[#This Row],[Node ID]]</f>
        <v>n359C7AF8_8BAE_4BC7_B009_BE445CDBFC35</v>
      </c>
      <c r="C117" s="10" t="s">
        <v>710</v>
      </c>
      <c r="D117" s="26" t="str" cm="1">
        <f t="array" ref="D117">IF(ROW(NodesJSON[[#This Row],[label]])&gt;ROW(NodesJSON[[#Headers],[JSON]])+1,",","") &amp;"{"&amp;twoRangesToJSON(NodesJSON[[#Headers],[label]:[url]],NodesJSON[[#This Row],[label]:[url]])&amp;"}"</f>
        <v>,{"label":"Cyber-sabotage","id":"n359C7AF8_8BAE_4BC7_B009_BE445CDBFC35","url":"https://open-measure.atlassian.net/wiki/spaces/DIC/pages/408977837"}</v>
      </c>
      <c r="E117" s="2"/>
    </row>
    <row r="118" spans="1:5" ht="13.9" thickTop="1" thickBot="1" x14ac:dyDescent="0.4">
      <c r="A118" s="3" t="str">
        <f>NodesData[[#This Row],[Common Name]]</f>
        <v>DAC</v>
      </c>
      <c r="B118" s="23" t="str">
        <f>NodesData[[#This Row],[Node ID]]</f>
        <v>n5E2EE771_5FE7_4EBD_B53E_DD8D31F6490E</v>
      </c>
      <c r="C118" s="10" t="s">
        <v>706</v>
      </c>
      <c r="D118" s="26" t="str" cm="1">
        <f t="array" ref="D118">IF(ROW(NodesJSON[[#This Row],[label]])&gt;ROW(NodesJSON[[#Headers],[JSON]])+1,",","") &amp;"{"&amp;twoRangesToJSON(NodesJSON[[#Headers],[label]:[url]],NodesJSON[[#This Row],[label]:[url]])&amp;"}"</f>
        <v>,{"label":"DAC","id":"n5E2EE771_5FE7_4EBD_B53E_DD8D31F6490E","url":"https://open-measure.atlassian.net/wiki/spaces/DIC/pages/1031242134"}</v>
      </c>
      <c r="E118" s="2"/>
    </row>
    <row r="119" spans="1:5" ht="13.9" thickTop="1" thickBot="1" x14ac:dyDescent="0.4">
      <c r="A119" s="3" t="str">
        <f>NodesData[[#This Row],[Common Name]]</f>
        <v>Data</v>
      </c>
      <c r="B119" s="23" t="str">
        <f>NodesData[[#This Row],[Node ID]]</f>
        <v>n09E1C4DC_8D91_4A66_9C50_11DCDC2042FD</v>
      </c>
      <c r="C119" s="10" t="s">
        <v>708</v>
      </c>
      <c r="D119" s="26" t="str" cm="1">
        <f t="array" ref="D119">IF(ROW(NodesJSON[[#This Row],[label]])&gt;ROW(NodesJSON[[#Headers],[JSON]])+1,",","") &amp;"{"&amp;twoRangesToJSON(NodesJSON[[#Headers],[label]:[url]],NodesJSON[[#This Row],[label]:[url]])&amp;"}"</f>
        <v>,{"label":"Data","id":"n09E1C4DC_8D91_4A66_9C50_11DCDC2042FD","url":"https://open-measure.atlassian.net/wiki/spaces/DIC/pages/782893122"}</v>
      </c>
      <c r="E119" s="2"/>
    </row>
    <row r="120" spans="1:5" ht="13.9" thickTop="1" thickBot="1" x14ac:dyDescent="0.4">
      <c r="A120" s="3" t="str">
        <f>NodesData[[#This Row],[Common Name]]</f>
        <v>Data Anonymization</v>
      </c>
      <c r="B120" s="23" t="str">
        <f>NodesData[[#This Row],[Node ID]]</f>
        <v>nDD3247E1_B272_4575_8CB0_C2E44239A9A8</v>
      </c>
      <c r="C120" s="10" t="s">
        <v>712</v>
      </c>
      <c r="D120" s="26" t="str" cm="1">
        <f t="array" ref="D120">IF(ROW(NodesJSON[[#This Row],[label]])&gt;ROW(NodesJSON[[#Headers],[JSON]])+1,",","") &amp;"{"&amp;twoRangesToJSON(NodesJSON[[#Headers],[label]:[url]],NodesJSON[[#This Row],[label]:[url]])&amp;"}"</f>
        <v>,{"label":"Data Anonymization","id":"nDD3247E1_B272_4575_8CB0_C2E44239A9A8","url":"https://open-measure.atlassian.net/wiki/spaces/DIC/pages/62193665"}</v>
      </c>
      <c r="E120" s="2"/>
    </row>
    <row r="121" spans="1:5" ht="13.9" thickTop="1" thickBot="1" x14ac:dyDescent="0.4">
      <c r="A121" s="3" t="str">
        <f>NodesData[[#This Row],[Common Name]]</f>
        <v>Data Custodian</v>
      </c>
      <c r="B121" s="23" t="str">
        <f>NodesData[[#This Row],[Node ID]]</f>
        <v>nD28793FC_291F_4F11_A09A_228AE8B3A9FC</v>
      </c>
      <c r="C121" s="10" t="s">
        <v>713</v>
      </c>
      <c r="D121" s="26" t="str" cm="1">
        <f t="array" ref="D121">IF(ROW(NodesJSON[[#This Row],[label]])&gt;ROW(NodesJSON[[#Headers],[JSON]])+1,",","") &amp;"{"&amp;twoRangesToJSON(NodesJSON[[#Headers],[label]:[url]],NodesJSON[[#This Row],[label]:[url]])&amp;"}"</f>
        <v>,{"label":"Data Custodian","id":"nD28793FC_291F_4F11_A09A_228AE8B3A9FC","url":"https://open-measure.atlassian.net/wiki/spaces/DIC/pages/782925889/DID"}</v>
      </c>
      <c r="E121" s="2"/>
    </row>
    <row r="122" spans="1:5" ht="13.9" thickTop="1" thickBot="1" x14ac:dyDescent="0.4">
      <c r="A122" s="3" t="str">
        <f>NodesData[[#This Row],[Common Name]]</f>
        <v>Data Lineage</v>
      </c>
      <c r="B122" s="23" t="str">
        <f>NodesData[[#This Row],[Node ID]]</f>
        <v>nE47A44FF_22A6_469C_82AD_696C71FBDD88</v>
      </c>
      <c r="C122" s="10" t="s">
        <v>715</v>
      </c>
      <c r="D122" s="26" t="str" cm="1">
        <f t="array" ref="D122">IF(ROW(NodesJSON[[#This Row],[label]])&gt;ROW(NodesJSON[[#Headers],[JSON]])+1,",","") &amp;"{"&amp;twoRangesToJSON(NodesJSON[[#Headers],[label]:[url]],NodesJSON[[#This Row],[label]:[url]])&amp;"}"</f>
        <v>,{"label":"Data Lineage","id":"nE47A44FF_22A6_469C_82AD_696C71FBDD88","url":"https://open-measure.atlassian.net/wiki/spaces/DIC/pages/458326308"}</v>
      </c>
      <c r="E122" s="2"/>
    </row>
    <row r="123" spans="1:5" ht="13.9" thickTop="1" thickBot="1" x14ac:dyDescent="0.4">
      <c r="A123" s="3" t="str">
        <f>NodesData[[#This Row],[Common Name]]</f>
        <v>Data Obfuscation</v>
      </c>
      <c r="B123" s="23" t="str">
        <f>NodesData[[#This Row],[Node ID]]</f>
        <v>nF346FF0E_9E36_4061_B728_2051ECF4FE8F</v>
      </c>
      <c r="C123" s="10" t="s">
        <v>716</v>
      </c>
      <c r="D123" s="26" t="str" cm="1">
        <f t="array" ref="D123">IF(ROW(NodesJSON[[#This Row],[label]])&gt;ROW(NodesJSON[[#Headers],[JSON]])+1,",","") &amp;"{"&amp;twoRangesToJSON(NodesJSON[[#Headers],[label]:[url]],NodesJSON[[#This Row],[label]:[url]])&amp;"}"</f>
        <v>,{"label":"Data Obfuscation","id":"nF346FF0E_9E36_4061_B728_2051ECF4FE8F","url":"https://open-measure.atlassian.net/wiki/spaces/DIC/pages/419561482/Digital+Identification+System"}</v>
      </c>
      <c r="E123" s="2"/>
    </row>
    <row r="124" spans="1:5" ht="13.9" thickTop="1" thickBot="1" x14ac:dyDescent="0.4">
      <c r="A124" s="3" t="str">
        <f>NodesData[[#This Row],[Common Name]]</f>
        <v>Data Operation</v>
      </c>
      <c r="B124" s="23" t="str">
        <f>NodesData[[#This Row],[Node ID]]</f>
        <v>nEE342468_B7F3_4FB0_BA73_C88BBEA8F59E</v>
      </c>
      <c r="C124" s="10" t="s">
        <v>717</v>
      </c>
      <c r="D124" s="26" t="str" cm="1">
        <f t="array" ref="D124">IF(ROW(NodesJSON[[#This Row],[label]])&gt;ROW(NodesJSON[[#Headers],[JSON]])+1,",","") &amp;"{"&amp;twoRangesToJSON(NodesJSON[[#Headers],[label]:[url]],NodesJSON[[#This Row],[label]:[url]])&amp;"}"</f>
        <v>,{"label":"Data Operation","id":"nEE342468_B7F3_4FB0_BA73_C88BBEA8F59E","url":"https://open-measure.atlassian.net/wiki/spaces/DIC/pages/419528705/Digital+Identity"}</v>
      </c>
      <c r="E124" s="2"/>
    </row>
    <row r="125" spans="1:5" ht="13.9" thickTop="1" thickBot="1" x14ac:dyDescent="0.4">
      <c r="A125" s="3" t="str">
        <f>NodesData[[#This Row],[Common Name]]</f>
        <v>Data Owner</v>
      </c>
      <c r="B125" s="23" t="str">
        <f>NodesData[[#This Row],[Node ID]]</f>
        <v>n6E2830C5_7B71_4569_B55F_4C2062560D57</v>
      </c>
      <c r="C125" s="10" t="s">
        <v>663</v>
      </c>
      <c r="D125" s="26" t="str" cm="1">
        <f t="array" ref="D125">IF(ROW(NodesJSON[[#This Row],[label]])&gt;ROW(NodesJSON[[#Headers],[JSON]])+1,",","") &amp;"{"&amp;twoRangesToJSON(NodesJSON[[#Headers],[label]:[url]],NodesJSON[[#This Row],[label]:[url]])&amp;"}"</f>
        <v>,{"label":"Data Owner","id":"n6E2830C5_7B71_4569_B55F_4C2062560D57","url":"https://open-measure.atlassian.net/wiki/spaces/DIC/pages/877297665"}</v>
      </c>
      <c r="E125" s="2"/>
    </row>
    <row r="126" spans="1:5" ht="13.9" thickTop="1" thickBot="1" x14ac:dyDescent="0.4">
      <c r="A126" s="3" t="str">
        <f>NodesData[[#This Row],[Common Name]]</f>
        <v>Data-Level Policy</v>
      </c>
      <c r="B126" s="23" t="str">
        <f>NodesData[[#This Row],[Node ID]]</f>
        <v>nF3A98388_9120_4053_8EBD_936BE8BBDA6F</v>
      </c>
      <c r="C126" s="10" t="s">
        <v>720</v>
      </c>
      <c r="D126" s="26" t="str" cm="1">
        <f t="array" ref="D126">IF(ROW(NodesJSON[[#This Row],[label]])&gt;ROW(NodesJSON[[#Headers],[JSON]])+1,",","") &amp;"{"&amp;twoRangesToJSON(NodesJSON[[#Headers],[label]:[url]],NodesJSON[[#This Row],[label]:[url]])&amp;"}"</f>
        <v>,{"label":"Data-Level Policy","id":"nF3A98388_9120_4053_8EBD_936BE8BBDA6F","url":"https://open-measure.atlassian.net/wiki/spaces/DIC/pages/796983391"}</v>
      </c>
      <c r="E126" s="2"/>
    </row>
    <row r="127" spans="1:5" ht="13.9" thickTop="1" thickBot="1" x14ac:dyDescent="0.4">
      <c r="A127" s="3" t="str">
        <f>NodesData[[#This Row],[Common Name]]</f>
        <v>Death Certificate</v>
      </c>
      <c r="B127" s="23" t="str">
        <f>NodesData[[#This Row],[Node ID]]</f>
        <v>n18684693_B96F_41F5_87E5_A8C82C5854F2</v>
      </c>
      <c r="C127" s="10" t="s">
        <v>722</v>
      </c>
      <c r="D127" s="26" t="str" cm="1">
        <f t="array" ref="D127">IF(ROW(NodesJSON[[#This Row],[label]])&gt;ROW(NodesJSON[[#Headers],[JSON]])+1,",","") &amp;"{"&amp;twoRangesToJSON(NodesJSON[[#Headers],[label]:[url]],NodesJSON[[#This Row],[label]:[url]])&amp;"}"</f>
        <v>,{"label":"Death Certificate","id":"n18684693_B96F_41F5_87E5_A8C82C5854F2","url":"https://open-measure.atlassian.net/wiki/spaces/DIC/pages/1181876315"}</v>
      </c>
      <c r="E127" s="2"/>
    </row>
    <row r="128" spans="1:5" ht="13.9" thickTop="1" thickBot="1" x14ac:dyDescent="0.4">
      <c r="A128" s="3" t="str">
        <f>NodesData[[#This Row],[Common Name]]</f>
        <v>Decentralized Identifier</v>
      </c>
      <c r="B128" s="23" t="str">
        <f>NodesData[[#This Row],[Node ID]]</f>
        <v>nF0624D2B_D1C4_476E_A9EA_53DD33D3EFFE</v>
      </c>
      <c r="C128" s="10" t="s">
        <v>724</v>
      </c>
      <c r="D128" s="26" t="str" cm="1">
        <f t="array" ref="D128">IF(ROW(NodesJSON[[#This Row],[label]])&gt;ROW(NodesJSON[[#Headers],[JSON]])+1,",","") &amp;"{"&amp;twoRangesToJSON(NodesJSON[[#Headers],[label]:[url]],NodesJSON[[#This Row],[label]:[url]])&amp;"}"</f>
        <v>,{"label":"Decentralized Identifier","id":"nF0624D2B_D1C4_476E_A9EA_53DD33D3EFFE","url":"https://open-measure.atlassian.net/wiki/spaces/DIC/pages/810287202"}</v>
      </c>
      <c r="E128" s="2"/>
    </row>
    <row r="129" spans="1:5" ht="13.9" thickTop="1" thickBot="1" x14ac:dyDescent="0.4">
      <c r="A129" s="3" t="str">
        <f>NodesData[[#This Row],[Common Name]]</f>
        <v>De-duplication</v>
      </c>
      <c r="B129" s="23" t="str">
        <f>NodesData[[#This Row],[Node ID]]</f>
        <v>nBFB13F76_57DB_46B7_8AE9_952A367FBA93</v>
      </c>
      <c r="C129" s="10" t="s">
        <v>726</v>
      </c>
      <c r="D129" s="26" t="str" cm="1">
        <f t="array" ref="D129">IF(ROW(NodesJSON[[#This Row],[label]])&gt;ROW(NodesJSON[[#Headers],[JSON]])+1,",","") &amp;"{"&amp;twoRangesToJSON(NodesJSON[[#Headers],[label]:[url]],NodesJSON[[#This Row],[label]:[url]])&amp;"}"</f>
        <v>,{"label":"De-duplication","id":"nBFB13F76_57DB_46B7_8AE9_952A367FBA93","url":"https://open-measure.atlassian.net/wiki/spaces/DIC/pages/419594251"}</v>
      </c>
      <c r="E129" s="2"/>
    </row>
    <row r="130" spans="1:5" ht="13.9" thickTop="1" thickBot="1" x14ac:dyDescent="0.4">
      <c r="A130" s="3" t="str">
        <f>NodesData[[#This Row],[Common Name]]</f>
        <v>Deprovisioning</v>
      </c>
      <c r="B130" s="23" t="str">
        <f>NodesData[[#This Row],[Node ID]]</f>
        <v>nB332A030_899A_4CDC_ABF6_7AB4C2B3D1C2</v>
      </c>
      <c r="C130" s="10" t="s">
        <v>718</v>
      </c>
      <c r="D130" s="26" t="str" cm="1">
        <f t="array" ref="D130">IF(ROW(NodesJSON[[#This Row],[label]])&gt;ROW(NodesJSON[[#Headers],[JSON]])+1,",","") &amp;"{"&amp;twoRangesToJSON(NodesJSON[[#Headers],[label]:[url]],NodesJSON[[#This Row],[label]:[url]])&amp;"}"</f>
        <v>,{"label":"Deprovisioning","id":"nB332A030_899A_4CDC_ABF6_7AB4C2B3D1C2","url":"https://open-measure.atlassian.net/wiki/spaces/DIC/pages/1270153304/Digital+Identity+Authenticity"}</v>
      </c>
      <c r="E130" s="2"/>
    </row>
    <row r="131" spans="1:5" ht="13.9" thickTop="1" thickBot="1" x14ac:dyDescent="0.4">
      <c r="A131" s="3" t="str">
        <f>NodesData[[#This Row],[Common Name]]</f>
        <v>DID</v>
      </c>
      <c r="B131" s="23" t="str">
        <f>NodesData[[#This Row],[Node ID]]</f>
        <v>n40BF751E_86C5_46B2_8F12_8406249504A5</v>
      </c>
      <c r="C131" s="10" t="s">
        <v>732</v>
      </c>
      <c r="D131" s="26" t="str" cm="1">
        <f t="array" ref="D131">IF(ROW(NodesJSON[[#This Row],[label]])&gt;ROW(NodesJSON[[#Headers],[JSON]])+1,",","") &amp;"{"&amp;twoRangesToJSON(NodesJSON[[#Headers],[label]:[url]],NodesJSON[[#This Row],[label]:[url]])&amp;"}"</f>
        <v>,{"label":"DID","id":"n40BF751E_86C5_46B2_8F12_8406249504A5","url":"https://open-measure.atlassian.net/wiki/spaces/DIC/pages/82903896"}</v>
      </c>
      <c r="E131" s="2"/>
    </row>
    <row r="132" spans="1:5" ht="13.9" thickTop="1" thickBot="1" x14ac:dyDescent="0.4">
      <c r="A132" s="3" t="str">
        <f>NodesData[[#This Row],[Common Name]]</f>
        <v>Digital Continuity</v>
      </c>
      <c r="B132" s="23" t="str">
        <f>NodesData[[#This Row],[Node ID]]</f>
        <v>n9E54AC40_1534_4653_A579_A86A08A8489A</v>
      </c>
      <c r="C132" s="10" t="s">
        <v>730</v>
      </c>
      <c r="D132" s="26" t="str" cm="1">
        <f t="array" ref="D132">IF(ROW(NodesJSON[[#This Row],[label]])&gt;ROW(NodesJSON[[#Headers],[JSON]])+1,",","") &amp;"{"&amp;twoRangesToJSON(NodesJSON[[#Headers],[label]:[url]],NodesJSON[[#This Row],[label]:[url]])&amp;"}"</f>
        <v>,{"label":"Digital Continuity","id":"n9E54AC40_1534_4653_A579_A86A08A8489A","url":"https://open-measure.atlassian.net/wiki/spaces/DIC/pages/206766113"}</v>
      </c>
      <c r="E132" s="2"/>
    </row>
    <row r="133" spans="1:5" ht="13.9" thickTop="1" thickBot="1" x14ac:dyDescent="0.4">
      <c r="A133" s="3" t="str">
        <f>NodesData[[#This Row],[Common Name]]</f>
        <v>Digital Identification System</v>
      </c>
      <c r="B133" s="23" t="str">
        <f>NodesData[[#This Row],[Node ID]]</f>
        <v>n0FBA5367_FBC8_4C86_A3A0_47FFA8B35813</v>
      </c>
      <c r="C133" s="10" t="s">
        <v>734</v>
      </c>
      <c r="D133" s="26" t="str" cm="1">
        <f t="array" ref="D133">IF(ROW(NodesJSON[[#This Row],[label]])&gt;ROW(NodesJSON[[#Headers],[JSON]])+1,",","") &amp;"{"&amp;twoRangesToJSON(NodesJSON[[#Headers],[label]:[url]],NodesJSON[[#This Row],[label]:[url]])&amp;"}"</f>
        <v>,{"label":"Digital Identification System","id":"n0FBA5367_FBC8_4C86_A3A0_47FFA8B35813","url":"https://open-measure.atlassian.net/wiki/spaces/DIC/pages/61964467"}</v>
      </c>
      <c r="E133" s="2"/>
    </row>
    <row r="134" spans="1:5" ht="13.9" thickTop="1" thickBot="1" x14ac:dyDescent="0.4">
      <c r="A134" s="3" t="str">
        <f>NodesData[[#This Row],[Common Name]]</f>
        <v>Digital Identity</v>
      </c>
      <c r="B134" s="23" t="str">
        <f>NodesData[[#This Row],[Node ID]]</f>
        <v>n65057A73_5E5D_4997_843D_70FCDDBF4863</v>
      </c>
      <c r="C134" s="4"/>
      <c r="D134" s="26" t="str" cm="1">
        <f t="array" ref="D134">IF(ROW(NodesJSON[[#This Row],[label]])&gt;ROW(NodesJSON[[#Headers],[JSON]])+1,",","") &amp;"{"&amp;twoRangesToJSON(NodesJSON[[#Headers],[label]:[url]],NodesJSON[[#This Row],[label]:[url]])&amp;"}"</f>
        <v>,{"label":"Digital Identity","id":"n65057A73_5E5D_4997_843D_70FCDDBF4863","url":""}</v>
      </c>
      <c r="E134" s="2"/>
    </row>
    <row r="135" spans="1:5" ht="13.9" thickTop="1" thickBot="1" x14ac:dyDescent="0.4">
      <c r="A135" s="3" t="str">
        <f>NodesData[[#This Row],[Common Name]]</f>
        <v>Digital Identity Authenticity</v>
      </c>
      <c r="B135" s="23" t="str">
        <f>NodesData[[#This Row],[Node ID]]</f>
        <v>n0EA691C3_41F3_4D4D_9025_8F36DE6AEDC2</v>
      </c>
      <c r="C135" s="10" t="s">
        <v>736</v>
      </c>
      <c r="D135" s="26" t="str" cm="1">
        <f t="array" ref="D135">IF(ROW(NodesJSON[[#This Row],[label]])&gt;ROW(NodesJSON[[#Headers],[JSON]])+1,",","") &amp;"{"&amp;twoRangesToJSON(NodesJSON[[#Headers],[label]:[url]],NodesJSON[[#This Row],[label]:[url]])&amp;"}"</f>
        <v>,{"label":"Digital Identity Authenticity","id":"n0EA691C3_41F3_4D4D_9025_8F36DE6AEDC2","url":"https://open-measure.atlassian.net/wiki/spaces/DIC/pages/1031209232"}</v>
      </c>
      <c r="E135" s="2"/>
    </row>
    <row r="136" spans="1:5" ht="13.9" thickTop="1" thickBot="1" x14ac:dyDescent="0.4">
      <c r="A136" s="3" t="str">
        <f>NodesData[[#This Row],[Common Name]]</f>
        <v>Digital Triangulation</v>
      </c>
      <c r="B136" s="23" t="str">
        <f>NodesData[[#This Row],[Node ID]]</f>
        <v>nE39BABFB_8F63_4F42_89E2_F06B01A51C5F</v>
      </c>
      <c r="C136" s="10" t="s">
        <v>738</v>
      </c>
      <c r="D136" s="26" t="str" cm="1">
        <f t="array" ref="D136">IF(ROW(NodesJSON[[#This Row],[label]])&gt;ROW(NodesJSON[[#Headers],[JSON]])+1,",","") &amp;"{"&amp;twoRangesToJSON(NodesJSON[[#Headers],[label]:[url]],NodesJSON[[#This Row],[label]:[url]])&amp;"}"</f>
        <v>,{"label":"Digital Triangulation","id":"nE39BABFB_8F63_4F42_89E2_F06B01A51C5F","url":"https://open-measure.atlassian.net/wiki/spaces/DIC/pages/206766092"}</v>
      </c>
      <c r="E136" s="2"/>
    </row>
    <row r="137" spans="1:5" ht="13.9" thickTop="1" thickBot="1" x14ac:dyDescent="0.4">
      <c r="A137" s="3" t="str">
        <f>NodesData[[#This Row],[Common Name]]</f>
        <v>Discretionary Access Control</v>
      </c>
      <c r="B137" s="23" t="str">
        <f>NodesData[[#This Row],[Node ID]]</f>
        <v>n561A2BF6_5A06_42D6_B158_5683F90E84BE</v>
      </c>
      <c r="C137" s="10" t="s">
        <v>740</v>
      </c>
      <c r="D137" s="26" t="str" cm="1">
        <f t="array" ref="D137">IF(ROW(NodesJSON[[#This Row],[label]])&gt;ROW(NodesJSON[[#Headers],[JSON]])+1,",","") &amp;"{"&amp;twoRangesToJSON(NodesJSON[[#Headers],[label]:[url]],NodesJSON[[#This Row],[label]:[url]])&amp;"}"</f>
        <v>,{"label":"Discretionary Access Control","id":"n561A2BF6_5A06_42D6_B158_5683F90E84BE","url":"https://open-measure.atlassian.net/wiki/spaces/DIC/pages/62455952"}</v>
      </c>
      <c r="E137" s="2"/>
    </row>
    <row r="138" spans="1:5" ht="13.9" thickTop="1" thickBot="1" x14ac:dyDescent="0.4">
      <c r="A138" s="3" t="str">
        <f>NodesData[[#This Row],[Common Name]]</f>
        <v>Distributed Identity</v>
      </c>
      <c r="B138" s="23" t="str">
        <f>NodesData[[#This Row],[Node ID]]</f>
        <v>nFE60A787_3D7D_423A_ACA8_7A815881DE4A</v>
      </c>
      <c r="C138" s="10" t="s">
        <v>742</v>
      </c>
      <c r="D138" s="26" t="str" cm="1">
        <f t="array" ref="D138">IF(ROW(NodesJSON[[#This Row],[label]])&gt;ROW(NodesJSON[[#Headers],[JSON]])+1,",","") &amp;"{"&amp;twoRangesToJSON(NodesJSON[[#Headers],[label]:[url]],NodesJSON[[#This Row],[label]:[url]])&amp;"}"</f>
        <v>,{"label":"Distributed Identity","id":"nFE60A787_3D7D_423A_ACA8_7A815881DE4A","url":"https://open-measure.atlassian.net/wiki/spaces/DIC/pages/76021801"}</v>
      </c>
      <c r="E138" s="2"/>
    </row>
    <row r="139" spans="1:5" ht="13.9" thickTop="1" thickBot="1" x14ac:dyDescent="0.4">
      <c r="A139" s="3" t="str">
        <f>NodesData[[#This Row],[Common Name]]</f>
        <v>Distributed Ledger Technology</v>
      </c>
      <c r="B139" s="23" t="str">
        <f>NodesData[[#This Row],[Node ID]]</f>
        <v>nF24089B1_8B95_4756_903D_A8DFDC0769E3</v>
      </c>
      <c r="C139" s="10" t="s">
        <v>744</v>
      </c>
      <c r="D139" s="26" t="str" cm="1">
        <f t="array" ref="D139">IF(ROW(NodesJSON[[#This Row],[label]])&gt;ROW(NodesJSON[[#Headers],[JSON]])+1,",","") &amp;"{"&amp;twoRangesToJSON(NodesJSON[[#Headers],[label]:[url]],NodesJSON[[#This Row],[label]:[url]])&amp;"}"</f>
        <v>,{"label":"Distributed Ledger Technology","id":"nF24089B1_8B95_4756_903D_A8DFDC0769E3","url":"https://open-measure.atlassian.net/wiki/spaces/DIC/pages/1121878049"}</v>
      </c>
      <c r="E139" s="2"/>
    </row>
    <row r="140" spans="1:5" ht="13.9" thickTop="1" thickBot="1" x14ac:dyDescent="0.4">
      <c r="A140" s="3" t="str">
        <f>NodesData[[#This Row],[Common Name]]</f>
        <v>Dual Authorization</v>
      </c>
      <c r="B140" s="23" t="str">
        <f>NodesData[[#This Row],[Node ID]]</f>
        <v>n178DB8CF_C79B_49A8_900D_2EB5BD057DC7</v>
      </c>
      <c r="C140" s="10" t="s">
        <v>752</v>
      </c>
      <c r="D140" s="26" t="str" cm="1">
        <f t="array" ref="D140">IF(ROW(NodesJSON[[#This Row],[label]])&gt;ROW(NodesJSON[[#Headers],[JSON]])+1,",","") &amp;"{"&amp;twoRangesToJSON(NodesJSON[[#Headers],[label]:[url]],NodesJSON[[#This Row],[label]:[url]])&amp;"}"</f>
        <v>,{"label":"Dual Authorization","id":"n178DB8CF_C79B_49A8_900D_2EB5BD057DC7","url":"https://open-measure.atlassian.net/wiki/spaces/DIC/pages/1122566173"}</v>
      </c>
      <c r="E140" s="2"/>
    </row>
    <row r="141" spans="1:5" ht="13.9" thickTop="1" thickBot="1" x14ac:dyDescent="0.4">
      <c r="A141" s="3" t="str">
        <f>NodesData[[#This Row],[Common Name]]</f>
        <v>ECS</v>
      </c>
      <c r="B141" s="23" t="str">
        <f>NodesData[[#This Row],[Node ID]]</f>
        <v>n746496EE_FC8C_4C19_AF3E_D8D3140567A6</v>
      </c>
      <c r="C141" s="10" t="s">
        <v>746</v>
      </c>
      <c r="D141" s="26" t="str" cm="1">
        <f t="array" ref="D141">IF(ROW(NodesJSON[[#This Row],[label]])&gt;ROW(NodesJSON[[#Headers],[JSON]])+1,",","") &amp;"{"&amp;twoRangesToJSON(NodesJSON[[#Headers],[label]:[url]],NodesJSON[[#This Row],[label]:[url]])&amp;"}"</f>
        <v>,{"label":"ECS","id":"n746496EE_FC8C_4C19_AF3E_D8D3140567A6","url":"https://open-measure.atlassian.net/wiki/spaces/DIC/pages/1122566465"}</v>
      </c>
      <c r="E141" s="2"/>
    </row>
    <row r="142" spans="1:5" ht="13.9" thickTop="1" thickBot="1" x14ac:dyDescent="0.4">
      <c r="A142" s="3" t="str">
        <f>NodesData[[#This Row],[Common Name]]</f>
        <v>e-Identity</v>
      </c>
      <c r="B142" s="23" t="str">
        <f>NodesData[[#This Row],[Node ID]]</f>
        <v>n29F8F3C1_3B5C_404B_985E_677B3F2469CE</v>
      </c>
      <c r="C142" s="10" t="s">
        <v>748</v>
      </c>
      <c r="D142" s="26" t="str" cm="1">
        <f t="array" ref="D142">IF(ROW(NodesJSON[[#This Row],[label]])&gt;ROW(NodesJSON[[#Headers],[JSON]])+1,",","") &amp;"{"&amp;twoRangesToJSON(NodesJSON[[#Headers],[label]:[url]],NodesJSON[[#This Row],[label]:[url]])&amp;"}"</f>
        <v>,{"label":"e-Identity","id":"n29F8F3C1_3B5C_404B_985E_677B3F2469CE","url":"https://open-measure.atlassian.net/wiki/spaces/DIC/pages/1121910973"}</v>
      </c>
      <c r="E142" s="2"/>
    </row>
    <row r="143" spans="1:5" ht="13.9" thickTop="1" thickBot="1" x14ac:dyDescent="0.4">
      <c r="A143" s="3" t="str">
        <f>NodesData[[#This Row],[Common Name]]</f>
        <v>EIdM</v>
      </c>
      <c r="B143" s="23" t="str">
        <f>NodesData[[#This Row],[Node ID]]</f>
        <v>n6DA75F23_C59A_4F3D_8369_62DF2833985B</v>
      </c>
      <c r="C143" s="10" t="s">
        <v>750</v>
      </c>
      <c r="D143" s="26" t="str" cm="1">
        <f t="array" ref="D143">IF(ROW(NodesJSON[[#This Row],[label]])&gt;ROW(NodesJSON[[#Headers],[JSON]])+1,",","") &amp;"{"&amp;twoRangesToJSON(NodesJSON[[#Headers],[label]:[url]],NodesJSON[[#This Row],[label]:[url]])&amp;"}"</f>
        <v>,{"label":"EIdM","id":"n6DA75F23_C59A_4F3D_8369_62DF2833985B","url":"https://open-measure.atlassian.net/wiki/spaces/DIC/pages/1122631800"}</v>
      </c>
      <c r="E143" s="2"/>
    </row>
    <row r="144" spans="1:5" ht="13.9" thickTop="1" thickBot="1" x14ac:dyDescent="0.4">
      <c r="A144" s="3" t="str">
        <f>NodesData[[#This Row],[Common Name]]</f>
        <v>Email OTP</v>
      </c>
      <c r="B144" s="23" t="str">
        <f>NodesData[[#This Row],[Node ID]]</f>
        <v>n2EA08174_481E_44C6_A012_159A6C58ECD7</v>
      </c>
      <c r="C144" s="10" t="s">
        <v>754</v>
      </c>
      <c r="D144" s="26" t="str" cm="1">
        <f t="array" ref="D144">IF(ROW(NodesJSON[[#This Row],[label]])&gt;ROW(NodesJSON[[#Headers],[JSON]])+1,",","") &amp;"{"&amp;twoRangesToJSON(NodesJSON[[#Headers],[label]:[url]],NodesJSON[[#This Row],[label]:[url]])&amp;"}"</f>
        <v>,{"label":"Email OTP","id":"n2EA08174_481E_44C6_A012_159A6C58ECD7","url":"https://open-measure.atlassian.net/wiki/spaces/DIC/pages/123830932"}</v>
      </c>
      <c r="E144" s="2"/>
    </row>
    <row r="145" spans="1:5" ht="13.9" thickTop="1" thickBot="1" x14ac:dyDescent="0.4">
      <c r="A145" s="3" t="str">
        <f>NodesData[[#This Row],[Common Name]]</f>
        <v>Employee</v>
      </c>
      <c r="B145" s="23" t="str">
        <f>NodesData[[#This Row],[Node ID]]</f>
        <v>n422D81D3_0EAB_4F1E_9F34_BA01B0B35CC0</v>
      </c>
      <c r="C145" s="10" t="s">
        <v>756</v>
      </c>
      <c r="D145" s="26" t="str" cm="1">
        <f t="array" ref="D145">IF(ROW(NodesJSON[[#This Row],[label]])&gt;ROW(NodesJSON[[#Headers],[JSON]])+1,",","") &amp;"{"&amp;twoRangesToJSON(NodesJSON[[#Headers],[label]:[url]],NodesJSON[[#This Row],[label]:[url]])&amp;"}"</f>
        <v>,{"label":"Employee","id":"n422D81D3_0EAB_4F1E_9F34_BA01B0B35CC0","url":"https://open-measure.atlassian.net/wiki/spaces/DIC/pages/75956266"}</v>
      </c>
      <c r="E145" s="2"/>
    </row>
    <row r="146" spans="1:5" ht="13.9" thickTop="1" thickBot="1" x14ac:dyDescent="0.4">
      <c r="A146" s="3" t="str">
        <f>NodesData[[#This Row],[Common Name]]</f>
        <v>Enterprise Cloud Subscriber</v>
      </c>
      <c r="B146" s="23" t="str">
        <f>NodesData[[#This Row],[Node ID]]</f>
        <v>nDC7DA1B5_7FB1_493B_B76C_2A89395AAC8B</v>
      </c>
      <c r="C146" s="10" t="s">
        <v>758</v>
      </c>
      <c r="D146" s="26" t="str" cm="1">
        <f t="array" ref="D146">IF(ROW(NodesJSON[[#This Row],[label]])&gt;ROW(NodesJSON[[#Headers],[JSON]])+1,",","") &amp;"{"&amp;twoRangesToJSON(NodesJSON[[#Headers],[label]:[url]],NodesJSON[[#This Row],[label]:[url]])&amp;"}"</f>
        <v>,{"label":"Enterprise Cloud Subscriber","id":"nDC7DA1B5_7FB1_493B_B76C_2A89395AAC8B","url":"https://open-measure.atlassian.net/wiki/spaces/DIC/pages/1104904275"}</v>
      </c>
      <c r="E146" s="2"/>
    </row>
    <row r="147" spans="1:5" ht="13.9" thickTop="1" thickBot="1" x14ac:dyDescent="0.4">
      <c r="A147" s="3" t="str">
        <f>NodesData[[#This Row],[Common Name]]</f>
        <v>Enterprise Identity Management</v>
      </c>
      <c r="B147" s="23" t="str">
        <f>NodesData[[#This Row],[Node ID]]</f>
        <v>nB5BB1D89_74C2_455D_B36D_E690E04C732E</v>
      </c>
      <c r="C147" s="10" t="s">
        <v>760</v>
      </c>
      <c r="D147" s="26" t="str" cm="1">
        <f t="array" ref="D147">IF(ROW(NodesJSON[[#This Row],[label]])&gt;ROW(NodesJSON[[#Headers],[JSON]])+1,",","") &amp;"{"&amp;twoRangesToJSON(NodesJSON[[#Headers],[label]:[url]],NodesJSON[[#This Row],[label]:[url]])&amp;"}"</f>
        <v>,{"label":"Enterprise Identity Management","id":"nB5BB1D89_74C2_455D_B36D_E690E04C732E","url":"https://open-measure.atlassian.net/wiki/spaces/DIC/pages/446824885"}</v>
      </c>
      <c r="E147" s="2"/>
    </row>
    <row r="148" spans="1:5" ht="13.9" thickTop="1" thickBot="1" x14ac:dyDescent="0.4">
      <c r="A148" s="3" t="str">
        <f>NodesData[[#This Row],[Common Name]]</f>
        <v>Enterprise Single Sign-On</v>
      </c>
      <c r="B148" s="23" t="str">
        <f>NodesData[[#This Row],[Node ID]]</f>
        <v>n4F60AFDF_063A_4037_B18B_E4FDC3B1F048</v>
      </c>
      <c r="C148" s="10" t="s">
        <v>762</v>
      </c>
      <c r="D148" s="26" t="str" cm="1">
        <f t="array" ref="D148">IF(ROW(NodesJSON[[#This Row],[label]])&gt;ROW(NodesJSON[[#Headers],[JSON]])+1,",","") &amp;"{"&amp;twoRangesToJSON(NodesJSON[[#Headers],[label]:[url]],NodesJSON[[#This Row],[label]:[url]])&amp;"}"</f>
        <v>,{"label":"Enterprise Single Sign-On","id":"n4F60AFDF_063A_4037_B18B_E4FDC3B1F048","url":"https://open-measure.atlassian.net/wiki/spaces/DIC/pages/461275380"}</v>
      </c>
      <c r="E148" s="2"/>
    </row>
    <row r="149" spans="1:5" ht="13.9" thickTop="1" thickBot="1" x14ac:dyDescent="0.4">
      <c r="A149" s="3" t="str">
        <f>NodesData[[#This Row],[Common Name]]</f>
        <v>Entitlement</v>
      </c>
      <c r="B149" s="23" t="str">
        <f>NodesData[[#This Row],[Node ID]]</f>
        <v>n6B1C5DA7_6A6A_4239_8359_406101FDA296</v>
      </c>
      <c r="C149" s="10" t="s">
        <v>764</v>
      </c>
      <c r="D149" s="26" t="str" cm="1">
        <f t="array" ref="D149">IF(ROW(NodesJSON[[#This Row],[label]])&gt;ROW(NodesJSON[[#Headers],[JSON]])+1,",","") &amp;"{"&amp;twoRangesToJSON(NodesJSON[[#Headers],[label]:[url]],NodesJSON[[#This Row],[label]:[url]])&amp;"}"</f>
        <v>,{"label":"Entitlement","id":"n6B1C5DA7_6A6A_4239_8359_406101FDA296","url":"https://open-measure.atlassian.net/wiki/spaces/DIC/pages/82870848"}</v>
      </c>
      <c r="E149" s="2"/>
    </row>
    <row r="150" spans="1:5" ht="13.9" thickTop="1" thickBot="1" x14ac:dyDescent="0.4">
      <c r="A150" s="3" t="str">
        <f>NodesData[[#This Row],[Common Name]]</f>
        <v>Entitlement Management</v>
      </c>
      <c r="B150" s="23" t="str">
        <f>NodesData[[#This Row],[Node ID]]</f>
        <v>n8CCC3658_FD2A_4108_B8F8_F090D2FDA25F</v>
      </c>
      <c r="C150" s="10" t="s">
        <v>766</v>
      </c>
      <c r="D150" s="26" t="str" cm="1">
        <f t="array" ref="D150">IF(ROW(NodesJSON[[#This Row],[label]])&gt;ROW(NodesJSON[[#Headers],[JSON]])+1,",","") &amp;"{"&amp;twoRangesToJSON(NodesJSON[[#Headers],[label]:[url]],NodesJSON[[#This Row],[label]:[url]])&amp;"}"</f>
        <v>,{"label":"Entitlement Management","id":"n8CCC3658_FD2A_4108_B8F8_F090D2FDA25F","url":"https://open-measure.atlassian.net/wiki/spaces/DIC/pages/1121878505"}</v>
      </c>
      <c r="E150" s="2"/>
    </row>
    <row r="151" spans="1:5" ht="13.9" thickTop="1" thickBot="1" x14ac:dyDescent="0.4">
      <c r="A151" s="3" t="str">
        <f>NodesData[[#This Row],[Common Name]]</f>
        <v>Entitlement Management Process</v>
      </c>
      <c r="B151" s="23" t="str">
        <f>NodesData[[#This Row],[Node ID]]</f>
        <v>n6F5621C1_CD35_410A_A944_409F79163AD4</v>
      </c>
      <c r="C151" s="10" t="s">
        <v>728</v>
      </c>
      <c r="D151" s="26" t="str" cm="1">
        <f t="array" ref="D151">IF(ROW(NodesJSON[[#This Row],[label]])&gt;ROW(NodesJSON[[#Headers],[JSON]])+1,",","") &amp;"{"&amp;twoRangesToJSON(NodesJSON[[#Headers],[label]:[url]],NodesJSON[[#This Row],[label]:[url]])&amp;"}"</f>
        <v>,{"label":"Entitlement Management Process","id":"n6F5621C1_CD35_410A_A944_409F79163AD4","url":"https://open-measure.atlassian.net/wiki/spaces/DIC/pages/806584322"}</v>
      </c>
      <c r="E151" s="2"/>
    </row>
    <row r="152" spans="1:5" ht="13.9" thickTop="1" thickBot="1" x14ac:dyDescent="0.4">
      <c r="A152" s="3" t="str">
        <f>NodesData[[#This Row],[Common Name]]</f>
        <v>Entitlement Management Solution</v>
      </c>
      <c r="B152" s="23" t="str">
        <f>NodesData[[#This Row],[Node ID]]</f>
        <v>n1C189EA0_AB0A_4D8B_AC8A_A6B086B9D1C8</v>
      </c>
      <c r="C152" s="10" t="s">
        <v>767</v>
      </c>
      <c r="D152" s="26" t="str" cm="1">
        <f t="array" ref="D152">IF(ROW(NodesJSON[[#This Row],[label]])&gt;ROW(NodesJSON[[#Headers],[JSON]])+1,",","") &amp;"{"&amp;twoRangesToJSON(NodesJSON[[#Headers],[label]:[url]],NodesJSON[[#This Row],[label]:[url]])&amp;"}"</f>
        <v>,{"label":"Entitlement Management Solution","id":"n1C189EA0_AB0A_4D8B_AC8A_A6B086B9D1C8","url":"https://open-measure.atlassian.net/wiki/spaces/DIC/pages/1267433567/Fake+Digital+Identity"}</v>
      </c>
      <c r="E152" s="2"/>
    </row>
    <row r="153" spans="1:5" ht="13.9" thickTop="1" thickBot="1" x14ac:dyDescent="0.4">
      <c r="A153" s="3" t="str">
        <f>NodesData[[#This Row],[Common Name]]</f>
        <v>Entitlement-Based Access Control</v>
      </c>
      <c r="B153" s="23" t="str">
        <f>NodesData[[#This Row],[Node ID]]</f>
        <v>n9A7FB9C7_BA60_455F_AF09_E8FB3AD8331D</v>
      </c>
      <c r="C153" s="10" t="s">
        <v>768</v>
      </c>
      <c r="D153" s="26" t="str" cm="1">
        <f t="array" ref="D153">IF(ROW(NodesJSON[[#This Row],[label]])&gt;ROW(NodesJSON[[#Headers],[JSON]])+1,",","") &amp;"{"&amp;twoRangesToJSON(NodesJSON[[#Headers],[label]:[url]],NodesJSON[[#This Row],[label]:[url]])&amp;"}"</f>
        <v>,{"label":"Entitlement-Based Access Control","id":"n9A7FB9C7_BA60_455F_AF09_E8FB3AD8331D","url":"https://open-measure.atlassian.net/wiki/spaces/DIC/pages/1290141697/FAPI"}</v>
      </c>
      <c r="E153" s="2"/>
    </row>
    <row r="154" spans="1:5" ht="13.9" thickTop="1" thickBot="1" x14ac:dyDescent="0.4">
      <c r="A154" s="3" t="str">
        <f>NodesData[[#This Row],[Common Name]]</f>
        <v>Entity</v>
      </c>
      <c r="B154" s="23" t="str">
        <f>NodesData[[#This Row],[Node ID]]</f>
        <v>nD14A84EB_07B3_4B5F_BFAB_30031258CD6F</v>
      </c>
      <c r="C154" s="10" t="s">
        <v>770</v>
      </c>
      <c r="D154" s="26" t="str" cm="1">
        <f t="array" ref="D154">IF(ROW(NodesJSON[[#This Row],[label]])&gt;ROW(NodesJSON[[#Headers],[JSON]])+1,",","") &amp;"{"&amp;twoRangesToJSON(NodesJSON[[#Headers],[label]:[url]],NodesJSON[[#This Row],[label]:[url]])&amp;"}"</f>
        <v>,{"label":"Entity","id":"nD14A84EB_07B3_4B5F_BFAB_30031258CD6F","url":"https://open-measure.atlassian.net/wiki/spaces/DIC/pages/331579598"}</v>
      </c>
      <c r="E154" s="2"/>
    </row>
    <row r="155" spans="1:5" ht="13.9" thickTop="1" thickBot="1" x14ac:dyDescent="0.4">
      <c r="A155" s="3" t="str">
        <f>NodesData[[#This Row],[Common Name]]</f>
        <v>ESSO</v>
      </c>
      <c r="B155" s="23" t="str">
        <f>NodesData[[#This Row],[Node ID]]</f>
        <v>nB81C8B35_F18D_45DB_BF0B_52A7F64CFDB9</v>
      </c>
      <c r="C155" s="10" t="s">
        <v>772</v>
      </c>
      <c r="D155" s="26" t="str" cm="1">
        <f t="array" ref="D155">IF(ROW(NodesJSON[[#This Row],[label]])&gt;ROW(NodesJSON[[#Headers],[JSON]])+1,",","") &amp;"{"&amp;twoRangesToJSON(NodesJSON[[#Headers],[label]:[url]],NodesJSON[[#This Row],[label]:[url]])&amp;"}"</f>
        <v>,{"label":"ESSO","id":"nB81C8B35_F18D_45DB_BF0B_52A7F64CFDB9","url":"https://open-measure.atlassian.net/wiki/spaces/DIC/pages/1152483703"}</v>
      </c>
      <c r="E155" s="2"/>
    </row>
    <row r="156" spans="1:5" ht="13.9" thickTop="1" thickBot="1" x14ac:dyDescent="0.4">
      <c r="A156" s="3" t="str">
        <f>NodesData[[#This Row],[Common Name]]</f>
        <v>Excessive Privilege Abuse</v>
      </c>
      <c r="B156" s="23" t="str">
        <f>NodesData[[#This Row],[Node ID]]</f>
        <v>n606F27DD_7057_4C49_BC05_BD18E6E8BCAE</v>
      </c>
      <c r="C156" s="10" t="s">
        <v>774</v>
      </c>
      <c r="D156" s="26" t="str" cm="1">
        <f t="array" ref="D156">IF(ROW(NodesJSON[[#This Row],[label]])&gt;ROW(NodesJSON[[#Headers],[JSON]])+1,",","") &amp;"{"&amp;twoRangesToJSON(NodesJSON[[#Headers],[label]:[url]],NodesJSON[[#This Row],[label]:[url]])&amp;"}"</f>
        <v>,{"label":"Excessive Privilege Abuse","id":"n606F27DD_7057_4C49_BC05_BD18E6E8BCAE","url":"https://open-measure.atlassian.net/wiki/spaces/DIC/pages/75890786"}</v>
      </c>
      <c r="E156" s="2"/>
    </row>
    <row r="157" spans="1:5" ht="13.9" thickTop="1" thickBot="1" x14ac:dyDescent="0.4">
      <c r="A157" s="3" t="str">
        <f>NodesData[[#This Row],[Common Name]]</f>
        <v>Expanded Password System</v>
      </c>
      <c r="B157" s="23" t="str">
        <f>NodesData[[#This Row],[Node ID]]</f>
        <v>nF9F63BDF_0C15_417E_9C40_9CFAF09A44FE</v>
      </c>
      <c r="C157" s="10" t="s">
        <v>776</v>
      </c>
      <c r="D157" s="26" t="str" cm="1">
        <f t="array" ref="D157">IF(ROW(NodesJSON[[#This Row],[label]])&gt;ROW(NodesJSON[[#Headers],[JSON]])+1,",","") &amp;"{"&amp;twoRangesToJSON(NodesJSON[[#Headers],[label]:[url]],NodesJSON[[#This Row],[label]:[url]])&amp;"}"</f>
        <v>,{"label":"Expanded Password System","id":"nF9F63BDF_0C15_417E_9C40_9CFAF09A44FE","url":"https://open-measure.atlassian.net/wiki/spaces/DIC/pages/763035693"}</v>
      </c>
      <c r="E157" s="2"/>
    </row>
    <row r="158" spans="1:5" ht="13.9" thickTop="1" thickBot="1" x14ac:dyDescent="0.4">
      <c r="A158" s="3" t="str">
        <f>NodesData[[#This Row],[Common Name]]</f>
        <v>Exploited Identity</v>
      </c>
      <c r="B158" s="23" t="str">
        <f>NodesData[[#This Row],[Node ID]]</f>
        <v>n84A25376_673B_437D_A0B8_E206A3A557A1</v>
      </c>
      <c r="C158" s="10" t="s">
        <v>778</v>
      </c>
      <c r="D158" s="26" t="str" cm="1">
        <f t="array" ref="D158">IF(ROW(NodesJSON[[#This Row],[label]])&gt;ROW(NodesJSON[[#Headers],[JSON]])+1,",","") &amp;"{"&amp;twoRangesToJSON(NodesJSON[[#Headers],[label]:[url]],NodesJSON[[#This Row],[label]:[url]])&amp;"}"</f>
        <v>,{"label":"Exploited Identity","id":"n84A25376_673B_437D_A0B8_E206A3A557A1","url":"https://open-measure.atlassian.net/wiki/spaces/DIC/pages/331579618"}</v>
      </c>
      <c r="E158" s="2"/>
    </row>
    <row r="159" spans="1:5" ht="13.9" thickTop="1" thickBot="1" x14ac:dyDescent="0.4">
      <c r="A159" s="3" t="str">
        <f>NodesData[[#This Row],[Common Name]]</f>
        <v>Extended Enterprise</v>
      </c>
      <c r="B159" s="23" t="str">
        <f>NodesData[[#This Row],[Node ID]]</f>
        <v>n59206519_5BB4_4BDF_BF6E_C333745B95BB</v>
      </c>
      <c r="C159" s="10" t="s">
        <v>779</v>
      </c>
      <c r="D159" s="26" t="str" cm="1">
        <f t="array" ref="D159">IF(ROW(NodesJSON[[#This Row],[label]])&gt;ROW(NodesJSON[[#Headers],[JSON]])+1,",","") &amp;"{"&amp;twoRangesToJSON(NodesJSON[[#Headers],[label]:[url]],NodesJSON[[#This Row],[label]:[url]])&amp;"}"</f>
        <v>,{"label":"Extended Enterprise","id":"n59206519_5BB4_4BDF_BF6E_C333745B95BB","url":"https://open-measure.atlassian.net/wiki/spaces/DIC/pages/1290207237/Financial-grade+API"}</v>
      </c>
      <c r="E159" s="2"/>
    </row>
    <row r="160" spans="1:5" ht="13.9" thickTop="1" thickBot="1" x14ac:dyDescent="0.4">
      <c r="A160" s="3" t="str">
        <f>NodesData[[#This Row],[Common Name]]</f>
        <v>Extensible Access Control Markup Language</v>
      </c>
      <c r="B160" s="23" t="str">
        <f>NodesData[[#This Row],[Node ID]]</f>
        <v>n9D4266BF_D624_4D96_974A_C169D11071F2</v>
      </c>
      <c r="C160" s="4"/>
      <c r="D160" s="26" t="str" cm="1">
        <f t="array" ref="D160">IF(ROW(NodesJSON[[#This Row],[label]])&gt;ROW(NodesJSON[[#Headers],[JSON]])+1,",","") &amp;"{"&amp;twoRangesToJSON(NodesJSON[[#Headers],[label]:[url]],NodesJSON[[#This Row],[label]:[url]])&amp;"}"</f>
        <v>,{"label":"Extensible Access Control Markup Language","id":"n9D4266BF_D624_4D96_974A_C169D11071F2","url":""}</v>
      </c>
      <c r="E160" s="2"/>
    </row>
    <row r="161" spans="1:5" ht="13.9" thickTop="1" thickBot="1" x14ac:dyDescent="0.4">
      <c r="A161" s="3" t="str">
        <f>NodesData[[#This Row],[Common Name]]</f>
        <v>External Threat Agent</v>
      </c>
      <c r="B161" s="23" t="str">
        <f>NodesData[[#This Row],[Node ID]]</f>
        <v>n1546AAB1_79BC_427B_AC2C_31B1E8FA4616</v>
      </c>
      <c r="C161" s="10" t="s">
        <v>780</v>
      </c>
      <c r="D161" s="26" t="str" cm="1">
        <f t="array" ref="D161">IF(ROW(NodesJSON[[#This Row],[label]])&gt;ROW(NodesJSON[[#Headers],[JSON]])+1,",","") &amp;"{"&amp;twoRangesToJSON(NodesJSON[[#Headers],[label]:[url]],NodesJSON[[#This Row],[label]:[url]])&amp;"}"</f>
        <v>,{"label":"External Threat Agent","id":"n1546AAB1_79BC_427B_AC2C_31B1E8FA4616","url":"https://open-measure.atlassian.net/wiki/spaces/DIC/pages/1378091043/FinTech"}</v>
      </c>
      <c r="E161" s="2"/>
    </row>
    <row r="162" spans="1:5" ht="13.9" thickTop="1" thickBot="1" x14ac:dyDescent="0.4">
      <c r="A162" s="3" t="str">
        <f>NodesData[[#This Row],[Common Name]]</f>
        <v>Facial Recognition Authentication</v>
      </c>
      <c r="B162" s="23" t="str">
        <f>NodesData[[#This Row],[Node ID]]</f>
        <v>nA4759A9D_95C0_47CA_B519_8CEF217B2F74</v>
      </c>
      <c r="C162" s="10" t="s">
        <v>782</v>
      </c>
      <c r="D162" s="26" t="str" cm="1">
        <f t="array" ref="D162">IF(ROW(NodesJSON[[#This Row],[label]])&gt;ROW(NodesJSON[[#Headers],[JSON]])+1,",","") &amp;"{"&amp;twoRangesToJSON(NodesJSON[[#Headers],[label]:[url]],NodesJSON[[#This Row],[label]:[url]])&amp;"}"</f>
        <v>,{"label":"Facial Recognition Authentication","id":"nA4759A9D_95C0_47CA_B519_8CEF217B2F74","url":"https://open-measure.atlassian.net/wiki/spaces/DIC/pages/438698048"}</v>
      </c>
      <c r="E162" s="2"/>
    </row>
    <row r="163" spans="1:5" ht="13.9" thickTop="1" thickBot="1" x14ac:dyDescent="0.4">
      <c r="A163" s="3" t="str">
        <f>NodesData[[#This Row],[Common Name]]</f>
        <v>Fake Digital Identity</v>
      </c>
      <c r="B163" s="23" t="str">
        <f>NodesData[[#This Row],[Node ID]]</f>
        <v>n553E3D82_733E_45F2_B9EC_3768F51696D9</v>
      </c>
      <c r="C163" s="10" t="s">
        <v>784</v>
      </c>
      <c r="D163" s="26" t="str" cm="1">
        <f t="array" ref="D163">IF(ROW(NodesJSON[[#This Row],[label]])&gt;ROW(NodesJSON[[#Headers],[JSON]])+1,",","") &amp;"{"&amp;twoRangesToJSON(NodesJSON[[#Headers],[label]:[url]],NodesJSON[[#This Row],[label]:[url]])&amp;"}"</f>
        <v>,{"label":"Fake Digital Identity","id":"n553E3D82_733E_45F2_B9EC_3768F51696D9","url":"https://open-measure.atlassian.net/wiki/spaces/DIC/pages/1223884872"}</v>
      </c>
      <c r="E163" s="2"/>
    </row>
    <row r="164" spans="1:5" ht="13.9" thickTop="1" thickBot="1" x14ac:dyDescent="0.4">
      <c r="A164" s="3" t="str">
        <f>NodesData[[#This Row],[Common Name]]</f>
        <v>FAPI</v>
      </c>
      <c r="B164" s="23" t="str">
        <f>NodesData[[#This Row],[Node ID]]</f>
        <v>nFB67A715_39E8_48D0_B1F1_AE50FDB72B9F</v>
      </c>
      <c r="C164" s="10" t="s">
        <v>786</v>
      </c>
      <c r="D164" s="26" t="str" cm="1">
        <f t="array" ref="D164">IF(ROW(NodesJSON[[#This Row],[label]])&gt;ROW(NodesJSON[[#Headers],[JSON]])+1,",","") &amp;"{"&amp;twoRangesToJSON(NodesJSON[[#Headers],[label]:[url]],NodesJSON[[#This Row],[label]:[url]])&amp;"}"</f>
        <v>,{"label":"FAPI","id":"nFB67A715_39E8_48D0_B1F1_AE50FDB72B9F","url":"https://open-measure.atlassian.net/wiki/spaces/DIC/pages/1173585921"}</v>
      </c>
      <c r="E164" s="2"/>
    </row>
    <row r="165" spans="1:5" ht="13.9" thickTop="1" thickBot="1" x14ac:dyDescent="0.4">
      <c r="A165" s="3" t="str">
        <f>NodesData[[#This Row],[Common Name]]</f>
        <v>Federated Identity Management</v>
      </c>
      <c r="B165" s="23" t="str">
        <f>NodesData[[#This Row],[Node ID]]</f>
        <v>n8300F70D_DC84_420B_90D6_F00C4D874F30</v>
      </c>
      <c r="C165" s="10" t="s">
        <v>788</v>
      </c>
      <c r="D165" s="26" t="str" cm="1">
        <f t="array" ref="D165">IF(ROW(NodesJSON[[#This Row],[label]])&gt;ROW(NodesJSON[[#Headers],[JSON]])+1,",","") &amp;"{"&amp;twoRangesToJSON(NodesJSON[[#Headers],[label]:[url]],NodesJSON[[#This Row],[label]:[url]])&amp;"}"</f>
        <v>,{"label":"Federated Identity Management","id":"n8300F70D_DC84_420B_90D6_F00C4D874F30","url":"https://open-measure.atlassian.net/wiki/spaces/DIC/pages/1226833964"}</v>
      </c>
      <c r="E165" s="2"/>
    </row>
    <row r="166" spans="1:5" ht="13.9" thickTop="1" thickBot="1" x14ac:dyDescent="0.4">
      <c r="A166" s="3" t="str">
        <f>NodesData[[#This Row],[Common Name]]</f>
        <v>Federated Identity Management System</v>
      </c>
      <c r="B166" s="23" t="str">
        <f>NodesData[[#This Row],[Node ID]]</f>
        <v>nB2F055B2_845D_45D7_A034_0DE4107D299F</v>
      </c>
      <c r="C166" s="10" t="s">
        <v>789</v>
      </c>
      <c r="D166" s="26" t="str" cm="1">
        <f t="array" ref="D166">IF(ROW(NodesJSON[[#This Row],[label]])&gt;ROW(NodesJSON[[#Headers],[JSON]])+1,",","") &amp;"{"&amp;twoRangesToJSON(NodesJSON[[#Headers],[label]:[url]],NodesJSON[[#This Row],[label]:[url]])&amp;"}"</f>
        <v>,{"label":"Federated Identity Management System","id":"nB2F055B2_845D_45D7_A034_0DE4107D299F","url":"https://open-measure.atlassian.net/wiki/spaces/DIC/pages/419561522/Foundational+Identification+System"}</v>
      </c>
      <c r="E166" s="2"/>
    </row>
    <row r="167" spans="1:5" ht="13.9" thickTop="1" thickBot="1" x14ac:dyDescent="0.4">
      <c r="A167" s="3" t="str">
        <f>NodesData[[#This Row],[Common Name]]</f>
        <v>Federated SSO</v>
      </c>
      <c r="B167" s="23" t="str">
        <f>NodesData[[#This Row],[Node ID]]</f>
        <v>n74954D1A_7A80_4122_B782_01D5A8EB539E</v>
      </c>
      <c r="C167" s="4"/>
      <c r="D167" s="26" t="str" cm="1">
        <f t="array" ref="D167">IF(ROW(NodesJSON[[#This Row],[label]])&gt;ROW(NodesJSON[[#Headers],[JSON]])+1,",","") &amp;"{"&amp;twoRangesToJSON(NodesJSON[[#Headers],[label]:[url]],NodesJSON[[#This Row],[label]:[url]])&amp;"}"</f>
        <v>,{"label":"Federated SSO","id":"n74954D1A_7A80_4122_B782_01D5A8EB539E","url":""}</v>
      </c>
      <c r="E167" s="2"/>
    </row>
    <row r="168" spans="1:5" ht="13.9" thickTop="1" thickBot="1" x14ac:dyDescent="0.4">
      <c r="A168" s="3" t="str">
        <f>NodesData[[#This Row],[Common Name]]</f>
        <v>Federation Bridge</v>
      </c>
      <c r="B168" s="23" t="str">
        <f>NodesData[[#This Row],[Node ID]]</f>
        <v>nDD4D0EA3_423E_4998_B182_34DD6C3BE9A8</v>
      </c>
      <c r="C168" s="10" t="s">
        <v>791</v>
      </c>
      <c r="D168" s="26" t="str" cm="1">
        <f t="array" ref="D168">IF(ROW(NodesJSON[[#This Row],[label]])&gt;ROW(NodesJSON[[#Headers],[JSON]])+1,",","") &amp;"{"&amp;twoRangesToJSON(NodesJSON[[#Headers],[label]:[url]],NodesJSON[[#This Row],[label]:[url]])&amp;"}"</f>
        <v>,{"label":"Federation Bridge","id":"nDD4D0EA3_423E_4998_B182_34DD6C3BE9A8","url":"https://open-measure.atlassian.net/wiki/spaces/DIC/pages/419528747"}</v>
      </c>
      <c r="E168" s="2"/>
    </row>
    <row r="169" spans="1:5" ht="13.9" thickTop="1" thickBot="1" x14ac:dyDescent="0.4">
      <c r="A169" s="3" t="str">
        <f>NodesData[[#This Row],[Common Name]]</f>
        <v>FIM</v>
      </c>
      <c r="B169" s="23" t="str">
        <f>NodesData[[#This Row],[Node ID]]</f>
        <v>nC7FE17A9_7896_460F_B18F_651313DE938B</v>
      </c>
      <c r="C169" s="10" t="s">
        <v>793</v>
      </c>
      <c r="D169" s="26" t="str" cm="1">
        <f t="array" ref="D169">IF(ROW(NodesJSON[[#This Row],[label]])&gt;ROW(NodesJSON[[#Headers],[JSON]])+1,",","") &amp;"{"&amp;twoRangesToJSON(NodesJSON[[#Headers],[label]:[url]],NodesJSON[[#This Row],[label]:[url]])&amp;"}"</f>
        <v>,{"label":"FIM","id":"nC7FE17A9_7896_460F_B18F_651313DE938B","url":"https://open-measure.atlassian.net/wiki/spaces/DIC/pages/1229619254"}</v>
      </c>
      <c r="E169" s="2"/>
    </row>
    <row r="170" spans="1:5" ht="13.9" thickTop="1" thickBot="1" x14ac:dyDescent="0.4">
      <c r="A170" s="3" t="str">
        <f>NodesData[[#This Row],[Common Name]]</f>
        <v>Financial-grade API</v>
      </c>
      <c r="B170" s="23" t="str">
        <f>NodesData[[#This Row],[Node ID]]</f>
        <v>n7ED0A0F0_C8C5_4D50_B320_7841B6D641DC</v>
      </c>
      <c r="C170" s="4"/>
      <c r="D170" s="26" t="str" cm="1">
        <f t="array" ref="D170">IF(ROW(NodesJSON[[#This Row],[label]])&gt;ROW(NodesJSON[[#Headers],[JSON]])+1,",","") &amp;"{"&amp;twoRangesToJSON(NodesJSON[[#Headers],[label]:[url]],NodesJSON[[#This Row],[label]:[url]])&amp;"}"</f>
        <v>,{"label":"Financial-grade API","id":"n7ED0A0F0_C8C5_4D50_B320_7841B6D641DC","url":""}</v>
      </c>
      <c r="E170" s="2"/>
    </row>
    <row r="171" spans="1:5" ht="13.9" thickTop="1" thickBot="1" x14ac:dyDescent="0.4">
      <c r="A171" s="3" t="str">
        <f>NodesData[[#This Row],[Common Name]]</f>
        <v>Fingerprint Recognition Authentication</v>
      </c>
      <c r="B171" s="23" t="str">
        <f>NodesData[[#This Row],[Node ID]]</f>
        <v>nAACCE65E_6554_4FBD_B4D7_A3BA8E3BDB92</v>
      </c>
      <c r="C171" s="4"/>
      <c r="D171" s="26" t="str" cm="1">
        <f t="array" ref="D171">IF(ROW(NodesJSON[[#This Row],[label]])&gt;ROW(NodesJSON[[#Headers],[JSON]])+1,",","") &amp;"{"&amp;twoRangesToJSON(NodesJSON[[#Headers],[label]:[url]],NodesJSON[[#This Row],[label]:[url]])&amp;"}"</f>
        <v>,{"label":"Fingerprint Recognition Authentication","id":"nAACCE65E_6554_4FBD_B4D7_A3BA8E3BDB92","url":""}</v>
      </c>
      <c r="E171" s="2"/>
    </row>
    <row r="172" spans="1:5" ht="13.9" thickTop="1" thickBot="1" x14ac:dyDescent="0.4">
      <c r="A172" s="3" t="str">
        <f>NodesData[[#This Row],[Common Name]]</f>
        <v>FinTech</v>
      </c>
      <c r="B172" s="23" t="str">
        <f>NodesData[[#This Row],[Node ID]]</f>
        <v>n24C70F4C_4BF0_490D_B57B_FE1D78BCC3DF</v>
      </c>
      <c r="C172" s="4"/>
      <c r="D172" s="26" t="str" cm="1">
        <f t="array" ref="D172">IF(ROW(NodesJSON[[#This Row],[label]])&gt;ROW(NodesJSON[[#Headers],[JSON]])+1,",","") &amp;"{"&amp;twoRangesToJSON(NodesJSON[[#Headers],[label]:[url]],NodesJSON[[#This Row],[label]:[url]])&amp;"}"</f>
        <v>,{"label":"FinTech","id":"n24C70F4C_4BF0_490D_B57B_FE1D78BCC3DF","url":""}</v>
      </c>
      <c r="E172" s="2"/>
    </row>
    <row r="173" spans="1:5" ht="13.9" thickTop="1" thickBot="1" x14ac:dyDescent="0.4">
      <c r="A173" s="3" t="str">
        <f>NodesData[[#This Row],[Common Name]]</f>
        <v>Flexibility</v>
      </c>
      <c r="B173" s="23" t="str">
        <f>NodesData[[#This Row],[Node ID]]</f>
        <v>nC4DC482E_7938_4C4B_B8F7_24B6E883D324</v>
      </c>
      <c r="C173" s="10" t="s">
        <v>795</v>
      </c>
      <c r="D173" s="26" t="str" cm="1">
        <f t="array" ref="D173">IF(ROW(NodesJSON[[#This Row],[label]])&gt;ROW(NodesJSON[[#Headers],[JSON]])+1,",","") &amp;"{"&amp;twoRangesToJSON(NodesJSON[[#Headers],[label]:[url]],NodesJSON[[#This Row],[label]:[url]])&amp;"}"</f>
        <v>,{"label":"Flexibility","id":"nC4DC482E_7938_4C4B_B8F7_24B6E883D324","url":"https://open-measure.atlassian.net/wiki/spaces/DIC/pages/966557699"}</v>
      </c>
      <c r="E173" s="2"/>
    </row>
    <row r="174" spans="1:5" ht="13.9" thickTop="1" thickBot="1" x14ac:dyDescent="0.4">
      <c r="A174" s="3" t="str">
        <f>NodesData[[#This Row],[Common Name]]</f>
        <v>Flow Analysis</v>
      </c>
      <c r="B174" s="23" t="str">
        <f>NodesData[[#This Row],[Node ID]]</f>
        <v>n37CDF385_8395_4EBE_AD68_6B887D23D64B</v>
      </c>
      <c r="C174" s="8"/>
      <c r="D174" s="26" t="str" cm="1">
        <f t="array" ref="D174">IF(ROW(NodesJSON[[#This Row],[label]])&gt;ROW(NodesJSON[[#Headers],[JSON]])+1,",","") &amp;"{"&amp;twoRangesToJSON(NodesJSON[[#Headers],[label]:[url]],NodesJSON[[#This Row],[label]:[url]])&amp;"}"</f>
        <v>,{"label":"Flow Analysis","id":"n37CDF385_8395_4EBE_AD68_6B887D23D64B","url":""}</v>
      </c>
      <c r="E174" s="2"/>
    </row>
    <row r="175" spans="1:5" ht="13.9" thickTop="1" thickBot="1" x14ac:dyDescent="0.4">
      <c r="A175" s="3" t="str">
        <f>NodesData[[#This Row],[Common Name]]</f>
        <v>Forged Identity</v>
      </c>
      <c r="B175" s="23" t="str">
        <f>NodesData[[#This Row],[Node ID]]</f>
        <v>n958F4918_D853_4DF1_A3CD_255CE2FA5AD2</v>
      </c>
      <c r="C175" s="4"/>
      <c r="D175" s="26" t="str" cm="1">
        <f t="array" ref="D175">IF(ROW(NodesJSON[[#This Row],[label]])&gt;ROW(NodesJSON[[#Headers],[JSON]])+1,",","") &amp;"{"&amp;twoRangesToJSON(NodesJSON[[#Headers],[label]:[url]],NodesJSON[[#This Row],[label]:[url]])&amp;"}"</f>
        <v>,{"label":"Forged Identity","id":"n958F4918_D853_4DF1_A3CD_255CE2FA5AD2","url":""}</v>
      </c>
      <c r="E175" s="2"/>
    </row>
    <row r="176" spans="1:5" ht="13.9" thickTop="1" thickBot="1" x14ac:dyDescent="0.4">
      <c r="A176" s="3" t="str">
        <f>NodesData[[#This Row],[Common Name]]</f>
        <v>Formal Verification</v>
      </c>
      <c r="B176" s="23" t="str">
        <f>NodesData[[#This Row],[Node ID]]</f>
        <v>nFEC9BD6E_999E_4253_A00A_CDCD708BCD59</v>
      </c>
      <c r="C176" s="10" t="s">
        <v>797</v>
      </c>
      <c r="D176" s="26" t="str" cm="1">
        <f t="array" ref="D176">IF(ROW(NodesJSON[[#This Row],[label]])&gt;ROW(NodesJSON[[#Headers],[JSON]])+1,",","") &amp;"{"&amp;twoRangesToJSON(NodesJSON[[#Headers],[label]:[url]],NodesJSON[[#This Row],[label]:[url]])&amp;"}"</f>
        <v>,{"label":"Formal Verification","id":"nFEC9BD6E_999E_4253_A00A_CDCD708BCD59","url":"https://open-measure.atlassian.net/wiki/spaces/DIC/pages/1177846011"}</v>
      </c>
      <c r="E176" s="2"/>
    </row>
    <row r="177" spans="1:5" ht="13.9" thickTop="1" thickBot="1" x14ac:dyDescent="0.4">
      <c r="A177" s="3" t="str">
        <f>NodesData[[#This Row],[Common Name]]</f>
        <v>Foundational Identification System</v>
      </c>
      <c r="B177" s="23" t="str">
        <f>NodesData[[#This Row],[Node ID]]</f>
        <v>n57922764_7F8B_43B4_9441_59AC52F06D1B</v>
      </c>
      <c r="C177" s="10" t="s">
        <v>799</v>
      </c>
      <c r="D177" s="26" t="str" cm="1">
        <f t="array" ref="D177">IF(ROW(NodesJSON[[#This Row],[label]])&gt;ROW(NodesJSON[[#Headers],[JSON]])+1,",","") &amp;"{"&amp;twoRangesToJSON(NodesJSON[[#Headers],[label]:[url]],NodesJSON[[#This Row],[label]:[url]])&amp;"}"</f>
        <v>,{"label":"Foundational Identification System","id":"n57922764_7F8B_43B4_9441_59AC52F06D1B","url":"https://open-measure.atlassian.net/wiki/spaces/DIC/pages/998047786"}</v>
      </c>
      <c r="E177" s="2"/>
    </row>
    <row r="178" spans="1:5" ht="13.9" thickTop="1" thickBot="1" x14ac:dyDescent="0.4">
      <c r="A178" s="3" t="str">
        <f>NodesData[[#This Row],[Common Name]]</f>
        <v>Front-end Authentication</v>
      </c>
      <c r="B178" s="23" t="str">
        <f>NodesData[[#This Row],[Node ID]]</f>
        <v>nA316CFA4_7E99_428D_92EE_4261D71E8D69</v>
      </c>
      <c r="C178" s="10" t="s">
        <v>801</v>
      </c>
      <c r="D178" s="26" t="str" cm="1">
        <f t="array" ref="D178">IF(ROW(NodesJSON[[#This Row],[label]])&gt;ROW(NodesJSON[[#Headers],[JSON]])+1,",","") &amp;"{"&amp;twoRangesToJSON(NodesJSON[[#Headers],[label]:[url]],NodesJSON[[#This Row],[label]:[url]])&amp;"}"</f>
        <v>,{"label":"Front-end Authentication","id":"nA316CFA4_7E99_428D_92EE_4261D71E8D69","url":"https://open-measure.atlassian.net/wiki/spaces/DIC/pages/998277156"}</v>
      </c>
      <c r="E178" s="2"/>
    </row>
    <row r="179" spans="1:5" ht="13.9" thickTop="1" thickBot="1" x14ac:dyDescent="0.4">
      <c r="A179" s="3" t="str">
        <f>NodesData[[#This Row],[Common Name]]</f>
        <v>Functional Identification System</v>
      </c>
      <c r="B179" s="23" t="str">
        <f>NodesData[[#This Row],[Node ID]]</f>
        <v>n38A1520C_9EE3_4410_BDCE_EF269F09EC11</v>
      </c>
      <c r="C179" s="10" t="s">
        <v>802</v>
      </c>
      <c r="D179" s="26" t="str" cm="1">
        <f t="array" ref="D179">IF(ROW(NodesJSON[[#This Row],[label]])&gt;ROW(NodesJSON[[#Headers],[JSON]])+1,",","") &amp;"{"&amp;twoRangesToJSON(NodesJSON[[#Headers],[label]:[url]],NodesJSON[[#This Row],[label]:[url]])&amp;"}"</f>
        <v>,{"label":"Functional Identification System","id":"n38A1520C_9EE3_4410_BDCE_EF269F09EC11","url":"https://open-measure.atlassian.net/wiki/spaces/DIC/pages/1572865/IAG"}</v>
      </c>
      <c r="E179" s="2"/>
    </row>
    <row r="180" spans="1:5" ht="13.9" thickTop="1" thickBot="1" x14ac:dyDescent="0.4">
      <c r="A180" s="3" t="str">
        <f>NodesData[[#This Row],[Common Name]]</f>
        <v>Functional System</v>
      </c>
      <c r="B180" s="23" t="str">
        <f>NodesData[[#This Row],[Node ID]]</f>
        <v>n053A92F1_5083_4E3C_8C99_65FB345EE29F</v>
      </c>
      <c r="C180" s="10" t="s">
        <v>803</v>
      </c>
      <c r="D180" s="26" t="str" cm="1">
        <f t="array" ref="D180">IF(ROW(NodesJSON[[#This Row],[label]])&gt;ROW(NodesJSON[[#Headers],[JSON]])+1,",","") &amp;"{"&amp;twoRangesToJSON(NodesJSON[[#Headers],[label]:[url]],NodesJSON[[#This Row],[label]:[url]])&amp;"}"</f>
        <v>,{"label":"Functional System","id":"n053A92F1_5083_4E3C_8C99_65FB345EE29F","url":"https://open-measure.atlassian.net/wiki/spaces/DIC/pages/1081356/IAM"}</v>
      </c>
      <c r="E180" s="2"/>
    </row>
    <row r="181" spans="1:5" ht="13.9" thickTop="1" thickBot="1" x14ac:dyDescent="0.4">
      <c r="A181" s="3" t="str">
        <f>NodesData[[#This Row],[Common Name]]</f>
        <v>Gait Recognition Authentication</v>
      </c>
      <c r="B181" s="23" t="str">
        <f>NodesData[[#This Row],[Node ID]]</f>
        <v>nF5B3A52F_6645_4E18_BE53_3CA330AAEC4A</v>
      </c>
      <c r="C181" s="10" t="s">
        <v>805</v>
      </c>
      <c r="D181" s="26" t="str" cm="1">
        <f t="array" ref="D181">IF(ROW(NodesJSON[[#This Row],[label]])&gt;ROW(NodesJSON[[#Headers],[JSON]])+1,",","") &amp;"{"&amp;twoRangesToJSON(NodesJSON[[#Headers],[label]:[url]],NodesJSON[[#This Row],[label]:[url]])&amp;"}"</f>
        <v>,{"label":"Gait Recognition Authentication","id":"nF5B3A52F_6645_4E18_BE53_3CA330AAEC4A","url":"https://open-measure.atlassian.net/wiki/spaces/DIC/pages/1037926677"}</v>
      </c>
      <c r="E181" s="2"/>
    </row>
    <row r="182" spans="1:5" ht="13.9" thickTop="1" thickBot="1" x14ac:dyDescent="0.4">
      <c r="A182" s="3" t="str">
        <f>NodesData[[#This Row],[Common Name]]</f>
        <v>Geo-localization Authentication</v>
      </c>
      <c r="B182" s="23" t="str">
        <f>NodesData[[#This Row],[Node ID]]</f>
        <v>nFA8764B3_A099_4BC5_A496_69DDA8F0CAC5</v>
      </c>
      <c r="C182" s="10" t="s">
        <v>807</v>
      </c>
      <c r="D182" s="26" t="str" cm="1">
        <f t="array" ref="D182">IF(ROW(NodesJSON[[#This Row],[label]])&gt;ROW(NodesJSON[[#Headers],[JSON]])+1,",","") &amp;"{"&amp;twoRangesToJSON(NodesJSON[[#Headers],[label]:[url]],NodesJSON[[#This Row],[label]:[url]])&amp;"}"</f>
        <v>,{"label":"Geo-localization Authentication","id":"nFA8764B3_A099_4BC5_A496_69DDA8F0CAC5","url":"https://open-measure.atlassian.net/wiki/spaces/DIC/pages/82838735"}</v>
      </c>
      <c r="E182" s="2"/>
    </row>
    <row r="183" spans="1:5" ht="13.9" thickTop="1" thickBot="1" x14ac:dyDescent="0.4">
      <c r="A183" s="3" t="str">
        <f>NodesData[[#This Row],[Common Name]]</f>
        <v>Graphical Password-Based Authentication</v>
      </c>
      <c r="B183" s="23" t="str">
        <f>NodesData[[#This Row],[Node ID]]</f>
        <v>nBEC4F328_7640_4005_B2B5_DE2C74B06CE0</v>
      </c>
      <c r="C183" s="10" t="s">
        <v>809</v>
      </c>
      <c r="D183" s="26" t="str" cm="1">
        <f t="array" ref="D183">IF(ROW(NodesJSON[[#This Row],[label]])&gt;ROW(NodesJSON[[#Headers],[JSON]])+1,",","") &amp;"{"&amp;twoRangesToJSON(NodesJSON[[#Headers],[label]:[url]],NodesJSON[[#This Row],[label]:[url]])&amp;"}"</f>
        <v>,{"label":"Graphical Password-Based Authentication","id":"nBEC4F328_7640_4005_B2B5_DE2C74B06CE0","url":"https://open-measure.atlassian.net/wiki/spaces/DIC/pages/234487971"}</v>
      </c>
      <c r="E183" s="2"/>
    </row>
    <row r="184" spans="1:5" ht="13.9" thickTop="1" thickBot="1" x14ac:dyDescent="0.4">
      <c r="A184" s="3" t="str">
        <f>NodesData[[#This Row],[Common Name]]</f>
        <v>Guest Account</v>
      </c>
      <c r="B184" s="23" t="str">
        <f>NodesData[[#This Row],[Node ID]]</f>
        <v>nE943B166_DDA1_4E51_8018_B658EF2F6050</v>
      </c>
      <c r="C184" s="10" t="s">
        <v>811</v>
      </c>
      <c r="D184" s="26" t="str" cm="1">
        <f t="array" ref="D184">IF(ROW(NodesJSON[[#This Row],[label]])&gt;ROW(NodesJSON[[#Headers],[JSON]])+1,",","") &amp;"{"&amp;twoRangesToJSON(NodesJSON[[#Headers],[label]:[url]],NodesJSON[[#This Row],[label]:[url]])&amp;"}"</f>
        <v>,{"label":"Guest Account","id":"nE943B166_DDA1_4E51_8018_B658EF2F6050","url":"https://open-measure.atlassian.net/wiki/spaces/DIC/pages/1149468857"}</v>
      </c>
      <c r="E184" s="2"/>
    </row>
    <row r="185" spans="1:5" ht="13.9" thickTop="1" thickBot="1" x14ac:dyDescent="0.4">
      <c r="A185" s="3" t="str">
        <f>NodesData[[#This Row],[Common Name]]</f>
        <v>Hand Gestures Recognition Authentication</v>
      </c>
      <c r="B185" s="23" t="str">
        <f>NodesData[[#This Row],[Node ID]]</f>
        <v>nE75296C8_9CA1_417E_B05B_CC1BDF26F9C3</v>
      </c>
      <c r="C185" s="10" t="s">
        <v>813</v>
      </c>
      <c r="D185" s="26" t="str" cm="1">
        <f t="array" ref="D185">IF(ROW(NodesJSON[[#This Row],[label]])&gt;ROW(NodesJSON[[#Headers],[JSON]])+1,",","") &amp;"{"&amp;twoRangesToJSON(NodesJSON[[#Headers],[label]:[url]],NodesJSON[[#This Row],[label]:[url]])&amp;"}"</f>
        <v>,{"label":"Hand Gestures Recognition Authentication","id":"nE75296C8_9CA1_417E_B05B_CC1BDF26F9C3","url":"https://open-measure.atlassian.net/wiki/spaces/DIC/pages/149356545"}</v>
      </c>
      <c r="E185" s="2"/>
    </row>
    <row r="186" spans="1:5" ht="13.9" thickTop="1" thickBot="1" x14ac:dyDescent="0.4">
      <c r="A186" s="3" t="str">
        <f>NodesData[[#This Row],[Common Name]]</f>
        <v>Heartbeats Recognition Authentication</v>
      </c>
      <c r="B186" s="23" t="str">
        <f>NodesData[[#This Row],[Node ID]]</f>
        <v>n3E35442D_91A0_4B21_B0FC_31EF1D8BC55F</v>
      </c>
      <c r="C186" s="10" t="s">
        <v>815</v>
      </c>
      <c r="D186" s="26" t="str" cm="1">
        <f t="array" ref="D186">IF(ROW(NodesJSON[[#This Row],[label]])&gt;ROW(NodesJSON[[#Headers],[JSON]])+1,",","") &amp;"{"&amp;twoRangesToJSON(NodesJSON[[#Headers],[label]:[url]],NodesJSON[[#This Row],[label]:[url]])&amp;"}"</f>
        <v>,{"label":"Heartbeats Recognition Authentication","id":"n3E35442D_91A0_4B21_B0FC_31EF1D8BC55F","url":"https://open-measure.atlassian.net/wiki/spaces/DIC/pages/419659837"}</v>
      </c>
      <c r="E186" s="2"/>
    </row>
    <row r="187" spans="1:5" ht="13.9" thickTop="1" thickBot="1" x14ac:dyDescent="0.4">
      <c r="A187" s="3" t="str">
        <f>NodesData[[#This Row],[Common Name]]</f>
        <v>High Water Mark Principle</v>
      </c>
      <c r="B187" s="23" t="str">
        <f>NodesData[[#This Row],[Node ID]]</f>
        <v>n7457AC3C_F0BA_459B_9A5D_91BA732BAF2F</v>
      </c>
      <c r="C187" s="10" t="s">
        <v>817</v>
      </c>
      <c r="D187" s="26" t="str" cm="1">
        <f t="array" ref="D187">IF(ROW(NodesJSON[[#This Row],[label]])&gt;ROW(NodesJSON[[#Headers],[JSON]])+1,",","") &amp;"{"&amp;twoRangesToJSON(NodesJSON[[#Headers],[label]:[url]],NodesJSON[[#This Row],[label]:[url]])&amp;"}"</f>
        <v>,{"label":"High Water Mark Principle","id":"n7457AC3C_F0BA_459B_9A5D_91BA732BAF2F","url":"https://open-measure.atlassian.net/wiki/spaces/DIC/pages/419758113"}</v>
      </c>
      <c r="E187" s="2"/>
    </row>
    <row r="188" spans="1:5" ht="13.9" thickTop="1" thickBot="1" x14ac:dyDescent="0.4">
      <c r="A188" s="3" t="str">
        <f>NodesData[[#This Row],[Common Name]]</f>
        <v>Human Error</v>
      </c>
      <c r="B188" s="23" t="str">
        <f>NodesData[[#This Row],[Node ID]]</f>
        <v>nDB531138_5CD4_4604_965F_9676F4CF6D57</v>
      </c>
      <c r="C188" s="10" t="s">
        <v>819</v>
      </c>
      <c r="D188" s="26" t="str" cm="1">
        <f t="array" ref="D188">IF(ROW(NodesJSON[[#This Row],[label]])&gt;ROW(NodesJSON[[#Headers],[JSON]])+1,",","") &amp;"{"&amp;twoRangesToJSON(NodesJSON[[#Headers],[label]:[url]],NodesJSON[[#This Row],[label]:[url]])&amp;"}"</f>
        <v>,{"label":"Human Error","id":"nDB531138_5CD4_4604_965F_9676F4CF6D57","url":"https://open-measure.atlassian.net/wiki/spaces/DIC/pages/435322922"}</v>
      </c>
      <c r="E188" s="2"/>
    </row>
    <row r="189" spans="1:5" ht="13.9" thickTop="1" thickBot="1" x14ac:dyDescent="0.4">
      <c r="A189" s="3" t="str">
        <f>NodesData[[#This Row],[Common Name]]</f>
        <v>Human Reliability</v>
      </c>
      <c r="B189" s="23" t="str">
        <f>NodesData[[#This Row],[Node ID]]</f>
        <v>n2C274975_7B46_4E24_8A70_7B0858D9811F</v>
      </c>
      <c r="C189" s="10" t="s">
        <v>820</v>
      </c>
      <c r="D189" s="26" t="str" cm="1">
        <f t="array" ref="D189">IF(ROW(NodesJSON[[#This Row],[label]])&gt;ROW(NodesJSON[[#Headers],[JSON]])+1,",","") &amp;"{"&amp;twoRangesToJSON(NodesJSON[[#Headers],[label]:[url]],NodesJSON[[#This Row],[label]:[url]])&amp;"}"</f>
        <v>,{"label":"Human Reliability","id":"n2C274975_7B46_4E24_8A70_7B0858D9811F","url":"https://open-measure.atlassian.net/wiki/spaces/DIC/pages/1311113273/Identifier+Registry+Model"}</v>
      </c>
      <c r="E189" s="2"/>
    </row>
    <row r="190" spans="1:5" ht="13.9" thickTop="1" thickBot="1" x14ac:dyDescent="0.4">
      <c r="A190" s="3" t="str">
        <f>NodesData[[#This Row],[Common Name]]</f>
        <v>IAG</v>
      </c>
      <c r="B190" s="23" t="str">
        <f>NodesData[[#This Row],[Node ID]]</f>
        <v>nE137080A_673D_49B5_B79E_E40DCA00457A</v>
      </c>
      <c r="C190" s="10" t="s">
        <v>822</v>
      </c>
      <c r="D190" s="26" t="str" cm="1">
        <f t="array" ref="D190">IF(ROW(NodesJSON[[#This Row],[label]])&gt;ROW(NodesJSON[[#Headers],[JSON]])+1,",","") &amp;"{"&amp;twoRangesToJSON(NodesJSON[[#Headers],[label]:[url]],NodesJSON[[#This Row],[label]:[url]])&amp;"}"</f>
        <v>,{"label":"IAG","id":"nE137080A_673D_49B5_B79E_E40DCA00457A","url":"https://open-measure.atlassian.net/wiki/spaces/DIC/pages/67600948"}</v>
      </c>
      <c r="E190" s="2"/>
    </row>
    <row r="191" spans="1:5" ht="13.9" thickTop="1" thickBot="1" x14ac:dyDescent="0.4">
      <c r="A191" s="3" t="str">
        <f>NodesData[[#This Row],[Common Name]]</f>
        <v>IAM</v>
      </c>
      <c r="B191" s="23" t="str">
        <f>NodesData[[#This Row],[Node ID]]</f>
        <v>n9E70E20F_8AC9_4A48_83FE_BA2E942E7C88</v>
      </c>
      <c r="C191" s="10" t="s">
        <v>823</v>
      </c>
      <c r="D191" s="26" t="str" cm="1">
        <f t="array" ref="D191">IF(ROW(NodesJSON[[#This Row],[label]])&gt;ROW(NodesJSON[[#Headers],[JSON]])+1,",","") &amp;"{"&amp;twoRangesToJSON(NodesJSON[[#Headers],[label]:[url]],NodesJSON[[#This Row],[label]:[url]])&amp;"}"</f>
        <v>,{"label":"IAM","id":"n9E70E20F_8AC9_4A48_83FE_BA2E942E7C88","url":"https://open-measure.atlassian.net/wiki/spaces/DIC/pages/1600618542/Identity+Aggregation"}</v>
      </c>
      <c r="E191" s="2"/>
    </row>
    <row r="192" spans="1:5" ht="13.9" thickTop="1" thickBot="1" x14ac:dyDescent="0.4">
      <c r="A192" s="3" t="str">
        <f>NodesData[[#This Row],[Common Name]]</f>
        <v>IAM ARN</v>
      </c>
      <c r="B192" s="23" t="str">
        <f>NodesData[[#This Row],[Node ID]]</f>
        <v>nD20859BA_5BFA_4068_B1B8_4E74C6744811</v>
      </c>
      <c r="C192" s="10" t="s">
        <v>824</v>
      </c>
      <c r="D192" s="26" t="str" cm="1">
        <f t="array" ref="D192">IF(ROW(NodesJSON[[#This Row],[label]])&gt;ROW(NodesJSON[[#Headers],[JSON]])+1,",","") &amp;"{"&amp;twoRangesToJSON(NodesJSON[[#Headers],[label]:[url]],NodesJSON[[#This Row],[label]:[url]])&amp;"}"</f>
        <v>,{"label":"IAM ARN","id":"nD20859BA_5BFA_4068_B1B8_4E74C6744811","url":"https://open-measure.atlassian.net/wiki/spaces/DIC/pages/1458176007/Identity+and+Access+Governance"}</v>
      </c>
      <c r="E192" s="2"/>
    </row>
    <row r="193" spans="1:5" ht="13.9" thickTop="1" thickBot="1" x14ac:dyDescent="0.4">
      <c r="A193" s="3" t="str">
        <f>NodesData[[#This Row],[Common Name]]</f>
        <v>IAM Management</v>
      </c>
      <c r="B193" s="23" t="str">
        <f>NodesData[[#This Row],[Node ID]]</f>
        <v>n4D07384C_221F_41CD_941F_F0FD865EE0EB</v>
      </c>
      <c r="C193" s="10" t="s">
        <v>825</v>
      </c>
      <c r="D193" s="26" t="str" cm="1">
        <f t="array" ref="D193">IF(ROW(NodesJSON[[#This Row],[label]])&gt;ROW(NodesJSON[[#Headers],[JSON]])+1,",","") &amp;"{"&amp;twoRangesToJSON(NodesJSON[[#Headers],[label]:[url]],NodesJSON[[#This Row],[label]:[url]])&amp;"}"</f>
        <v>,{"label":"IAM Management","id":"n4D07384C_221F_41CD_941F_F0FD865EE0EB","url":"https://open-measure.atlassian.net/wiki/spaces/DIC/pages/1409143/Identity+and+Access+Management"}</v>
      </c>
      <c r="E193" s="2"/>
    </row>
    <row r="194" spans="1:5" ht="13.9" thickTop="1" thickBot="1" x14ac:dyDescent="0.4">
      <c r="A194" s="3" t="str">
        <f>NodesData[[#This Row],[Common Name]]</f>
        <v>IAP</v>
      </c>
      <c r="B194" s="23" t="str">
        <f>NodesData[[#This Row],[Node ID]]</f>
        <v>nA093745B_C215_44C5_9618_075099F0D7DA</v>
      </c>
      <c r="C194" s="10" t="s">
        <v>848</v>
      </c>
      <c r="D194" s="26" t="str" cm="1">
        <f t="array" ref="D194">IF(ROW(NodesJSON[[#This Row],[label]])&gt;ROW(NodesJSON[[#Headers],[JSON]])+1,",","") &amp;"{"&amp;twoRangesToJSON(NodesJSON[[#Headers],[label]:[url]],NodesJSON[[#This Row],[label]:[url]])&amp;"}"</f>
        <v>,{"label":"IAP","id":"nA093745B_C215_44C5_9618_075099F0D7DA","url":"https://open-measure.atlassian.net/wiki/spaces/DIC/pages/1152516217"}</v>
      </c>
      <c r="E194" s="2"/>
    </row>
    <row r="195" spans="1:5" ht="13.9" thickTop="1" thickBot="1" x14ac:dyDescent="0.4">
      <c r="A195" s="3" t="str">
        <f>NodesData[[#This Row],[Common Name]]</f>
        <v>IDaaS</v>
      </c>
      <c r="B195" s="23" t="str">
        <f>NodesData[[#This Row],[Node ID]]</f>
        <v>nDCAD400F_962A_4D5B_A523_07C3D5D11C2F</v>
      </c>
      <c r="C195" s="10" t="s">
        <v>826</v>
      </c>
      <c r="D195" s="26" t="str" cm="1">
        <f t="array" ref="D195">IF(ROW(NodesJSON[[#This Row],[label]])&gt;ROW(NodesJSON[[#Headers],[JSON]])+1,",","") &amp;"{"&amp;twoRangesToJSON(NodesJSON[[#Headers],[label]:[url]],NodesJSON[[#This Row],[label]:[url]])&amp;"}"</f>
        <v>,{"label":"IDaaS","id":"nDCAD400F_962A_4D5B_A523_07C3D5D11C2F","url":"https://open-measure.atlassian.net/wiki/spaces/DIC/pages/1600749655/Identity+Assurance"}</v>
      </c>
      <c r="E195" s="2"/>
    </row>
    <row r="196" spans="1:5" ht="13.9" thickTop="1" thickBot="1" x14ac:dyDescent="0.4">
      <c r="A196" s="3" t="str">
        <f>NodesData[[#This Row],[Common Name]]</f>
        <v>Ideal Type</v>
      </c>
      <c r="B196" s="23" t="str">
        <f>NodesData[[#This Row],[Node ID]]</f>
        <v>n36ADA97B_45B1_4B3E_9BB8_5ED9EE8FFF07</v>
      </c>
      <c r="C196" s="10" t="s">
        <v>828</v>
      </c>
      <c r="D196" s="26" t="str" cm="1">
        <f t="array" ref="D196">IF(ROW(NodesJSON[[#This Row],[label]])&gt;ROW(NodesJSON[[#Headers],[JSON]])+1,",","") &amp;"{"&amp;twoRangesToJSON(NodesJSON[[#Headers],[label]:[url]],NodesJSON[[#This Row],[label]:[url]])&amp;"}"</f>
        <v>,{"label":"Ideal Type","id":"n36ADA97B_45B1_4B3E_9BB8_5ED9EE8FFF07","url":"https://open-measure.atlassian.net/wiki/spaces/DIC/pages/82903275"}</v>
      </c>
      <c r="E196" s="2"/>
    </row>
    <row r="197" spans="1:5" ht="13.9" thickTop="1" thickBot="1" x14ac:dyDescent="0.4">
      <c r="A197" s="3" t="str">
        <f>NodesData[[#This Row],[Common Name]]</f>
        <v>Identification</v>
      </c>
      <c r="B197" s="23" t="str">
        <f>NodesData[[#This Row],[Node ID]]</f>
        <v>nDE675697_10CB_42A7_971F_C62CCDC742AB</v>
      </c>
      <c r="C197" s="10" t="s">
        <v>850</v>
      </c>
      <c r="D197" s="26" t="str" cm="1">
        <f t="array" ref="D197">IF(ROW(NodesJSON[[#This Row],[label]])&gt;ROW(NodesJSON[[#Headers],[JSON]])+1,",","") &amp;"{"&amp;twoRangesToJSON(NodesJSON[[#Headers],[label]:[url]],NodesJSON[[#This Row],[label]:[url]])&amp;"}"</f>
        <v>,{"label":"Identification","id":"nDE675697_10CB_42A7_971F_C62CCDC742AB","url":"https://open-measure.atlassian.net/wiki/spaces/DIC/pages/236748873"}</v>
      </c>
      <c r="E197" s="2"/>
    </row>
    <row r="198" spans="1:5" ht="13.9" thickTop="1" thickBot="1" x14ac:dyDescent="0.4">
      <c r="A198" s="3" t="str">
        <f>NodesData[[#This Row],[Common Name]]</f>
        <v>Identification System</v>
      </c>
      <c r="B198" s="23" t="str">
        <f>NodesData[[#This Row],[Node ID]]</f>
        <v>n07633555_1CF5_4F31_8EB2_BF5AE15BFE5B</v>
      </c>
      <c r="C198" s="10" t="s">
        <v>829</v>
      </c>
      <c r="D198" s="26" t="str" cm="1">
        <f t="array" ref="D198">IF(ROW(NodesJSON[[#This Row],[label]])&gt;ROW(NodesJSON[[#Headers],[JSON]])+1,",","") &amp;"{"&amp;twoRangesToJSON(NodesJSON[[#Headers],[label]:[url]],NodesJSON[[#This Row],[label]:[url]])&amp;"}"</f>
        <v>,{"label":"Identification System","id":"n07633555_1CF5_4F31_8EB2_BF5AE15BFE5B","url":"https://open-measure.atlassian.net/wiki/spaces/DIC/pages/123896632/Identity+Establishment"}</v>
      </c>
      <c r="E198" s="2"/>
    </row>
    <row r="199" spans="1:5" ht="13.9" thickTop="1" thickBot="1" x14ac:dyDescent="0.4">
      <c r="A199" s="3" t="str">
        <f>NodesData[[#This Row],[Common Name]]</f>
        <v>Identifier</v>
      </c>
      <c r="B199" s="23" t="str">
        <f>NodesData[[#This Row],[Node ID]]</f>
        <v>n12D825BF_1AD6_45DA_A3EE_F24F0C494771</v>
      </c>
      <c r="C199" s="10" t="s">
        <v>830</v>
      </c>
      <c r="D199" s="26" t="str" cm="1">
        <f t="array" ref="D199">IF(ROW(NodesJSON[[#This Row],[label]])&gt;ROW(NodesJSON[[#Headers],[JSON]])+1,",","") &amp;"{"&amp;twoRangesToJSON(NodesJSON[[#Headers],[label]:[url]],NodesJSON[[#This Row],[label]:[url]])&amp;"}"</f>
        <v>,{"label":"Identifier","id":"n12D825BF_1AD6_45DA_A3EE_F24F0C494771","url":"https://open-measure.atlassian.net/wiki/spaces/DIC/pages/336035929/Identity+Federation"}</v>
      </c>
      <c r="E199" s="2"/>
    </row>
    <row r="200" spans="1:5" ht="13.9" thickTop="1" thickBot="1" x14ac:dyDescent="0.4">
      <c r="A200" s="3" t="str">
        <f>NodesData[[#This Row],[Common Name]]</f>
        <v>Identifier Registry Model</v>
      </c>
      <c r="B200" s="23" t="str">
        <f>NodesData[[#This Row],[Node ID]]</f>
        <v>n1A14A6FB_7322_4971_AD06_EE6FE1DBEF85</v>
      </c>
      <c r="C200" s="10" t="s">
        <v>831</v>
      </c>
      <c r="D200" s="26" t="str" cm="1">
        <f t="array" ref="D200">IF(ROW(NodesJSON[[#This Row],[label]])&gt;ROW(NodesJSON[[#Headers],[JSON]])+1,",","") &amp;"{"&amp;twoRangesToJSON(NodesJSON[[#Headers],[label]:[url]],NodesJSON[[#This Row],[label]:[url]])&amp;"}"</f>
        <v>,{"label":"Identifier Registry Model","id":"n1A14A6FB_7322_4971_AD06_EE6FE1DBEF85","url":"https://open-measure.atlassian.net/wiki/spaces/DIC/pages/1323597918/Identity+Guardian"}</v>
      </c>
      <c r="E200" s="2"/>
    </row>
    <row r="201" spans="1:5" ht="13.9" thickTop="1" thickBot="1" x14ac:dyDescent="0.4">
      <c r="A201" s="3" t="str">
        <f>NodesData[[#This Row],[Common Name]]</f>
        <v>Identity</v>
      </c>
      <c r="B201" s="23" t="str">
        <f>NodesData[[#This Row],[Node ID]]</f>
        <v>n5D6597B4_7390_4065_87F6_BFCDCE5625EB</v>
      </c>
      <c r="C201" s="10" t="s">
        <v>833</v>
      </c>
      <c r="D201" s="26" t="str" cm="1">
        <f t="array" ref="D201">IF(ROW(NodesJSON[[#This Row],[label]])&gt;ROW(NodesJSON[[#Headers],[JSON]])+1,",","") &amp;"{"&amp;twoRangesToJSON(NodesJSON[[#Headers],[label]:[url]],NodesJSON[[#This Row],[label]:[url]])&amp;"}"</f>
        <v>,{"label":"Identity","id":"n5D6597B4_7390_4065_87F6_BFCDCE5625EB","url":"https://open-measure.atlassian.net/wiki/spaces/DIC/pages/67600436"}</v>
      </c>
      <c r="E201" s="2"/>
    </row>
    <row r="202" spans="1:5" ht="13.9" thickTop="1" thickBot="1" x14ac:dyDescent="0.4">
      <c r="A202" s="3" t="str">
        <f>NodesData[[#This Row],[Common Name]]</f>
        <v>Identity Aggregation</v>
      </c>
      <c r="B202" s="23" t="str">
        <f>NodesData[[#This Row],[Node ID]]</f>
        <v>n5FE194E6_55B4_4F11_8A29_041408582E45</v>
      </c>
      <c r="C202" s="10" t="s">
        <v>835</v>
      </c>
      <c r="D202" s="26" t="str" cm="1">
        <f t="array" ref="D202">IF(ROW(NodesJSON[[#This Row],[label]])&gt;ROW(NodesJSON[[#Headers],[JSON]])+1,",","") &amp;"{"&amp;twoRangesToJSON(NodesJSON[[#Headers],[label]:[url]],NodesJSON[[#This Row],[label]:[url]])&amp;"}"</f>
        <v>,{"label":"Identity Aggregation","id":"n5FE194E6_55B4_4F11_8A29_041408582E45","url":"https://open-measure.atlassian.net/wiki/spaces/DIC/pages/1122533530"}</v>
      </c>
      <c r="E202" s="2"/>
    </row>
    <row r="203" spans="1:5" ht="13.9" thickTop="1" thickBot="1" x14ac:dyDescent="0.4">
      <c r="A203" s="3" t="str">
        <f>NodesData[[#This Row],[Common Name]]</f>
        <v>Identity and Access Governance</v>
      </c>
      <c r="B203" s="23" t="str">
        <f>NodesData[[#This Row],[Node ID]]</f>
        <v>nAC531F4A_1CDD_4F70_94C5_8473E1965EEA</v>
      </c>
      <c r="C203" s="10" t="s">
        <v>837</v>
      </c>
      <c r="D203" s="26" t="str" cm="1">
        <f t="array" ref="D203">IF(ROW(NodesJSON[[#This Row],[label]])&gt;ROW(NodesJSON[[#Headers],[JSON]])+1,",","") &amp;"{"&amp;twoRangesToJSON(NodesJSON[[#Headers],[label]:[url]],NodesJSON[[#This Row],[label]:[url]])&amp;"}"</f>
        <v>,{"label":"Identity and Access Governance","id":"nAC531F4A_1CDD_4F70_94C5_8473E1965EEA","url":"https://open-measure.atlassian.net/wiki/spaces/DIC/pages/1146847286"}</v>
      </c>
      <c r="E203" s="2"/>
    </row>
    <row r="204" spans="1:5" ht="13.9" thickTop="1" thickBot="1" x14ac:dyDescent="0.4">
      <c r="A204" s="3" t="str">
        <f>NodesData[[#This Row],[Common Name]]</f>
        <v>Identity and Access Management</v>
      </c>
      <c r="B204" s="23" t="str">
        <f>NodesData[[#This Row],[Node ID]]</f>
        <v>n95B65CD1_4E0F_4180_9C1E_3B497411E687</v>
      </c>
      <c r="C204" s="10" t="s">
        <v>838</v>
      </c>
      <c r="D204" s="26" t="str" cm="1">
        <f t="array" ref="D204">IF(ROW(NodesJSON[[#This Row],[label]])&gt;ROW(NodesJSON[[#Headers],[JSON]])+1,",","") &amp;"{"&amp;twoRangesToJSON(NodesJSON[[#Headers],[label]:[url]],NodesJSON[[#This Row],[label]:[url]])&amp;"}"</f>
        <v>,{"label":"Identity and Access Management","id":"n95B65CD1_4E0F_4180_9C1E_3B497411E687","url":"https://open-measure.atlassian.net/wiki/spaces/DIC/pages/1323434004/Identity+Portability"}</v>
      </c>
      <c r="E204" s="2"/>
    </row>
    <row r="205" spans="1:5" ht="13.9" thickTop="1" thickBot="1" x14ac:dyDescent="0.4">
      <c r="A205" s="3" t="str">
        <f>NodesData[[#This Row],[Common Name]]</f>
        <v>Identity Assurance</v>
      </c>
      <c r="B205" s="23" t="str">
        <f>NodesData[[#This Row],[Node ID]]</f>
        <v>n63259FD4_267B_439E_81C4_0877FBB2B1F4</v>
      </c>
      <c r="C205" s="10" t="s">
        <v>840</v>
      </c>
      <c r="D205" s="26" t="str" cm="1">
        <f t="array" ref="D205">IF(ROW(NodesJSON[[#This Row],[label]])&gt;ROW(NodesJSON[[#Headers],[JSON]])+1,",","") &amp;"{"&amp;twoRangesToJSON(NodesJSON[[#Headers],[label]:[url]],NodesJSON[[#This Row],[label]:[url]])&amp;"}"</f>
        <v>,{"label":"Identity Assurance","id":"n63259FD4_267B_439E_81C4_0877FBB2B1F4","url":"https://open-measure.atlassian.net/wiki/spaces/DIC/pages/858522094"}</v>
      </c>
      <c r="E205" s="2"/>
    </row>
    <row r="206" spans="1:5" ht="13.9" thickTop="1" thickBot="1" x14ac:dyDescent="0.4">
      <c r="A206" s="3" t="str">
        <f>NodesData[[#This Row],[Common Name]]</f>
        <v>Identity Attribute</v>
      </c>
      <c r="B206" s="23" t="str">
        <f>NodesData[[#This Row],[Node ID]]</f>
        <v>n2D781A60_CB81_46E7_B4BE_BFEC7B061FE5</v>
      </c>
      <c r="C206" s="10" t="s">
        <v>842</v>
      </c>
      <c r="D206" s="26" t="str" cm="1">
        <f t="array" ref="D206">IF(ROW(NodesJSON[[#This Row],[label]])&gt;ROW(NodesJSON[[#Headers],[JSON]])+1,",","") &amp;"{"&amp;twoRangesToJSON(NodesJSON[[#Headers],[label]:[url]],NodesJSON[[#This Row],[label]:[url]])&amp;"}"</f>
        <v>,{"label":"Identity Attribute","id":"n2D781A60_CB81_46E7_B4BE_BFEC7B061FE5","url":"https://open-measure.atlassian.net/wiki/spaces/DIC/pages/810254353"}</v>
      </c>
      <c r="E206" s="2"/>
    </row>
    <row r="207" spans="1:5" ht="13.9" thickTop="1" thickBot="1" x14ac:dyDescent="0.4">
      <c r="A207" s="3" t="str">
        <f>NodesData[[#This Row],[Common Name]]</f>
        <v>Identity Establishment</v>
      </c>
      <c r="B207" s="23" t="str">
        <f>NodesData[[#This Row],[Node ID]]</f>
        <v>nDE7DDB58_F055_42EF_B2D7_1F23FA251512</v>
      </c>
      <c r="C207" s="10" t="s">
        <v>844</v>
      </c>
      <c r="D207" s="26" t="str" cm="1">
        <f t="array" ref="D207">IF(ROW(NodesJSON[[#This Row],[label]])&gt;ROW(NodesJSON[[#Headers],[JSON]])+1,",","") &amp;"{"&amp;twoRangesToJSON(NodesJSON[[#Headers],[label]:[url]],NodesJSON[[#This Row],[label]:[url]])&amp;"}"</f>
        <v>,{"label":"Identity Establishment","id":"nDE7DDB58_F055_42EF_B2D7_1F23FA251512","url":"https://open-measure.atlassian.net/wiki/spaces/DIC/pages/82838020"}</v>
      </c>
      <c r="E207" s="2"/>
    </row>
    <row r="208" spans="1:5" ht="13.9" thickTop="1" thickBot="1" x14ac:dyDescent="0.4">
      <c r="A208" s="3" t="str">
        <f>NodesData[[#This Row],[Common Name]]</f>
        <v>Identity Federation</v>
      </c>
      <c r="B208" s="23" t="str">
        <f>NodesData[[#This Row],[Node ID]]</f>
        <v>nA28C3DFF_EE9A_433F_8E87_6F1C3611654C</v>
      </c>
      <c r="C208" s="10" t="s">
        <v>846</v>
      </c>
      <c r="D208" s="26" t="str" cm="1">
        <f t="array" ref="D208">IF(ROW(NodesJSON[[#This Row],[label]])&gt;ROW(NodesJSON[[#Headers],[JSON]])+1,",","") &amp;"{"&amp;twoRangesToJSON(NodesJSON[[#Headers],[label]:[url]],NodesJSON[[#This Row],[label]:[url]])&amp;"}"</f>
        <v>,{"label":"Identity Federation","id":"nA28C3DFF_EE9A_433F_8E87_6F1C3611654C","url":"https://open-measure.atlassian.net/wiki/spaces/DIC/pages/1117913089"}</v>
      </c>
      <c r="E208" s="2"/>
    </row>
    <row r="209" spans="1:5" ht="13.9" thickTop="1" thickBot="1" x14ac:dyDescent="0.4">
      <c r="A209" s="3" t="str">
        <f>NodesData[[#This Row],[Common Name]]</f>
        <v>Identity Guardian</v>
      </c>
      <c r="B209" s="23" t="str">
        <f>NodesData[[#This Row],[Node ID]]</f>
        <v>n57BE0CB5_BAC2_4A6C_BB09_BA0710799A01</v>
      </c>
      <c r="C209" s="10" t="s">
        <v>852</v>
      </c>
      <c r="D209" s="26" t="str" cm="1">
        <f t="array" ref="D209">IF(ROW(NodesJSON[[#This Row],[label]])&gt;ROW(NodesJSON[[#Headers],[JSON]])+1,",","") &amp;"{"&amp;twoRangesToJSON(NodesJSON[[#Headers],[label]:[url]],NodesJSON[[#This Row],[label]:[url]])&amp;"}"</f>
        <v>,{"label":"Identity Guardian","id":"n57BE0CB5_BAC2_4A6C_BB09_BA0710799A01","url":"https://open-measure.atlassian.net/wiki/spaces/DIC/pages/1147043904"}</v>
      </c>
      <c r="E209" s="2"/>
    </row>
    <row r="210" spans="1:5" ht="13.9" thickTop="1" thickBot="1" x14ac:dyDescent="0.4">
      <c r="A210" s="3" t="str">
        <f>NodesData[[#This Row],[Common Name]]</f>
        <v>Identity Lifecycle</v>
      </c>
      <c r="B210" s="23" t="str">
        <f>NodesData[[#This Row],[Node ID]]</f>
        <v>n18B21D41_7371_42BA_AD55_EBF42E646C44</v>
      </c>
      <c r="C210" s="10" t="s">
        <v>854</v>
      </c>
      <c r="D210" s="26" t="str" cm="1">
        <f t="array" ref="D210">IF(ROW(NodesJSON[[#This Row],[label]])&gt;ROW(NodesJSON[[#Headers],[JSON]])+1,",","") &amp;"{"&amp;twoRangesToJSON(NodesJSON[[#Headers],[label]:[url]],NodesJSON[[#This Row],[label]:[url]])&amp;"}"</f>
        <v>,{"label":"Identity Lifecycle","id":"n18B21D41_7371_42BA_AD55_EBF42E646C44","url":"https://open-measure.atlassian.net/wiki/spaces/DIC/pages/81101362"}</v>
      </c>
      <c r="E210" s="2"/>
    </row>
    <row r="211" spans="1:5" ht="13.9" thickTop="1" thickBot="1" x14ac:dyDescent="0.4">
      <c r="A211" s="3" t="str">
        <f>NodesData[[#This Row],[Common Name]]</f>
        <v>Identity Management</v>
      </c>
      <c r="B211" s="23" t="str">
        <f>NodesData[[#This Row],[Node ID]]</f>
        <v>nE76134B5_D4DF_454A_B8A9_6698D084CDB1</v>
      </c>
      <c r="C211" s="10" t="s">
        <v>856</v>
      </c>
      <c r="D211" s="26" t="str" cm="1">
        <f t="array" ref="D211">IF(ROW(NodesJSON[[#This Row],[label]])&gt;ROW(NodesJSON[[#Headers],[JSON]])+1,",","") &amp;"{"&amp;twoRangesToJSON(NodesJSON[[#Headers],[label]:[url]],NodesJSON[[#This Row],[label]:[url]])&amp;"}"</f>
        <v>,{"label":"Identity Management","id":"nE76134B5_D4DF_454A_B8A9_6698D084CDB1","url":"https://open-measure.atlassian.net/wiki/spaces/DIC/pages/107708597"}</v>
      </c>
      <c r="E211" s="2"/>
    </row>
    <row r="212" spans="1:5" ht="13.9" thickTop="1" thickBot="1" x14ac:dyDescent="0.4">
      <c r="A212" s="3" t="str">
        <f>NodesData[[#This Row],[Common Name]]</f>
        <v>Identity Management System</v>
      </c>
      <c r="B212" s="23" t="str">
        <f>NodesData[[#This Row],[Node ID]]</f>
        <v>n3F575B2E_542A_4EE1_86A9_93DA3991C61D</v>
      </c>
      <c r="C212" s="10" t="s">
        <v>858</v>
      </c>
      <c r="D212" s="26" t="str" cm="1">
        <f t="array" ref="D212">IF(ROW(NodesJSON[[#This Row],[label]])&gt;ROW(NodesJSON[[#Headers],[JSON]])+1,",","") &amp;"{"&amp;twoRangesToJSON(NodesJSON[[#Headers],[label]:[url]],NodesJSON[[#This Row],[label]:[url]])&amp;"}"</f>
        <v>,{"label":"Identity Management System","id":"n3F575B2E_542A_4EE1_86A9_93DA3991C61D","url":"https://open-measure.atlassian.net/wiki/spaces/DIC/pages/974323719"}</v>
      </c>
      <c r="E212" s="2"/>
    </row>
    <row r="213" spans="1:5" ht="13.9" thickTop="1" thickBot="1" x14ac:dyDescent="0.4">
      <c r="A213" s="3" t="str">
        <f>NodesData[[#This Row],[Common Name]]</f>
        <v>Identity Portability</v>
      </c>
      <c r="B213" s="23" t="str">
        <f>NodesData[[#This Row],[Node ID]]</f>
        <v>nB826581E_8230_4CC8_9A14_B1F944C22935</v>
      </c>
      <c r="C213" s="4"/>
      <c r="D213" s="26" t="str" cm="1">
        <f t="array" ref="D213">IF(ROW(NodesJSON[[#This Row],[label]])&gt;ROW(NodesJSON[[#Headers],[JSON]])+1,",","") &amp;"{"&amp;twoRangesToJSON(NodesJSON[[#Headers],[label]:[url]],NodesJSON[[#This Row],[label]:[url]])&amp;"}"</f>
        <v>,{"label":"Identity Portability","id":"nB826581E_8230_4CC8_9A14_B1F944C22935","url":""}</v>
      </c>
      <c r="E213" s="2"/>
    </row>
    <row r="214" spans="1:5" ht="13.9" thickTop="1" thickBot="1" x14ac:dyDescent="0.4">
      <c r="A214" s="3" t="str">
        <f>NodesData[[#This Row],[Common Name]]</f>
        <v>Identity Proofing</v>
      </c>
      <c r="B214" s="23" t="str">
        <f>NodesData[[#This Row],[Node ID]]</f>
        <v>nA168EF24_837F_4964_BE44_E7CADDEC08AE</v>
      </c>
      <c r="C214" s="10" t="s">
        <v>860</v>
      </c>
      <c r="D214" s="26" t="str" cm="1">
        <f t="array" ref="D214">IF(ROW(NodesJSON[[#This Row],[label]])&gt;ROW(NodesJSON[[#Headers],[JSON]])+1,",","") &amp;"{"&amp;twoRangesToJSON(NodesJSON[[#Headers],[label]:[url]],NodesJSON[[#This Row],[label]:[url]])&amp;"}"</f>
        <v>,{"label":"Identity Proofing","id":"nA168EF24_837F_4964_BE44_E7CADDEC08AE","url":"https://open-measure.atlassian.net/wiki/spaces/DIC/pages/1027342618"}</v>
      </c>
      <c r="E214" s="2"/>
    </row>
    <row r="215" spans="1:5" ht="13.9" thickTop="1" thickBot="1" x14ac:dyDescent="0.4">
      <c r="A215" s="3" t="str">
        <f>NodesData[[#This Row],[Common Name]]</f>
        <v>Identity Propagation</v>
      </c>
      <c r="B215" s="23" t="str">
        <f>NodesData[[#This Row],[Node ID]]</f>
        <v>n34461AB4_2CB5_4D9C_ACD7_11E6DB87C391</v>
      </c>
      <c r="C215" s="10" t="s">
        <v>862</v>
      </c>
      <c r="D215" s="26" t="str" cm="1">
        <f t="array" ref="D215">IF(ROW(NodesJSON[[#This Row],[label]])&gt;ROW(NodesJSON[[#Headers],[JSON]])+1,",","") &amp;"{"&amp;twoRangesToJSON(NodesJSON[[#Headers],[label]:[url]],NodesJSON[[#This Row],[label]:[url]])&amp;"}"</f>
        <v>,{"label":"Identity Propagation","id":"n34461AB4_2CB5_4D9C_ACD7_11E6DB87C391","url":"https://open-measure.atlassian.net/wiki/spaces/DIC/pages/455508212"}</v>
      </c>
      <c r="E215" s="2"/>
    </row>
    <row r="216" spans="1:5" ht="13.9" thickTop="1" thickBot="1" x14ac:dyDescent="0.4">
      <c r="A216" s="3" t="str">
        <f>NodesData[[#This Row],[Common Name]]</f>
        <v>Identity Provider</v>
      </c>
      <c r="B216" s="23" t="str">
        <f>NodesData[[#This Row],[Node ID]]</f>
        <v>n5F66D728_84BD_4BB4_98BF_785C5DAD60D5</v>
      </c>
      <c r="C216" s="10" t="s">
        <v>864</v>
      </c>
      <c r="D216" s="26" t="str" cm="1">
        <f t="array" ref="D216">IF(ROW(NodesJSON[[#This Row],[label]])&gt;ROW(NodesJSON[[#Headers],[JSON]])+1,",","") &amp;"{"&amp;twoRangesToJSON(NodesJSON[[#Headers],[label]:[url]],NodesJSON[[#This Row],[label]:[url]])&amp;"}"</f>
        <v>,{"label":"Identity Provider","id":"n5F66D728_84BD_4BB4_98BF_785C5DAD60D5","url":"https://open-measure.atlassian.net/wiki/spaces/DIC/pages/1004896257"}</v>
      </c>
      <c r="E216" s="2"/>
    </row>
    <row r="217" spans="1:5" ht="13.9" thickTop="1" thickBot="1" x14ac:dyDescent="0.4">
      <c r="A217" s="3" t="str">
        <f>NodesData[[#This Row],[Common Name]]</f>
        <v>Identity Repository</v>
      </c>
      <c r="B217" s="23" t="str">
        <f>NodesData[[#This Row],[Node ID]]</f>
        <v>n168F06B1_8C97_4DA7_90D4_CC52279D2500</v>
      </c>
      <c r="C217" s="10" t="s">
        <v>866</v>
      </c>
      <c r="D217" s="26" t="str" cm="1">
        <f t="array" ref="D217">IF(ROW(NodesJSON[[#This Row],[label]])&gt;ROW(NodesJSON[[#Headers],[JSON]])+1,",","") &amp;"{"&amp;twoRangesToJSON(NodesJSON[[#Headers],[label]:[url]],NodesJSON[[#This Row],[label]:[url]])&amp;"}"</f>
        <v>,{"label":"Identity Repository","id":"n168F06B1_8C97_4DA7_90D4_CC52279D2500","url":"https://open-measure.atlassian.net/wiki/spaces/DIC/pages/1177714758"}</v>
      </c>
      <c r="E217" s="2"/>
    </row>
    <row r="218" spans="1:5" ht="13.9" thickTop="1" thickBot="1" x14ac:dyDescent="0.4">
      <c r="A218" s="3" t="str">
        <f>NodesData[[#This Row],[Common Name]]</f>
        <v>Identity-as-a-Service</v>
      </c>
      <c r="B218" s="23" t="str">
        <f>NodesData[[#This Row],[Node ID]]</f>
        <v>nE705445E_1259_48CD_9B7E_9243AD8DAA5B</v>
      </c>
      <c r="C218" s="10" t="s">
        <v>868</v>
      </c>
      <c r="D218" s="26" t="str" cm="1">
        <f t="array" ref="D218">IF(ROW(NodesJSON[[#This Row],[label]])&gt;ROW(NodesJSON[[#Headers],[JSON]])+1,",","") &amp;"{"&amp;twoRangesToJSON(NodesJSON[[#Headers],[label]:[url]],NodesJSON[[#This Row],[label]:[url]])&amp;"}"</f>
        <v>,{"label":"Identity-as-a-Service","id":"nE705445E_1259_48CD_9B7E_9243AD8DAA5B","url":"https://open-measure.atlassian.net/wiki/spaces/DIC/pages/998113409"}</v>
      </c>
      <c r="E218" s="2"/>
    </row>
    <row r="219" spans="1:5" ht="13.9" thickTop="1" thickBot="1" x14ac:dyDescent="0.4">
      <c r="A219" s="3" t="str">
        <f>NodesData[[#This Row],[Common Name]]</f>
        <v>Identity-Aware Proxy</v>
      </c>
      <c r="B219" s="23" t="str">
        <f>NodesData[[#This Row],[Node ID]]</f>
        <v>n9AB3CC59_5E4C_4E34_BC2C_1596F01FC5F3</v>
      </c>
      <c r="C219" s="10" t="s">
        <v>869</v>
      </c>
      <c r="D219" s="26" t="str" cm="1">
        <f t="array" ref="D219">IF(ROW(NodesJSON[[#This Row],[label]])&gt;ROW(NodesJSON[[#Headers],[JSON]])+1,",","") &amp;"{"&amp;twoRangesToJSON(NodesJSON[[#Headers],[label]:[url]],NodesJSON[[#This Row],[label]:[url]])&amp;"}"</f>
        <v>,{"label":"Identity-Aware Proxy","id":"n9AB3CC59_5E4C_4E34_BC2C_1596F01FC5F3","url":"https://open-measure.atlassian.net/wiki/spaces/DIC/pages/438698009/Information+Security+Domain"}</v>
      </c>
      <c r="E219" s="2"/>
    </row>
    <row r="220" spans="1:5" ht="13.9" thickTop="1" thickBot="1" x14ac:dyDescent="0.4">
      <c r="A220" s="3" t="str">
        <f>NodesData[[#This Row],[Common Name]]</f>
        <v>IdMS</v>
      </c>
      <c r="B220" s="23" t="str">
        <f>NodesData[[#This Row],[Node ID]]</f>
        <v>n0625B885_15FF_4EC6_89B2_0542A53D54F0</v>
      </c>
      <c r="C220" s="10" t="s">
        <v>870</v>
      </c>
      <c r="D220" s="26" t="str" cm="1">
        <f t="array" ref="D220">IF(ROW(NodesJSON[[#This Row],[label]])&gt;ROW(NodesJSON[[#Headers],[JSON]])+1,",","") &amp;"{"&amp;twoRangesToJSON(NodesJSON[[#Headers],[label]:[url]],NodesJSON[[#This Row],[label]:[url]])&amp;"}"</f>
        <v>,{"label":"IdMS","id":"n0625B885_15FF_4EC6_89B2_0542A53D54F0","url":"https://open-measure.atlassian.net/wiki/spaces/DIC/pages/1031241830/Information+System"}</v>
      </c>
      <c r="E220" s="2"/>
    </row>
    <row r="221" spans="1:5" ht="13.9" thickTop="1" thickBot="1" x14ac:dyDescent="0.4">
      <c r="A221" s="3" t="str">
        <f>NodesData[[#This Row],[Common Name]]</f>
        <v>IdP</v>
      </c>
      <c r="B221" s="23" t="str">
        <f>NodesData[[#This Row],[Node ID]]</f>
        <v>n6C8D27BA_3A49_456D_9605_33E2EBC545E0</v>
      </c>
      <c r="D221" s="26" t="str" cm="1">
        <f t="array" ref="D221">IF(ROW(NodesJSON[[#This Row],[label]])&gt;ROW(NodesJSON[[#Headers],[JSON]])+1,",","") &amp;"{"&amp;twoRangesToJSON(NodesJSON[[#Headers],[label]:[url]],NodesJSON[[#This Row],[label]:[url]])&amp;"}"</f>
        <v>,{"label":"IdP","id":"n6C8D27BA_3A49_456D_9605_33E2EBC545E0","url":""}</v>
      </c>
      <c r="E221" s="2"/>
    </row>
    <row r="222" spans="1:5" ht="13.9" thickTop="1" thickBot="1" x14ac:dyDescent="0.4">
      <c r="A222" s="3" t="str">
        <f>NodesData[[#This Row],[Common Name]]</f>
        <v>IMG</v>
      </c>
      <c r="B222" s="23" t="str">
        <f>NodesData[[#This Row],[Node ID]]</f>
        <v>nC513AF63_36CC_4FB7_911F_7E98C3C107B2</v>
      </c>
      <c r="C222" s="10" t="s">
        <v>871</v>
      </c>
      <c r="D222" s="26" t="str" cm="1">
        <f t="array" ref="D222">IF(ROW(NodesJSON[[#This Row],[label]])&gt;ROW(NodesJSON[[#Headers],[JSON]])+1,",","") &amp;"{"&amp;twoRangesToJSON(NodesJSON[[#Headers],[label]:[url]],NodesJSON[[#This Row],[label]:[url]])&amp;"}"</f>
        <v>,{"label":"IMG","id":"nC513AF63_36CC_4FB7_911F_7E98C3C107B2","url":"https://open-measure.atlassian.net/wiki/spaces/DIC/pages/1477869651/Inside+Attacker"}</v>
      </c>
      <c r="E222" s="2"/>
    </row>
    <row r="223" spans="1:5" ht="13.9" thickTop="1" thickBot="1" x14ac:dyDescent="0.4">
      <c r="A223" s="3" t="str">
        <f>NodesData[[#This Row],[Common Name]]</f>
        <v>Impersonation</v>
      </c>
      <c r="B223" s="23" t="str">
        <f>NodesData[[#This Row],[Node ID]]</f>
        <v>nBE119251_3169_4F9E_A3A9_744A248EAAA6</v>
      </c>
      <c r="C223" s="10" t="s">
        <v>872</v>
      </c>
      <c r="D223" s="26" t="str" cm="1">
        <f t="array" ref="D223">IF(ROW(NodesJSON[[#This Row],[label]])&gt;ROW(NodesJSON[[#Headers],[JSON]])+1,",","") &amp;"{"&amp;twoRangesToJSON(NodesJSON[[#Headers],[label]:[url]],NodesJSON[[#This Row],[label]:[url]])&amp;"}"</f>
        <v>,{"label":"Impersonation","id":"nBE119251_3169_4F9E_A3A9_744A248EAAA6","url":"https://open-measure.atlassian.net/wiki/spaces/DIC/pages/1451884782/Insider"}</v>
      </c>
      <c r="E223" s="2"/>
    </row>
    <row r="224" spans="1:5" ht="13.9" thickTop="1" thickBot="1" x14ac:dyDescent="0.4">
      <c r="A224" s="3" t="str">
        <f>NodesData[[#This Row],[Common Name]]</f>
        <v>In-band Authentication</v>
      </c>
      <c r="B224" s="23" t="str">
        <f>NodesData[[#This Row],[Node ID]]</f>
        <v>n4DC17AF9_0DFB_478B_B5A5_3463E37CAB92</v>
      </c>
      <c r="C224" s="10" t="s">
        <v>873</v>
      </c>
      <c r="D224" s="26" t="str" cm="1">
        <f t="array" ref="D224">IF(ROW(NodesJSON[[#This Row],[label]])&gt;ROW(NodesJSON[[#Headers],[JSON]])+1,",","") &amp;"{"&amp;twoRangesToJSON(NodesJSON[[#Headers],[label]:[url]],NodesJSON[[#This Row],[label]:[url]])&amp;"}"</f>
        <v>,{"label":"In-band Authentication","id":"n4DC17AF9_0DFB_478B_B5A5_3463E37CAB92","url":"https://open-measure.atlassian.net/wiki/spaces/DIC/pages/1478459402/Insider+Attack"}</v>
      </c>
      <c r="E224" s="2"/>
    </row>
    <row r="225" spans="1:5" ht="13.9" thickTop="1" thickBot="1" x14ac:dyDescent="0.4">
      <c r="A225" s="3" t="str">
        <f>NodesData[[#This Row],[Common Name]]</f>
        <v>Information</v>
      </c>
      <c r="B225" s="23" t="str">
        <f>NodesData[[#This Row],[Node ID]]</f>
        <v>n21D68DDF_6871_4E72_BC2D_303C40ED5E42</v>
      </c>
      <c r="C225" s="10" t="s">
        <v>874</v>
      </c>
      <c r="D225" s="26" t="str" cm="1">
        <f t="array" ref="D225">IF(ROW(NodesJSON[[#This Row],[label]])&gt;ROW(NodesJSON[[#Headers],[JSON]])+1,",","") &amp;"{"&amp;twoRangesToJSON(NodesJSON[[#Headers],[label]:[url]],NodesJSON[[#This Row],[label]:[url]])&amp;"}"</f>
        <v>,{"label":"Information","id":"n21D68DDF_6871_4E72_BC2D_303C40ED5E42","url":"https://open-measure.atlassian.net/wiki/spaces/DIC/pages/1451098397/Insider+Threat"}</v>
      </c>
      <c r="E225" s="2"/>
    </row>
    <row r="226" spans="1:5" ht="13.9" thickTop="1" thickBot="1" x14ac:dyDescent="0.4">
      <c r="A226" s="3" t="str">
        <f>NodesData[[#This Row],[Common Name]]</f>
        <v>Information Asset</v>
      </c>
      <c r="B226" s="23" t="str">
        <f>NodesData[[#This Row],[Node ID]]</f>
        <v>n28E78E51_49BC_40D3_A073_5C152D095C48</v>
      </c>
      <c r="C226" s="10" t="s">
        <v>876</v>
      </c>
      <c r="D226" s="26" t="str" cm="1">
        <f t="array" ref="D226">IF(ROW(NodesJSON[[#This Row],[label]])&gt;ROW(NodesJSON[[#Headers],[JSON]])+1,",","") &amp;"{"&amp;twoRangesToJSON(NodesJSON[[#Headers],[label]:[url]],NodesJSON[[#This Row],[label]:[url]])&amp;"}"</f>
        <v>,{"label":"Information Asset","id":"n28E78E51_49BC_40D3_A073_5C152D095C48","url":"https://open-measure.atlassian.net/wiki/spaces/DIC/pages/822476843"}</v>
      </c>
      <c r="E226" s="2"/>
    </row>
    <row r="227" spans="1:5" ht="13.9" thickTop="1" thickBot="1" x14ac:dyDescent="0.4">
      <c r="A227" s="3" t="str">
        <f>NodesData[[#This Row],[Common Name]]</f>
        <v>Information Custodian</v>
      </c>
      <c r="B227" s="23" t="str">
        <f>NodesData[[#This Row],[Node ID]]</f>
        <v>n7FA93F24_5E66_4779_BA3D_3A073C96F04F</v>
      </c>
      <c r="C227" s="10" t="s">
        <v>878</v>
      </c>
      <c r="D227" s="26" t="str" cm="1">
        <f t="array" ref="D227">IF(ROW(NodesJSON[[#This Row],[label]])&gt;ROW(NodesJSON[[#Headers],[JSON]])+1,",","") &amp;"{"&amp;twoRangesToJSON(NodesJSON[[#Headers],[label]:[url]],NodesJSON[[#This Row],[label]:[url]])&amp;"}"</f>
        <v>,{"label":"Information Custodian","id":"n7FA93F24_5E66_4779_BA3D_3A073C96F04F","url":"https://open-measure.atlassian.net/wiki/spaces/DIC/pages/998277141"}</v>
      </c>
      <c r="E227" s="2"/>
    </row>
    <row r="228" spans="1:5" ht="13.9" thickTop="1" thickBot="1" x14ac:dyDescent="0.4">
      <c r="A228" s="3" t="str">
        <f>NodesData[[#This Row],[Common Name]]</f>
        <v>Information Flow Policy</v>
      </c>
      <c r="B228" s="23" t="str">
        <f>NodesData[[#This Row],[Node ID]]</f>
        <v>n88A9AD71_624D_49D1_933C_A9F4498456BE</v>
      </c>
      <c r="C228" s="10" t="s">
        <v>880</v>
      </c>
      <c r="D228" s="26" t="str" cm="1">
        <f t="array" ref="D228">IF(ROW(NodesJSON[[#This Row],[label]])&gt;ROW(NodesJSON[[#Headers],[JSON]])+1,",","") &amp;"{"&amp;twoRangesToJSON(NodesJSON[[#Headers],[label]:[url]],NodesJSON[[#This Row],[label]:[url]])&amp;"}"</f>
        <v>,{"label":"Information Flow Policy","id":"n88A9AD71_624D_49D1_933C_A9F4498456BE","url":"https://open-measure.atlassian.net/wiki/spaces/DIC/pages/1311417"}</v>
      </c>
      <c r="E228" s="2"/>
    </row>
    <row r="229" spans="1:5" ht="13.9" thickTop="1" thickBot="1" x14ac:dyDescent="0.4">
      <c r="A229" s="3" t="str">
        <f>NodesData[[#This Row],[Common Name]]</f>
        <v>Information Owner</v>
      </c>
      <c r="B229" s="23" t="str">
        <f>NodesData[[#This Row],[Node ID]]</f>
        <v>nAF966081_CDB0_45B3_BB9A_12F39BA05533</v>
      </c>
      <c r="C229" s="10" t="s">
        <v>882</v>
      </c>
      <c r="D229" s="26" t="str" cm="1">
        <f t="array" ref="D229">IF(ROW(NodesJSON[[#This Row],[label]])&gt;ROW(NodesJSON[[#Headers],[JSON]])+1,",","") &amp;"{"&amp;twoRangesToJSON(NodesJSON[[#Headers],[label]:[url]],NodesJSON[[#This Row],[label]:[url]])&amp;"}"</f>
        <v>,{"label":"Information Owner","id":"nAF966081_CDB0_45B3_BB9A_12F39BA05533","url":"https://open-measure.atlassian.net/wiki/spaces/DIC/pages/442466314"}</v>
      </c>
      <c r="E229" s="2"/>
    </row>
    <row r="230" spans="1:5" ht="13.9" thickTop="1" thickBot="1" x14ac:dyDescent="0.4">
      <c r="A230" s="3" t="str">
        <f>NodesData[[#This Row],[Common Name]]</f>
        <v>Information Security Domain</v>
      </c>
      <c r="B230" s="23" t="str">
        <f>NodesData[[#This Row],[Node ID]]</f>
        <v>n9A6A0946_FAF0_4301_9CFA_1EAAAF6EFADF</v>
      </c>
      <c r="C230" s="10" t="s">
        <v>884</v>
      </c>
      <c r="D230" s="26" t="str" cm="1">
        <f t="array" ref="D230">IF(ROW(NodesJSON[[#This Row],[label]])&gt;ROW(NodesJSON[[#Headers],[JSON]])+1,",","") &amp;"{"&amp;twoRangesToJSON(NodesJSON[[#Headers],[label]:[url]],NodesJSON[[#This Row],[label]:[url]])&amp;"}"</f>
        <v>,{"label":"Information Security Domain","id":"n9A6A0946_FAF0_4301_9CFA_1EAAAF6EFADF","url":"https://open-measure.atlassian.net/wiki/spaces/DIC/pages/11567191"}</v>
      </c>
      <c r="E230" s="2"/>
    </row>
    <row r="231" spans="1:5" ht="13.9" thickTop="1" thickBot="1" x14ac:dyDescent="0.4">
      <c r="A231" s="3" t="str">
        <f>NodesData[[#This Row],[Common Name]]</f>
        <v>Information System</v>
      </c>
      <c r="B231" s="23" t="str">
        <f>NodesData[[#This Row],[Node ID]]</f>
        <v>nB0B5F503_B8FC_4496_972E_66927B58AF67</v>
      </c>
      <c r="D231" s="26" t="str" cm="1">
        <f t="array" ref="D231">IF(ROW(NodesJSON[[#This Row],[label]])&gt;ROW(NodesJSON[[#Headers],[JSON]])+1,",","") &amp;"{"&amp;twoRangesToJSON(NodesJSON[[#Headers],[label]:[url]],NodesJSON[[#This Row],[label]:[url]])&amp;"}"</f>
        <v>,{"label":"Information System","id":"nB0B5F503_B8FC_4496_972E_66927B58AF67","url":""}</v>
      </c>
      <c r="E231" s="2"/>
    </row>
    <row r="232" spans="1:5" ht="13.9" thickTop="1" thickBot="1" x14ac:dyDescent="0.4">
      <c r="A232" s="3" t="str">
        <f>NodesData[[#This Row],[Common Name]]</f>
        <v>Inherence Factor</v>
      </c>
      <c r="B232" s="23" t="str">
        <f>NodesData[[#This Row],[Node ID]]</f>
        <v>n99E2EC41_CA7B_41FD_8304_3926884533F9</v>
      </c>
      <c r="C232" s="10" t="s">
        <v>886</v>
      </c>
      <c r="D232" s="26" t="str" cm="1">
        <f t="array" ref="D232">IF(ROW(NodesJSON[[#This Row],[label]])&gt;ROW(NodesJSON[[#Headers],[JSON]])+1,",","") &amp;"{"&amp;twoRangesToJSON(NodesJSON[[#Headers],[label]:[url]],NodesJSON[[#This Row],[label]:[url]])&amp;"}"</f>
        <v>,{"label":"Inherence Factor","id":"n99E2EC41_CA7B_41FD_8304_3926884533F9","url":"https://open-measure.atlassian.net/wiki/spaces/DIC/pages/1152483625"}</v>
      </c>
      <c r="E232" s="2"/>
    </row>
    <row r="233" spans="1:5" ht="13.9" thickTop="1" thickBot="1" x14ac:dyDescent="0.4">
      <c r="A233" s="3" t="str">
        <f>NodesData[[#This Row],[Common Name]]</f>
        <v>Inside Attacker</v>
      </c>
      <c r="B233" s="23" t="str">
        <f>NodesData[[#This Row],[Node ID]]</f>
        <v>nE918EA94_ED3D_49AA_8C98_9382D56885C2</v>
      </c>
      <c r="C233" s="10" t="s">
        <v>888</v>
      </c>
      <c r="D233" s="26" t="str" cm="1">
        <f t="array" ref="D233">IF(ROW(NodesJSON[[#This Row],[label]])&gt;ROW(NodesJSON[[#Headers],[JSON]])+1,",","") &amp;"{"&amp;twoRangesToJSON(NodesJSON[[#Headers],[label]:[url]],NodesJSON[[#This Row],[label]:[url]])&amp;"}"</f>
        <v>,{"label":"Inside Attacker","id":"nE918EA94_ED3D_49AA_8C98_9382D56885C2","url":"https://open-measure.atlassian.net/wiki/spaces/DIC/pages/720902"}</v>
      </c>
      <c r="E233" s="2"/>
    </row>
    <row r="234" spans="1:5" ht="13.9" thickTop="1" thickBot="1" x14ac:dyDescent="0.4">
      <c r="A234" s="3" t="str">
        <f>NodesData[[#This Row],[Common Name]]</f>
        <v>Insider</v>
      </c>
      <c r="B234" s="23" t="str">
        <f>NodesData[[#This Row],[Node ID]]</f>
        <v>n4FB0018B_54D8_4931_8F94_16C63A3F8C83</v>
      </c>
      <c r="C234" s="10" t="s">
        <v>889</v>
      </c>
      <c r="D234" s="26" t="str" cm="1">
        <f t="array" ref="D234">IF(ROW(NodesJSON[[#This Row],[label]])&gt;ROW(NodesJSON[[#Headers],[JSON]])+1,",","") &amp;"{"&amp;twoRangesToJSON(NodesJSON[[#Headers],[label]:[url]],NodesJSON[[#This Row],[label]:[url]])&amp;"}"</f>
        <v>,{"label":"Insider","id":"n4FB0018B_54D8_4931_8F94_16C63A3F8C83","url":"https://open-measure.atlassian.net/wiki/spaces/DIC/pages/1569095803/IT+System"}</v>
      </c>
      <c r="E234" s="2"/>
    </row>
    <row r="235" spans="1:5" ht="13.9" thickTop="1" thickBot="1" x14ac:dyDescent="0.4">
      <c r="A235" s="3" t="str">
        <f>NodesData[[#This Row],[Common Name]]</f>
        <v>Insider Attack</v>
      </c>
      <c r="B235" s="23" t="str">
        <f>NodesData[[#This Row],[Node ID]]</f>
        <v>n429FED9F_D609_402A_A4D4_27BF7F04F154</v>
      </c>
      <c r="C235" s="10" t="s">
        <v>891</v>
      </c>
      <c r="D235" s="26" t="str" cm="1">
        <f t="array" ref="D235">IF(ROW(NodesJSON[[#This Row],[label]])&gt;ROW(NodesJSON[[#Headers],[JSON]])+1,",","") &amp;"{"&amp;twoRangesToJSON(NodesJSON[[#Headers],[label]:[url]],NodesJSON[[#This Row],[label]:[url]])&amp;"}"</f>
        <v>,{"label":"Insider Attack","id":"n429FED9F_D609_402A_A4D4_27BF7F04F154","url":"https://open-measure.atlassian.net/wiki/spaces/DIC/pages/858488984"}</v>
      </c>
      <c r="E235" s="2"/>
    </row>
    <row r="236" spans="1:5" ht="13.9" thickTop="1" thickBot="1" x14ac:dyDescent="0.4">
      <c r="A236" s="3" t="str">
        <f>NodesData[[#This Row],[Common Name]]</f>
        <v>Insider Threat</v>
      </c>
      <c r="B236" s="23" t="str">
        <f>NodesData[[#This Row],[Node ID]]</f>
        <v>n4BBD1B98_1E78_4A7C_AFAA_86753DB40829</v>
      </c>
      <c r="C236" s="10" t="s">
        <v>893</v>
      </c>
      <c r="D236" s="26" t="str" cm="1">
        <f t="array" ref="D236">IF(ROW(NodesJSON[[#This Row],[label]])&gt;ROW(NodesJSON[[#Headers],[JSON]])+1,",","") &amp;"{"&amp;twoRangesToJSON(NodesJSON[[#Headers],[label]:[url]],NodesJSON[[#This Row],[label]:[url]])&amp;"}"</f>
        <v>,{"label":"Insider Threat","id":"n4BBD1B98_1E78_4A7C_AFAA_86753DB40829","url":"https://open-measure.atlassian.net/wiki/spaces/DIC/pages/855506953"}</v>
      </c>
      <c r="E236" s="2"/>
    </row>
    <row r="237" spans="1:5" ht="13.9" thickTop="1" thickBot="1" x14ac:dyDescent="0.4">
      <c r="A237" s="3" t="str">
        <f>NodesData[[#This Row],[Common Name]]</f>
        <v>Insufficient Granularity of Access Control</v>
      </c>
      <c r="B237" s="23" t="str">
        <f>NodesData[[#This Row],[Node ID]]</f>
        <v>n5C69F995_02F9_4641_8DDC_1DEAB80E3377</v>
      </c>
      <c r="C237" s="10" t="s">
        <v>895</v>
      </c>
      <c r="D237" s="26" t="str" cm="1">
        <f t="array" ref="D237">IF(ROW(NodesJSON[[#This Row],[label]])&gt;ROW(NodesJSON[[#Headers],[JSON]])+1,",","") &amp;"{"&amp;twoRangesToJSON(NodesJSON[[#Headers],[label]:[url]],NodesJSON[[#This Row],[label]:[url]])&amp;"}"</f>
        <v>,{"label":"Insufficient Granularity of Access Control","id":"n5C69F995_02F9_4641_8DDC_1DEAB80E3377","url":"https://open-measure.atlassian.net/wiki/spaces/DIC/pages/858456203"}</v>
      </c>
      <c r="E237" s="2"/>
    </row>
    <row r="238" spans="1:5" ht="13.9" thickTop="1" thickBot="1" x14ac:dyDescent="0.4">
      <c r="A238" s="3" t="str">
        <f>NodesData[[#This Row],[Common Name]]</f>
        <v>Intentional Error</v>
      </c>
      <c r="B238" s="23" t="str">
        <f>NodesData[[#This Row],[Node ID]]</f>
        <v>nA9BAB0B4_F590_4EA4_BCC5_9C8C3863E83A</v>
      </c>
      <c r="C238" s="10" t="s">
        <v>897</v>
      </c>
      <c r="D238" s="26" t="str" cm="1">
        <f t="array" ref="D238">IF(ROW(NodesJSON[[#This Row],[label]])&gt;ROW(NodesJSON[[#Headers],[JSON]])+1,",","") &amp;"{"&amp;twoRangesToJSON(NodesJSON[[#Headers],[label]:[url]],NodesJSON[[#This Row],[label]:[url]])&amp;"}"</f>
        <v>,{"label":"Intentional Error","id":"nA9BAB0B4_F590_4EA4_BCC5_9C8C3863E83A","url":"https://open-measure.atlassian.net/wiki/spaces/DIC/pages/852492379"}</v>
      </c>
      <c r="E238" s="2"/>
    </row>
    <row r="239" spans="1:5" ht="13.9" thickTop="1" thickBot="1" x14ac:dyDescent="0.4">
      <c r="A239" s="3" t="str">
        <f>NodesData[[#This Row],[Common Name]]</f>
        <v>Interested Party</v>
      </c>
      <c r="B239" s="23" t="str">
        <f>NodesData[[#This Row],[Node ID]]</f>
        <v>n0C1E6A85_DF85_4330_881B_C5F42F671FD5</v>
      </c>
      <c r="C239" s="10" t="s">
        <v>899</v>
      </c>
      <c r="D239" s="26" t="str" cm="1">
        <f t="array" ref="D239">IF(ROW(NodesJSON[[#This Row],[label]])&gt;ROW(NodesJSON[[#Headers],[JSON]])+1,",","") &amp;"{"&amp;twoRangesToJSON(NodesJSON[[#Headers],[label]:[url]],NodesJSON[[#This Row],[label]:[url]])&amp;"}"</f>
        <v>,{"label":"Interested Party","id":"n0C1E6A85_DF85_4330_881B_C5F42F671FD5","url":"https://open-measure.atlassian.net/wiki/spaces/DIC/pages/858521641"}</v>
      </c>
      <c r="E239" s="2"/>
    </row>
    <row r="240" spans="1:5" ht="13.9" thickTop="1" thickBot="1" x14ac:dyDescent="0.4">
      <c r="A240" s="3" t="str">
        <f>NodesData[[#This Row],[Common Name]]</f>
        <v>Interoperability</v>
      </c>
      <c r="B240" s="23" t="str">
        <f>NodesData[[#This Row],[Node ID]]</f>
        <v>nE94C80F1_064A_44B2_BDBC_0056E1019A9F</v>
      </c>
      <c r="C240" s="10" t="s">
        <v>901</v>
      </c>
      <c r="D240" s="26" t="str" cm="1">
        <f t="array" ref="D240">IF(ROW(NodesJSON[[#This Row],[label]])&gt;ROW(NodesJSON[[#Headers],[JSON]])+1,",","") &amp;"{"&amp;twoRangesToJSON(NodesJSON[[#Headers],[label]:[url]],NodesJSON[[#This Row],[label]:[url]])&amp;"}"</f>
        <v>,{"label":"Interoperability","id":"nE94C80F1_064A_44B2_BDBC_0056E1019A9F","url":"https://open-measure.atlassian.net/wiki/spaces/DIC/pages/852492338"}</v>
      </c>
      <c r="E240" s="2"/>
    </row>
    <row r="241" spans="1:5" ht="13.9" thickTop="1" thickBot="1" x14ac:dyDescent="0.4">
      <c r="A241" s="3" t="str">
        <f>NodesData[[#This Row],[Common Name]]</f>
        <v>Interval Scale</v>
      </c>
      <c r="B241" s="23" t="str">
        <f>NodesData[[#This Row],[Node ID]]</f>
        <v>n3EBA3C47_F9ED_429B_BC3D_679D12721192</v>
      </c>
      <c r="C241" s="10" t="s">
        <v>903</v>
      </c>
      <c r="D241" s="26" t="str" cm="1">
        <f t="array" ref="D241">IF(ROW(NodesJSON[[#This Row],[label]])&gt;ROW(NodesJSON[[#Headers],[JSON]])+1,",","") &amp;"{"&amp;twoRangesToJSON(NodesJSON[[#Headers],[label]:[url]],NodesJSON[[#This Row],[label]:[url]])&amp;"}"</f>
        <v>,{"label":"Interval Scale","id":"n3EBA3C47_F9ED_429B_BC3D_679D12721192","url":"https://open-measure.atlassian.net/wiki/spaces/DIC/pages/140706011"}</v>
      </c>
      <c r="E241" s="2"/>
    </row>
    <row r="242" spans="1:5" ht="13.9" thickTop="1" thickBot="1" x14ac:dyDescent="0.4">
      <c r="A242" s="3" t="str">
        <f>NodesData[[#This Row],[Common Name]]</f>
        <v>Iris Recognition Authentication</v>
      </c>
      <c r="B242" s="23" t="str">
        <f>NodesData[[#This Row],[Node ID]]</f>
        <v>nFF2EA87E_84ED_44A7_83DE_4A3C4C0F01DF</v>
      </c>
      <c r="C242" s="10" t="s">
        <v>905</v>
      </c>
      <c r="D242" s="26" t="str" cm="1">
        <f t="array" ref="D242">IF(ROW(NodesJSON[[#This Row],[label]])&gt;ROW(NodesJSON[[#Headers],[JSON]])+1,",","") &amp;"{"&amp;twoRangesToJSON(NodesJSON[[#Headers],[label]:[url]],NodesJSON[[#This Row],[label]:[url]])&amp;"}"</f>
        <v>,{"label":"Iris Recognition Authentication","id":"nFF2EA87E_84ED_44A7_83DE_4A3C4C0F01DF","url":"https://open-measure.atlassian.net/wiki/spaces/DIC/pages/425623701"}</v>
      </c>
      <c r="E242" s="2"/>
    </row>
    <row r="243" spans="1:5" ht="13.9" thickTop="1" thickBot="1" x14ac:dyDescent="0.4">
      <c r="A243" s="3" t="str">
        <f>NodesData[[#This Row],[Common Name]]</f>
        <v>Isolated Identity Management System</v>
      </c>
      <c r="B243" s="23" t="str">
        <f>NodesData[[#This Row],[Node ID]]</f>
        <v>n06B404BB_42D7_49A0_87EF_0BD1066C228B</v>
      </c>
      <c r="C243" s="10" t="s">
        <v>907</v>
      </c>
      <c r="D243" s="26" t="str" cm="1">
        <f t="array" ref="D243">IF(ROW(NodesJSON[[#This Row],[label]])&gt;ROW(NodesJSON[[#Headers],[JSON]])+1,",","") &amp;"{"&amp;twoRangesToJSON(NodesJSON[[#Headers],[label]:[url]],NodesJSON[[#This Row],[label]:[url]])&amp;"}"</f>
        <v>,{"label":"Isolated Identity Management System","id":"n06B404BB_42D7_49A0_87EF_0BD1066C228B","url":"https://open-measure.atlassian.net/wiki/spaces/DIC/pages/427163745"}</v>
      </c>
      <c r="E243" s="2"/>
    </row>
    <row r="244" spans="1:5" ht="13.9" thickTop="1" thickBot="1" x14ac:dyDescent="0.4">
      <c r="A244" s="3" t="str">
        <f>NodesData[[#This Row],[Common Name]]</f>
        <v>IT Asset Scope</v>
      </c>
      <c r="B244" s="23" t="str">
        <f>NodesData[[#This Row],[Node ID]]</f>
        <v>n29ED772E_0526_4755_B8BE_2218FA7602F9</v>
      </c>
      <c r="C244" s="4"/>
      <c r="D244" s="26" t="str" cm="1">
        <f t="array" ref="D244">IF(ROW(NodesJSON[[#This Row],[label]])&gt;ROW(NodesJSON[[#Headers],[JSON]])+1,",","") &amp;"{"&amp;twoRangesToJSON(NodesJSON[[#Headers],[label]:[url]],NodesJSON[[#This Row],[label]:[url]])&amp;"}"</f>
        <v>,{"label":"IT Asset Scope","id":"n29ED772E_0526_4755_B8BE_2218FA7602F9","url":""}</v>
      </c>
      <c r="E244" s="2"/>
    </row>
    <row r="245" spans="1:5" ht="13.9" thickTop="1" thickBot="1" x14ac:dyDescent="0.4">
      <c r="A245" s="3" t="str">
        <f>NodesData[[#This Row],[Common Name]]</f>
        <v>IT Component</v>
      </c>
      <c r="B245" s="23" t="str">
        <f>NodesData[[#This Row],[Node ID]]</f>
        <v>n80310A12_2F48_48B9_A9C3_E6FADD4B55C9</v>
      </c>
      <c r="D245" s="26" t="str" cm="1">
        <f t="array" ref="D245">IF(ROW(NodesJSON[[#This Row],[label]])&gt;ROW(NodesJSON[[#Headers],[JSON]])+1,",","") &amp;"{"&amp;twoRangesToJSON(NodesJSON[[#Headers],[label]:[url]],NodesJSON[[#This Row],[label]:[url]])&amp;"}"</f>
        <v>,{"label":"IT Component","id":"n80310A12_2F48_48B9_A9C3_E6FADD4B55C9","url":""}</v>
      </c>
      <c r="E245" s="2"/>
    </row>
    <row r="246" spans="1:5" ht="13.9" thickTop="1" thickBot="1" x14ac:dyDescent="0.4">
      <c r="A246" s="3" t="str">
        <f>NodesData[[#This Row],[Common Name]]</f>
        <v>IT Hardware</v>
      </c>
      <c r="B246" s="23" t="str">
        <f>NodesData[[#This Row],[Node ID]]</f>
        <v>n940256DD_635E_4F4B_91EA_B3366D40E947</v>
      </c>
      <c r="C246" s="4"/>
      <c r="D246" s="26" t="str" cm="1">
        <f t="array" ref="D246">IF(ROW(NodesJSON[[#This Row],[label]])&gt;ROW(NodesJSON[[#Headers],[JSON]])+1,",","") &amp;"{"&amp;twoRangesToJSON(NodesJSON[[#Headers],[label]:[url]],NodesJSON[[#This Row],[label]:[url]])&amp;"}"</f>
        <v>,{"label":"IT Hardware","id":"n940256DD_635E_4F4B_91EA_B3366D40E947","url":""}</v>
      </c>
      <c r="E246" s="2"/>
    </row>
    <row r="247" spans="1:5" ht="13.9" thickTop="1" thickBot="1" x14ac:dyDescent="0.4">
      <c r="A247" s="3" t="str">
        <f>NodesData[[#This Row],[Common Name]]</f>
        <v>IT Software</v>
      </c>
      <c r="B247" s="23" t="str">
        <f>NodesData[[#This Row],[Node ID]]</f>
        <v>nBB725018_7327_49FB_A48A_74839D0C04F9</v>
      </c>
      <c r="C247" s="10" t="s">
        <v>909</v>
      </c>
      <c r="D247" s="26" t="str" cm="1">
        <f t="array" ref="D247">IF(ROW(NodesJSON[[#This Row],[label]])&gt;ROW(NodesJSON[[#Headers],[JSON]])+1,",","") &amp;"{"&amp;twoRangesToJSON(NodesJSON[[#Headers],[label]:[url]],NodesJSON[[#This Row],[label]:[url]])&amp;"}"</f>
        <v>,{"label":"IT Software","id":"nBB725018_7327_49FB_A48A_74839D0C04F9","url":"https://open-measure.atlassian.net/wiki/spaces/DIC/pages/442499114"}</v>
      </c>
      <c r="E247" s="2"/>
    </row>
    <row r="248" spans="1:5" ht="13.9" thickTop="1" thickBot="1" x14ac:dyDescent="0.4">
      <c r="A248" s="3" t="str">
        <f>NodesData[[#This Row],[Common Name]]</f>
        <v>IT System</v>
      </c>
      <c r="B248" s="23" t="str">
        <f>NodesData[[#This Row],[Node ID]]</f>
        <v>nC607594D_D597_4C8E_9605_EED87566C2FD</v>
      </c>
      <c r="C248" s="10" t="s">
        <v>911</v>
      </c>
      <c r="D248" s="26" t="str" cm="1">
        <f t="array" ref="D248">IF(ROW(NodesJSON[[#This Row],[label]])&gt;ROW(NodesJSON[[#Headers],[JSON]])+1,",","") &amp;"{"&amp;twoRangesToJSON(NodesJSON[[#Headers],[label]:[url]],NodesJSON[[#This Row],[label]:[url]])&amp;"}"</f>
        <v>,{"label":"IT System","id":"nC607594D_D597_4C8E_9605_EED87566C2FD","url":"https://open-measure.atlassian.net/wiki/spaces/DIC/pages/442400811"}</v>
      </c>
      <c r="E248" s="2"/>
    </row>
    <row r="249" spans="1:5" ht="13.9" thickTop="1" thickBot="1" x14ac:dyDescent="0.4">
      <c r="A249" s="3" t="str">
        <f>NodesData[[#This Row],[Common Name]]</f>
        <v>JML</v>
      </c>
      <c r="B249" s="23" t="str">
        <f>NodesData[[#This Row],[Node ID]]</f>
        <v>n4BA874E7_FD38_4B95_9C12_7EC786240F23</v>
      </c>
      <c r="C249" s="10" t="s">
        <v>913</v>
      </c>
      <c r="D249" s="26" t="str" cm="1">
        <f t="array" ref="D249">IF(ROW(NodesJSON[[#This Row],[label]])&gt;ROW(NodesJSON[[#Headers],[JSON]])+1,",","") &amp;"{"&amp;twoRangesToJSON(NodesJSON[[#Headers],[label]:[url]],NodesJSON[[#This Row],[label]:[url]])&amp;"}"</f>
        <v>,{"label":"JML","id":"n4BA874E7_FD38_4B95_9C12_7EC786240F23","url":"https://open-measure.atlassian.net/wiki/spaces/DIC/pages/1177681925"}</v>
      </c>
      <c r="E249" s="2"/>
    </row>
    <row r="250" spans="1:5" ht="13.9" thickTop="1" thickBot="1" x14ac:dyDescent="0.4">
      <c r="A250" s="3" t="str">
        <f>NodesData[[#This Row],[Common Name]]</f>
        <v>Joiner</v>
      </c>
      <c r="B250" s="23" t="str">
        <f>NodesData[[#This Row],[Node ID]]</f>
        <v>n919E37D7_0E0D_437A_A4B9_F0C63FC91592</v>
      </c>
      <c r="C250" s="10" t="s">
        <v>915</v>
      </c>
      <c r="D250" s="26" t="str" cm="1">
        <f t="array" ref="D250">IF(ROW(NodesJSON[[#This Row],[label]])&gt;ROW(NodesJSON[[#Headers],[JSON]])+1,",","") &amp;"{"&amp;twoRangesToJSON(NodesJSON[[#Headers],[label]:[url]],NodesJSON[[#This Row],[label]:[url]])&amp;"}"</f>
        <v>,{"label":"Joiner","id":"n919E37D7_0E0D_437A_A4B9_F0C63FC91592","url":"https://open-measure.atlassian.net/wiki/spaces/DIC/pages/1181843548"}</v>
      </c>
      <c r="E250" s="2"/>
    </row>
    <row r="251" spans="1:5" ht="13.9" thickTop="1" thickBot="1" x14ac:dyDescent="0.4">
      <c r="A251" s="3" t="str">
        <f>NodesData[[#This Row],[Common Name]]</f>
        <v>Joiner Hire Date</v>
      </c>
      <c r="B251" s="23" t="str">
        <f>NodesData[[#This Row],[Node ID]]</f>
        <v>nF036ACA7_5DED_4C47_BEC4_43A7941A1A11</v>
      </c>
      <c r="C251" s="10" t="s">
        <v>917</v>
      </c>
      <c r="D251" s="26" t="str" cm="1">
        <f t="array" ref="D251">IF(ROW(NodesJSON[[#This Row],[label]])&gt;ROW(NodesJSON[[#Headers],[JSON]])+1,",","") &amp;"{"&amp;twoRangesToJSON(NodesJSON[[#Headers],[label]:[url]],NodesJSON[[#This Row],[label]:[url]])&amp;"}"</f>
        <v>,{"label":"Joiner Hire Date","id":"nF036ACA7_5DED_4C47_BEC4_43A7941A1A11","url":"https://open-measure.atlassian.net/wiki/spaces/DIC/pages/1177780225"}</v>
      </c>
      <c r="E251" s="2"/>
    </row>
    <row r="252" spans="1:5" ht="13.9" thickTop="1" thickBot="1" x14ac:dyDescent="0.4">
      <c r="A252" s="3" t="str">
        <f>NodesData[[#This Row],[Common Name]]</f>
        <v>Joiner Lead Time</v>
      </c>
      <c r="B252" s="23" t="str">
        <f>NodesData[[#This Row],[Node ID]]</f>
        <v>n85D3D9C0_BF0A_457D_9E9E_918869EE6A60</v>
      </c>
      <c r="C252" s="10" t="s">
        <v>919</v>
      </c>
      <c r="D252" s="26" t="str" cm="1">
        <f t="array" ref="D252">IF(ROW(NodesJSON[[#This Row],[label]])&gt;ROW(NodesJSON[[#Headers],[JSON]])+1,",","") &amp;"{"&amp;twoRangesToJSON(NodesJSON[[#Headers],[label]:[url]],NodesJSON[[#This Row],[label]:[url]])&amp;"}"</f>
        <v>,{"label":"Joiner Lead Time","id":"n85D3D9C0_BF0A_457D_9E9E_918869EE6A60","url":"https://open-measure.atlassian.net/wiki/spaces/DIC/pages/49250375"}</v>
      </c>
      <c r="E252" s="2"/>
    </row>
    <row r="253" spans="1:5" ht="13.9" thickTop="1" thickBot="1" x14ac:dyDescent="0.4">
      <c r="A253" s="3" t="str">
        <f>NodesData[[#This Row],[Common Name]]</f>
        <v>Joiner Process</v>
      </c>
      <c r="B253" s="23" t="str">
        <f>NodesData[[#This Row],[Node ID]]</f>
        <v>n2156A14C_9F0A_4133_9B6B_E2F493C2DDE5</v>
      </c>
      <c r="C253" s="10" t="s">
        <v>921</v>
      </c>
      <c r="D253" s="26" t="str" cm="1">
        <f t="array" ref="D253">IF(ROW(NodesJSON[[#This Row],[label]])&gt;ROW(NodesJSON[[#Headers],[JSON]])+1,",","") &amp;"{"&amp;twoRangesToJSON(NodesJSON[[#Headers],[label]:[url]],NodesJSON[[#This Row],[label]:[url]])&amp;"}"</f>
        <v>,{"label":"Joiner Process","id":"n2156A14C_9F0A_4133_9B6B_E2F493C2DDE5","url":"https://open-measure.atlassian.net/wiki/spaces/DIC/pages/1006698533"}</v>
      </c>
      <c r="E253" s="2"/>
    </row>
    <row r="254" spans="1:5" ht="13.9" thickTop="1" thickBot="1" x14ac:dyDescent="0.4">
      <c r="A254" s="3" t="str">
        <f>NodesData[[#This Row],[Common Name]]</f>
        <v>Joiner Start Date</v>
      </c>
      <c r="B254" s="23" t="str">
        <f>NodesData[[#This Row],[Node ID]]</f>
        <v>n9DBB71BC_1401_49CF_8C61_CD7DE85382A7</v>
      </c>
      <c r="C254" s="10" t="s">
        <v>923</v>
      </c>
      <c r="D254" s="26" t="str" cm="1">
        <f t="array" ref="D254">IF(ROW(NodesJSON[[#This Row],[label]])&gt;ROW(NodesJSON[[#Headers],[JSON]])+1,",","") &amp;"{"&amp;twoRangesToJSON(NodesJSON[[#Headers],[label]:[url]],NodesJSON[[#This Row],[label]:[url]])&amp;"}"</f>
        <v>,{"label":"Joiner Start Date","id":"n9DBB71BC_1401_49CF_8C61_CD7DE85382A7","url":"https://open-measure.atlassian.net/wiki/spaces/DIC/pages/442466361"}</v>
      </c>
      <c r="E254" s="2"/>
    </row>
    <row r="255" spans="1:5" ht="13.9" thickTop="1" thickBot="1" x14ac:dyDescent="0.4">
      <c r="A255" s="3" t="str">
        <f>NodesData[[#This Row],[Common Name]]</f>
        <v>Key Criteria Type</v>
      </c>
      <c r="B255" s="23" t="str">
        <f>NodesData[[#This Row],[Node ID]]</f>
        <v>n8B8EDDAB_CC41_45B7_8B8A_AC9D282F1C05</v>
      </c>
      <c r="C255" s="10" t="s">
        <v>925</v>
      </c>
      <c r="D255" s="26" t="str" cm="1">
        <f t="array" ref="D255">IF(ROW(NodesJSON[[#This Row],[label]])&gt;ROW(NodesJSON[[#Headers],[JSON]])+1,",","") &amp;"{"&amp;twoRangesToJSON(NodesJSON[[#Headers],[label]:[url]],NodesJSON[[#This Row],[label]:[url]])&amp;"}"</f>
        <v>,{"label":"Key Criteria Type","id":"n8B8EDDAB_CC41_45B7_8B8A_AC9D282F1C05","url":"https://open-measure.atlassian.net/wiki/spaces/DIC/pages/1104936974"}</v>
      </c>
      <c r="E255" s="2"/>
    </row>
    <row r="256" spans="1:5" ht="13.9" thickTop="1" thickBot="1" x14ac:dyDescent="0.4">
      <c r="A256" s="3" t="str">
        <f>NodesData[[#This Row],[Common Name]]</f>
        <v>Key Information</v>
      </c>
      <c r="B256" s="23" t="str">
        <f>NodesData[[#This Row],[Node ID]]</f>
        <v>n3073C6C9_12F8_44C9_8D1B_2F7187AD9F60</v>
      </c>
      <c r="C256" s="10" t="s">
        <v>927</v>
      </c>
      <c r="D256" s="26" t="str" cm="1">
        <f t="array" ref="D256">IF(ROW(NodesJSON[[#This Row],[label]])&gt;ROW(NodesJSON[[#Headers],[JSON]])+1,",","") &amp;"{"&amp;twoRangesToJSON(NodesJSON[[#Headers],[label]:[url]],NodesJSON[[#This Row],[label]:[url]])&amp;"}"</f>
        <v>,{"label":"Key Information","id":"n3073C6C9_12F8_44C9_8D1B_2F7187AD9F60","url":"https://open-measure.atlassian.net/wiki/spaces/DIC/pages/442368033"}</v>
      </c>
      <c r="E256" s="2"/>
    </row>
    <row r="257" spans="1:5" ht="13.9" thickTop="1" thickBot="1" x14ac:dyDescent="0.4">
      <c r="A257" s="3" t="str">
        <f>NodesData[[#This Row],[Common Name]]</f>
        <v>Keying Material</v>
      </c>
      <c r="B257" s="23" t="str">
        <f>NodesData[[#This Row],[Node ID]]</f>
        <v>n6AE1B549_6E17_4533_A2B8_5AFB4B73B654</v>
      </c>
      <c r="C257" s="10" t="s">
        <v>929</v>
      </c>
      <c r="D257" s="26" t="str" cm="1">
        <f t="array" ref="D257">IF(ROW(NodesJSON[[#This Row],[label]])&gt;ROW(NodesJSON[[#Headers],[JSON]])+1,",","") &amp;"{"&amp;twoRangesToJSON(NodesJSON[[#Headers],[label]:[url]],NodesJSON[[#This Row],[label]:[url]])&amp;"}"</f>
        <v>,{"label":"Keying Material","id":"n6AE1B549_6E17_4533_A2B8_5AFB4B73B654","url":"https://open-measure.atlassian.net/wiki/spaces/DIC/pages/442466381"}</v>
      </c>
      <c r="E257" s="2"/>
    </row>
    <row r="258" spans="1:5" ht="13.9" thickTop="1" thickBot="1" x14ac:dyDescent="0.4">
      <c r="A258" s="3" t="str">
        <f>NodesData[[#This Row],[Common Name]]</f>
        <v>Keystroke Recognition Authentication</v>
      </c>
      <c r="B258" s="23" t="str">
        <f>NodesData[[#This Row],[Node ID]]</f>
        <v>n35F5759D_AAFF_439C_A04E_623AA07EE4D9</v>
      </c>
      <c r="C258" s="10" t="s">
        <v>931</v>
      </c>
      <c r="D258" s="26" t="str" cm="1">
        <f t="array" ref="D258">IF(ROW(NodesJSON[[#This Row],[label]])&gt;ROW(NodesJSON[[#Headers],[JSON]])+1,",","") &amp;"{"&amp;twoRangesToJSON(NodesJSON[[#Headers],[label]:[url]],NodesJSON[[#This Row],[label]:[url]])&amp;"}"</f>
        <v>,{"label":"Keystroke Recognition Authentication","id":"n35F5759D_AAFF_439C_A04E_623AA07EE4D9","url":"https://open-measure.atlassian.net/wiki/spaces/DIC/pages/1177845957"}</v>
      </c>
      <c r="E258" s="2"/>
    </row>
    <row r="259" spans="1:5" ht="13.9" thickTop="1" thickBot="1" x14ac:dyDescent="0.4">
      <c r="A259" s="3" t="str">
        <f>NodesData[[#This Row],[Common Name]]</f>
        <v>Knowledge Factor</v>
      </c>
      <c r="B259" s="23" t="str">
        <f>NodesData[[#This Row],[Node ID]]</f>
        <v>n63EDDBAD_A168_4974_B9D5_9B90FB3F688E</v>
      </c>
      <c r="C259" s="10" t="s">
        <v>933</v>
      </c>
      <c r="D259" s="26" t="str" cm="1">
        <f t="array" ref="D259">IF(ROW(NodesJSON[[#This Row],[label]])&gt;ROW(NodesJSON[[#Headers],[JSON]])+1,",","") &amp;"{"&amp;twoRangesToJSON(NodesJSON[[#Headers],[label]:[url]],NodesJSON[[#This Row],[label]:[url]])&amp;"}"</f>
        <v>,{"label":"Knowledge Factor","id":"n63EDDBAD_A168_4974_B9D5_9B90FB3F688E","url":"https://open-measure.atlassian.net/wiki/spaces/DIC/pages/442400912"}</v>
      </c>
      <c r="E259" s="2"/>
    </row>
    <row r="260" spans="1:5" ht="13.9" thickTop="1" thickBot="1" x14ac:dyDescent="0.4">
      <c r="A260" s="3" t="str">
        <f>NodesData[[#This Row],[Common Name]]</f>
        <v>Knuckleprint Recognition Authentication</v>
      </c>
      <c r="B260" s="23" t="str">
        <f>NodesData[[#This Row],[Node ID]]</f>
        <v>nC63D5B91_5DF9_4B35_856B_670E59CF1CA0</v>
      </c>
      <c r="D260" s="26" t="str" cm="1">
        <f t="array" ref="D260">IF(ROW(NodesJSON[[#This Row],[label]])&gt;ROW(NodesJSON[[#Headers],[JSON]])+1,",","") &amp;"{"&amp;twoRangesToJSON(NodesJSON[[#Headers],[label]:[url]],NodesJSON[[#This Row],[label]:[url]])&amp;"}"</f>
        <v>,{"label":"Knuckleprint Recognition Authentication","id":"nC63D5B91_5DF9_4B35_856B_670E59CF1CA0","url":""}</v>
      </c>
      <c r="E260" s="2"/>
    </row>
    <row r="261" spans="1:5" ht="13.9" thickTop="1" thickBot="1" x14ac:dyDescent="0.4">
      <c r="A261" s="3" t="str">
        <f>NodesData[[#This Row],[Common Name]]</f>
        <v>KYC</v>
      </c>
      <c r="B261" s="23" t="str">
        <f>NodesData[[#This Row],[Node ID]]</f>
        <v>nD722A063_3ADB_4367_9941_1F20AAC0CAEC</v>
      </c>
      <c r="C261" s="10" t="s">
        <v>934</v>
      </c>
      <c r="D261" s="26" t="str" cm="1">
        <f t="array" ref="D261">IF(ROW(NodesJSON[[#This Row],[label]])&gt;ROW(NodesJSON[[#Headers],[JSON]])+1,",","") &amp;"{"&amp;twoRangesToJSON(NodesJSON[[#Headers],[label]:[url]],NodesJSON[[#This Row],[label]:[url]])&amp;"}"</f>
        <v>,{"label":"KYC","id":"nD722A063_3ADB_4367_9941_1F20AAC0CAEC","url":"https://open-measure.atlassian.net/wiki/spaces/DIC/pages/1452048577/Logic+Bomb"}</v>
      </c>
      <c r="E261" s="2"/>
    </row>
    <row r="262" spans="1:5" ht="13.9" thickTop="1" thickBot="1" x14ac:dyDescent="0.4">
      <c r="A262" s="3" t="str">
        <f>NodesData[[#This Row],[Common Name]]</f>
        <v>KYC Registry</v>
      </c>
      <c r="B262" s="23" t="str">
        <f>NodesData[[#This Row],[Node ID]]</f>
        <v>n118336A6_0C60_4B0E_8F22_B48CA99CA2F4</v>
      </c>
      <c r="C262" s="10" t="s">
        <v>935</v>
      </c>
      <c r="D262" s="26" t="str" cm="1">
        <f t="array" ref="D262">IF(ROW(NodesJSON[[#This Row],[label]])&gt;ROW(NodesJSON[[#Headers],[JSON]])+1,",","") &amp;"{"&amp;twoRangesToJSON(NodesJSON[[#Headers],[label]:[url]],NodesJSON[[#This Row],[label]:[url]])&amp;"}"</f>
        <v>,{"label":"KYC Registry","id":"n118336A6_0C60_4B0E_8F22_B48CA99CA2F4","url":"https://open-measure.atlassian.net/wiki/spaces/DIC/pages/1440153606/Login"}</v>
      </c>
      <c r="E262" s="2"/>
    </row>
    <row r="263" spans="1:5" ht="13.9" thickTop="1" thickBot="1" x14ac:dyDescent="0.4">
      <c r="A263" s="3" t="str">
        <f>NodesData[[#This Row],[Common Name]]</f>
        <v>Lattice-Based Access Control</v>
      </c>
      <c r="B263" s="23" t="str">
        <f>NodesData[[#This Row],[Node ID]]</f>
        <v>nA1358380_830F_4EEB_80CE_CC83C065B2E4</v>
      </c>
      <c r="C263" s="10" t="s">
        <v>936</v>
      </c>
      <c r="D263" s="26" t="str" cm="1">
        <f t="array" ref="D263">IF(ROW(NodesJSON[[#This Row],[label]])&gt;ROW(NodesJSON[[#Headers],[JSON]])+1,",","") &amp;"{"&amp;twoRangesToJSON(NodesJSON[[#Headers],[label]:[url]],NodesJSON[[#This Row],[label]:[url]])&amp;"}"</f>
        <v>,{"label":"Lattice-Based Access Control","id":"nA1358380_830F_4EEB_80CE_CC83C065B2E4","url":"https://open-measure.atlassian.net/wiki/spaces/DIC/pages/1428685307/Login+ID"}</v>
      </c>
      <c r="E263" s="2"/>
    </row>
    <row r="264" spans="1:5" ht="13.9" thickTop="1" thickBot="1" x14ac:dyDescent="0.4">
      <c r="A264" s="3" t="str">
        <f>NodesData[[#This Row],[Common Name]]</f>
        <v>Layers Architectural Pattern</v>
      </c>
      <c r="B264" s="23" t="str">
        <f>NodesData[[#This Row],[Node ID]]</f>
        <v>n3EAC848A_1433_441F_9E9A_7FE06432D202</v>
      </c>
      <c r="C264" s="10" t="s">
        <v>937</v>
      </c>
      <c r="D264" s="26" t="str" cm="1">
        <f t="array" ref="D264">IF(ROW(NodesJSON[[#This Row],[label]])&gt;ROW(NodesJSON[[#Headers],[JSON]])+1,",","") &amp;"{"&amp;twoRangesToJSON(NodesJSON[[#Headers],[label]:[url]],NodesJSON[[#This Row],[label]:[url]])&amp;"}"</f>
        <v>,{"label":"Layers Architectural Pattern","id":"n3EAC848A_1433_441F_9E9A_7FE06432D202","url":"https://open-measure.atlassian.net/wiki/spaces/DIC/pages/1428685365/Login+Name"}</v>
      </c>
      <c r="E264" s="2"/>
    </row>
    <row r="265" spans="1:5" ht="13.9" thickTop="1" thickBot="1" x14ac:dyDescent="0.4">
      <c r="A265" s="3" t="str">
        <f>NodesData[[#This Row],[Common Name]]</f>
        <v>LBAC</v>
      </c>
      <c r="B265" s="23" t="str">
        <f>NodesData[[#This Row],[Node ID]]</f>
        <v>n7F5407C3_E9C5_4FD3_A4BC_1BF68CE94502</v>
      </c>
      <c r="C265" s="10" t="s">
        <v>939</v>
      </c>
      <c r="D265" s="26" t="str" cm="1">
        <f t="array" ref="D265">IF(ROW(NodesJSON[[#This Row],[label]])&gt;ROW(NodesJSON[[#Headers],[JSON]])+1,",","") &amp;"{"&amp;twoRangesToJSON(NodesJSON[[#Headers],[label]:[url]],NodesJSON[[#This Row],[label]:[url]])&amp;"}"</f>
        <v>,{"label":"LBAC","id":"n7F5407C3_E9C5_4FD3_A4BC_1BF68CE94502","url":"https://open-measure.atlassian.net/wiki/spaces/DIC/pages/67699227"}</v>
      </c>
      <c r="E265" s="2"/>
    </row>
    <row r="266" spans="1:5" ht="13.9" thickTop="1" thickBot="1" x14ac:dyDescent="0.4">
      <c r="A266" s="3" t="str">
        <f>NodesData[[#This Row],[Common Name]]</f>
        <v>Leading Indicator</v>
      </c>
      <c r="B266" s="23" t="str">
        <f>NodesData[[#This Row],[Node ID]]</f>
        <v>nCDB2CA01_F37D_45DF_8EBF_86192F36727D</v>
      </c>
      <c r="C266" s="10" t="s">
        <v>941</v>
      </c>
      <c r="D266" s="26" t="str" cm="1">
        <f t="array" ref="D266">IF(ROW(NodesJSON[[#This Row],[label]])&gt;ROW(NodesJSON[[#Headers],[JSON]])+1,",","") &amp;"{"&amp;twoRangesToJSON(NodesJSON[[#Headers],[label]:[url]],NodesJSON[[#This Row],[label]:[url]])&amp;"}"</f>
        <v>,{"label":"Leading Indicator","id":"nCDB2CA01_F37D_45DF_8EBF_86192F36727D","url":"https://open-measure.atlassian.net/wiki/spaces/DIC/pages/834044288"}</v>
      </c>
      <c r="E266" s="2"/>
    </row>
    <row r="267" spans="1:5" ht="13.9" thickTop="1" thickBot="1" x14ac:dyDescent="0.4">
      <c r="A267" s="3" t="str">
        <f>NodesData[[#This Row],[Common Name]]</f>
        <v>Least Privilege</v>
      </c>
      <c r="B267" s="23" t="str">
        <f>NodesData[[#This Row],[Node ID]]</f>
        <v>n55E83346_C5D9_4522_AAFE_41AFD850D242</v>
      </c>
      <c r="C267" s="4"/>
      <c r="D267" s="26" t="str" cm="1">
        <f t="array" ref="D267">IF(ROW(NodesJSON[[#This Row],[label]])&gt;ROW(NodesJSON[[#Headers],[JSON]])+1,",","") &amp;"{"&amp;twoRangesToJSON(NodesJSON[[#Headers],[label]:[url]],NodesJSON[[#This Row],[label]:[url]])&amp;"}"</f>
        <v>,{"label":"Least Privilege","id":"n55E83346_C5D9_4522_AAFE_41AFD850D242","url":""}</v>
      </c>
      <c r="E267" s="2"/>
    </row>
    <row r="268" spans="1:5" ht="13.9" thickTop="1" thickBot="1" x14ac:dyDescent="0.4">
      <c r="A268" s="3" t="str">
        <f>NodesData[[#This Row],[Common Name]]</f>
        <v>Legal Entity Identifier</v>
      </c>
      <c r="B268" s="23" t="str">
        <f>NodesData[[#This Row],[Node ID]]</f>
        <v>n532F9243_3E60_4095_B0E5_8AEED1D0ED9A</v>
      </c>
      <c r="C268" s="10" t="s">
        <v>943</v>
      </c>
      <c r="D268" s="26" t="str" cm="1">
        <f t="array" ref="D268">IF(ROW(NodesJSON[[#This Row],[label]])&gt;ROW(NodesJSON[[#Headers],[JSON]])+1,",","") &amp;"{"&amp;twoRangesToJSON(NodesJSON[[#Headers],[label]:[url]],NodesJSON[[#This Row],[label]:[url]])&amp;"}"</f>
        <v>,{"label":"Legal Entity Identifier","id":"n532F9243_3E60_4095_B0E5_8AEED1D0ED9A","url":"https://open-measure.atlassian.net/wiki/spaces/DIC/pages/75890760"}</v>
      </c>
      <c r="E268" s="2"/>
    </row>
    <row r="269" spans="1:5" ht="13.9" thickTop="1" thickBot="1" x14ac:dyDescent="0.4">
      <c r="A269" s="3" t="str">
        <f>NodesData[[#This Row],[Common Name]]</f>
        <v>Legitimate Privilege Abuse</v>
      </c>
      <c r="B269" s="23" t="str">
        <f>NodesData[[#This Row],[Node ID]]</f>
        <v>n9DB8F87B_0E27_4ADC_A89D_30DC429109ED</v>
      </c>
      <c r="C269" s="10" t="s">
        <v>945</v>
      </c>
      <c r="D269" s="26" t="str" cm="1">
        <f t="array" ref="D269">IF(ROW(NodesJSON[[#This Row],[label]])&gt;ROW(NodesJSON[[#Headers],[JSON]])+1,",","") &amp;"{"&amp;twoRangesToJSON(NodesJSON[[#Headers],[label]:[url]],NodesJSON[[#This Row],[label]:[url]])&amp;"}"</f>
        <v>,{"label":"Legitimate Privilege Abuse","id":"n9DB8F87B_0E27_4ADC_A89D_30DC429109ED","url":"https://open-measure.atlassian.net/wiki/spaces/DIC/pages/1031241799"}</v>
      </c>
      <c r="E269" s="2"/>
    </row>
    <row r="270" spans="1:5" ht="13.9" thickTop="1" thickBot="1" x14ac:dyDescent="0.4">
      <c r="A270" s="3" t="str">
        <f>NodesData[[#This Row],[Common Name]]</f>
        <v>LEI</v>
      </c>
      <c r="B270" s="23" t="str">
        <f>NodesData[[#This Row],[Node ID]]</f>
        <v>nE1D131E1_6E4B_4128_ACFC_B11E0284331D</v>
      </c>
      <c r="C270" s="10" t="s">
        <v>946</v>
      </c>
      <c r="D270" s="26" t="str" cm="1">
        <f t="array" ref="D270">IF(ROW(NodesJSON[[#This Row],[label]])&gt;ROW(NodesJSON[[#Headers],[JSON]])+1,",","") &amp;"{"&amp;twoRangesToJSON(NodesJSON[[#Headers],[label]:[url]],NodesJSON[[#This Row],[label]:[url]])&amp;"}"</f>
        <v>,{"label":"LEI","id":"nE1D131E1_6E4B_4128_ACFC_B11E0284331D","url":"https://open-measure.atlassian.net/wiki/spaces/DIC/pages/1600684160/Multiple+Accounts"}</v>
      </c>
      <c r="E270" s="2"/>
    </row>
    <row r="271" spans="1:5" ht="13.9" thickTop="1" thickBot="1" x14ac:dyDescent="0.4">
      <c r="A271" s="3" t="str">
        <f>NodesData[[#This Row],[Common Name]]</f>
        <v>Levels of Assurance</v>
      </c>
      <c r="B271" s="23" t="str">
        <f>NodesData[[#This Row],[Node ID]]</f>
        <v>n42CABDEA_283C_4884_BBFF_7B24A5E715E6</v>
      </c>
      <c r="C271" s="4"/>
      <c r="D271" s="26" t="str" cm="1">
        <f t="array" ref="D271">IF(ROW(NodesJSON[[#This Row],[label]])&gt;ROW(NodesJSON[[#Headers],[JSON]])+1,",","") &amp;"{"&amp;twoRangesToJSON(NodesJSON[[#Headers],[label]:[url]],NodesJSON[[#This Row],[label]:[url]])&amp;"}"</f>
        <v>,{"label":"Levels of Assurance","id":"n42CABDEA_283C_4884_BBFF_7B24A5E715E6","url":""}</v>
      </c>
      <c r="E271" s="2"/>
    </row>
    <row r="272" spans="1:5" ht="13.9" thickTop="1" thickBot="1" x14ac:dyDescent="0.4">
      <c r="A272" s="3" t="str">
        <f>NodesData[[#This Row],[Common Name]]</f>
        <v>Liberal Discretionary Access Control</v>
      </c>
      <c r="B272" s="23" t="str">
        <f>NodesData[[#This Row],[Node ID]]</f>
        <v>n6803C365_1074_4F24_A95A_585E021E5FF0</v>
      </c>
      <c r="C272" s="10" t="s">
        <v>949</v>
      </c>
      <c r="D272" s="26" t="str" cm="1">
        <f t="array" ref="D272">IF(ROW(NodesJSON[[#This Row],[label]])&gt;ROW(NodesJSON[[#Headers],[JSON]])+1,",","") &amp;"{"&amp;twoRangesToJSON(NodesJSON[[#Headers],[label]:[url]],NodesJSON[[#This Row],[label]:[url]])&amp;"}"</f>
        <v>,{"label":"Liberal Discretionary Access Control","id":"n6803C365_1074_4F24_A95A_585E021E5FF0","url":"https://open-measure.atlassian.net/wiki/spaces/DIC/pages/1474592794/Need-to-Know"}</v>
      </c>
      <c r="E272" s="2"/>
    </row>
    <row r="273" spans="1:5" ht="13.9" thickTop="1" thickBot="1" x14ac:dyDescent="0.4">
      <c r="A273" s="3" t="str">
        <f>NodesData[[#This Row],[Common Name]]</f>
        <v>LOA</v>
      </c>
      <c r="B273" s="23" t="str">
        <f>NodesData[[#This Row],[Node ID]]</f>
        <v>n0CFBF92C_8241_4364_871A_4D3705CF95A0</v>
      </c>
      <c r="C273" s="10" t="s">
        <v>951</v>
      </c>
      <c r="D273" s="26" t="str" cm="1">
        <f t="array" ref="D273">IF(ROW(NodesJSON[[#This Row],[label]])&gt;ROW(NodesJSON[[#Headers],[JSON]])+1,",","") &amp;"{"&amp;twoRangesToJSON(NodesJSON[[#Headers],[label]:[url]],NodesJSON[[#This Row],[label]:[url]])&amp;"}"</f>
        <v>,{"label":"LOA","id":"n0CFBF92C_8241_4364_871A_4D3705CF95A0","url":"https://open-measure.atlassian.net/wiki/spaces/DIC/pages/858456124"}</v>
      </c>
      <c r="E273" s="2"/>
    </row>
    <row r="274" spans="1:5" ht="13.9" thickTop="1" thickBot="1" x14ac:dyDescent="0.4">
      <c r="A274" s="3" t="str">
        <f>NodesData[[#This Row],[Common Name]]</f>
        <v>Location Factor</v>
      </c>
      <c r="B274" s="23" t="str">
        <f>NodesData[[#This Row],[Node ID]]</f>
        <v>nE61E61F3_D210_49D4_9FB5_8E7744490C9D</v>
      </c>
      <c r="C274" s="10" t="s">
        <v>953</v>
      </c>
      <c r="D274" s="26" t="str" cm="1">
        <f t="array" ref="D274">IF(ROW(NodesJSON[[#This Row],[label]])&gt;ROW(NodesJSON[[#Headers],[JSON]])+1,",","") &amp;"{"&amp;twoRangesToJSON(NodesJSON[[#Headers],[label]:[url]],NodesJSON[[#This Row],[label]:[url]])&amp;"}"</f>
        <v>,{"label":"Location Factor","id":"nE61E61F3_D210_49D4_9FB5_8E7744490C9D","url":"https://open-measure.atlassian.net/wiki/spaces/DIC/pages/1237483723"}</v>
      </c>
      <c r="E274" s="2"/>
    </row>
    <row r="275" spans="1:5" ht="13.9" thickTop="1" thickBot="1" x14ac:dyDescent="0.4">
      <c r="A275" s="3" t="str">
        <f>NodesData[[#This Row],[Common Name]]</f>
        <v>Logic Bomb</v>
      </c>
      <c r="B275" s="23" t="str">
        <f>NodesData[[#This Row],[Node ID]]</f>
        <v>n0824A767_06E0_42E4_86AA_C7ECB7A1A81E</v>
      </c>
      <c r="C275" s="10" t="s">
        <v>955</v>
      </c>
      <c r="D275" s="26" t="str" cm="1">
        <f t="array" ref="D275">IF(ROW(NodesJSON[[#This Row],[label]])&gt;ROW(NodesJSON[[#Headers],[JSON]])+1,",","") &amp;"{"&amp;twoRangesToJSON(NodesJSON[[#Headers],[label]:[url]],NodesJSON[[#This Row],[label]:[url]])&amp;"}"</f>
        <v>,{"label":"Logic Bomb","id":"n0824A767_06E0_42E4_86AA_C7ECB7A1A81E","url":"https://open-measure.atlassian.net/wiki/spaces/DIC/pages/858554692"}</v>
      </c>
      <c r="E275" s="2"/>
    </row>
    <row r="276" spans="1:5" ht="13.9" thickTop="1" thickBot="1" x14ac:dyDescent="0.4">
      <c r="A276" s="3" t="str">
        <f>NodesData[[#This Row],[Common Name]]</f>
        <v>Login</v>
      </c>
      <c r="B276" s="23" t="str">
        <f>NodesData[[#This Row],[Node ID]]</f>
        <v>n46EF9D9A_E262_42CE_84DD_31B44FFFC872</v>
      </c>
      <c r="C276" s="10" t="s">
        <v>956</v>
      </c>
      <c r="D276" s="26" t="str" cm="1">
        <f t="array" ref="D276">IF(ROW(NodesJSON[[#This Row],[label]])&gt;ROW(NodesJSON[[#Headers],[JSON]])+1,",","") &amp;"{"&amp;twoRangesToJSON(NodesJSON[[#Headers],[label]:[url]],NodesJSON[[#This Row],[label]:[url]])&amp;"}"</f>
        <v>,{"label":"Login","id":"n46EF9D9A_E262_42CE_84DD_31B44FFFC872","url":"https://open-measure.atlassian.net/wiki/spaces/DIC/pages/1323336029/Numerical+Identity"}</v>
      </c>
      <c r="E276" s="2"/>
    </row>
    <row r="277" spans="1:5" ht="13.9" thickTop="1" thickBot="1" x14ac:dyDescent="0.4">
      <c r="A277" s="3" t="str">
        <f>NodesData[[#This Row],[Common Name]]</f>
        <v>Login ID</v>
      </c>
      <c r="B277" s="23" t="str">
        <f>NodesData[[#This Row],[Node ID]]</f>
        <v>nE45E61D9_9369_4987_B110_303B87C7DD18</v>
      </c>
      <c r="C277" s="10" t="s">
        <v>948</v>
      </c>
      <c r="D277" s="26" t="str" cm="1">
        <f t="array" ref="D277">IF(ROW(NodesJSON[[#This Row],[label]])&gt;ROW(NodesJSON[[#Headers],[JSON]])+1,",","") &amp;"{"&amp;twoRangesToJSON(NodesJSON[[#Headers],[label]:[url]],NodesJSON[[#This Row],[label]:[url]])&amp;"}"</f>
        <v>,{"label":"Login ID","id":"nE45E61D9_9369_4987_B110_303B87C7DD18","url":"https://open-measure.atlassian.net/wiki/spaces/DIC/pages/998244664"}</v>
      </c>
      <c r="E277" s="2"/>
    </row>
    <row r="278" spans="1:5" ht="13.9" thickTop="1" thickBot="1" x14ac:dyDescent="0.4">
      <c r="A278" s="3" t="str">
        <f>NodesData[[#This Row],[Common Name]]</f>
        <v>Login Name</v>
      </c>
      <c r="B278" s="23" t="str">
        <f>NodesData[[#This Row],[Node ID]]</f>
        <v>n7CFF42F4_F82C_4184_81FE_6459832E495C</v>
      </c>
      <c r="C278" s="10" t="s">
        <v>960</v>
      </c>
      <c r="D278" s="26" t="str" cm="1">
        <f t="array" ref="D278">IF(ROW(NodesJSON[[#This Row],[label]])&gt;ROW(NodesJSON[[#Headers],[JSON]])+1,",","") &amp;"{"&amp;twoRangesToJSON(NodesJSON[[#Headers],[label]:[url]],NodesJSON[[#This Row],[label]:[url]])&amp;"}"</f>
        <v>,{"label":"Login Name","id":"n7CFF42F4_F82C_4184_81FE_6459832E495C","url":"https://open-measure.atlassian.net/wiki/spaces/DIC/pages/67568133"}</v>
      </c>
      <c r="E278" s="2"/>
    </row>
    <row r="279" spans="1:5" ht="13.9" thickTop="1" thickBot="1" x14ac:dyDescent="0.4">
      <c r="A279" s="3" t="str">
        <f>NodesData[[#This Row],[Common Name]]</f>
        <v>Mechanism</v>
      </c>
      <c r="B279" s="23" t="str">
        <f>NodesData[[#This Row],[Node ID]]</f>
        <v>n5093C332_EBE3_4146_9E6E_13A644D6709F</v>
      </c>
      <c r="C279" s="10" t="s">
        <v>962</v>
      </c>
      <c r="D279" s="26" t="str" cm="1">
        <f t="array" ref="D279">IF(ROW(NodesJSON[[#This Row],[label]])&gt;ROW(NodesJSON[[#Headers],[JSON]])+1,",","") &amp;"{"&amp;twoRangesToJSON(NodesJSON[[#Headers],[label]:[url]],NodesJSON[[#This Row],[label]:[url]])&amp;"}"</f>
        <v>,{"label":"Mechanism","id":"n5093C332_EBE3_4146_9E6E_13A644D6709F","url":"https://open-measure.atlassian.net/wiki/spaces/DIC/pages/998244357"}</v>
      </c>
      <c r="E279" s="2"/>
    </row>
    <row r="280" spans="1:5" ht="13.9" thickTop="1" thickBot="1" x14ac:dyDescent="0.4">
      <c r="A280" s="3" t="str">
        <f>NodesData[[#This Row],[Common Name]]</f>
        <v>Metadirectory</v>
      </c>
      <c r="B280" s="23" t="str">
        <f>NodesData[[#This Row],[Node ID]]</f>
        <v>nFADAB6B8_8A3D_435C_9AD9_15538E50E471</v>
      </c>
      <c r="C280" s="10" t="s">
        <v>958</v>
      </c>
      <c r="D280" s="26" t="str" cm="1">
        <f t="array" ref="D280">IF(ROW(NodesJSON[[#This Row],[label]])&gt;ROW(NodesJSON[[#Headers],[JSON]])+1,",","") &amp;"{"&amp;twoRangesToJSON(NodesJSON[[#Headers],[label]:[url]],NodesJSON[[#This Row],[label]:[url]])&amp;"}"</f>
        <v>,{"label":"Metadirectory","id":"nFADAB6B8_8A3D_435C_9AD9_15538E50E471","url":"https://open-measure.atlassian.net/wiki/spaces/DIC/pages/446825168"}</v>
      </c>
      <c r="E280" s="2"/>
    </row>
    <row r="281" spans="1:5" ht="13.9" thickTop="1" thickBot="1" x14ac:dyDescent="0.4">
      <c r="A281" s="3" t="str">
        <f>NodesData[[#This Row],[Common Name]]</f>
        <v>Multidomain Single Sign-On</v>
      </c>
      <c r="B281" s="23" t="str">
        <f>NodesData[[#This Row],[Node ID]]</f>
        <v>nE2E1BE6A_43E8_4B96_8DF5_2E30C8EF3BDF</v>
      </c>
      <c r="C281" s="10" t="s">
        <v>964</v>
      </c>
      <c r="D281" s="26" t="str" cm="1">
        <f t="array" ref="D281">IF(ROW(NodesJSON[[#This Row],[label]])&gt;ROW(NodesJSON[[#Headers],[JSON]])+1,",","") &amp;"{"&amp;twoRangesToJSON(NodesJSON[[#Headers],[label]:[url]],NodesJSON[[#This Row],[label]:[url]])&amp;"}"</f>
        <v>,{"label":"Multidomain Single Sign-On","id":"nE2E1BE6A_43E8_4B96_8DF5_2E30C8EF3BDF","url":"https://open-measure.atlassian.net/wiki/spaces/DIC/pages/1142358051"}</v>
      </c>
      <c r="E281" s="2"/>
    </row>
    <row r="282" spans="1:5" ht="13.9" thickTop="1" thickBot="1" x14ac:dyDescent="0.4">
      <c r="A282" s="3" t="str">
        <f>NodesData[[#This Row],[Common Name]]</f>
        <v>Multilevel Security</v>
      </c>
      <c r="B282" s="23" t="str">
        <f>NodesData[[#This Row],[Node ID]]</f>
        <v>nF7063463_177E_42A8_8F09_57EF6B9D00BD</v>
      </c>
      <c r="C282" s="10" t="s">
        <v>966</v>
      </c>
      <c r="D282" s="26" t="str" cm="1">
        <f t="array" ref="D282">IF(ROW(NodesJSON[[#This Row],[label]])&gt;ROW(NodesJSON[[#Headers],[JSON]])+1,",","") &amp;"{"&amp;twoRangesToJSON(NodesJSON[[#Headers],[label]:[url]],NodesJSON[[#This Row],[label]:[url]])&amp;"}"</f>
        <v>,{"label":"Multilevel Security","id":"nF7063463_177E_42A8_8F09_57EF6B9D00BD","url":"https://open-measure.atlassian.net/wiki/spaces/DIC/pages/1142259761"}</v>
      </c>
      <c r="E282" s="2"/>
    </row>
    <row r="283" spans="1:5" ht="13.9" thickTop="1" thickBot="1" x14ac:dyDescent="0.4">
      <c r="A283" s="3" t="str">
        <f>NodesData[[#This Row],[Common Name]]</f>
        <v>Multi-Modal Biometric Authentication</v>
      </c>
      <c r="B283" s="23" t="str">
        <f>NodesData[[#This Row],[Node ID]]</f>
        <v>nF4329B4E_89AE_4B13_8BA2_B6BEFB931A12</v>
      </c>
      <c r="C283" s="10" t="s">
        <v>968</v>
      </c>
      <c r="D283" s="26" t="str" cm="1">
        <f t="array" ref="D283">IF(ROW(NodesJSON[[#This Row],[label]])&gt;ROW(NodesJSON[[#Headers],[JSON]])+1,",","") &amp;"{"&amp;twoRangesToJSON(NodesJSON[[#Headers],[label]:[url]],NodesJSON[[#This Row],[label]:[url]])&amp;"}"</f>
        <v>,{"label":"Multi-Modal Biometric Authentication","id":"nF4329B4E_89AE_4B13_8BA2_B6BEFB931A12","url":"https://open-measure.atlassian.net/wiki/spaces/DIC/pages/3211353"}</v>
      </c>
      <c r="E283" s="2"/>
    </row>
    <row r="284" spans="1:5" ht="13.9" thickTop="1" thickBot="1" x14ac:dyDescent="0.4">
      <c r="A284" s="3" t="str">
        <f>NodesData[[#This Row],[Common Name]]</f>
        <v>Multiple Accounts</v>
      </c>
      <c r="B284" s="23" t="str">
        <f>NodesData[[#This Row],[Node ID]]</f>
        <v>n526624DF_C2E0_4B21_9A61_CEED4CD47F26</v>
      </c>
      <c r="C284" s="10" t="s">
        <v>970</v>
      </c>
      <c r="D284" s="26" t="str" cm="1">
        <f t="array" ref="D284">IF(ROW(NodesJSON[[#This Row],[label]])&gt;ROW(NodesJSON[[#Headers],[JSON]])+1,",","") &amp;"{"&amp;twoRangesToJSON(NodesJSON[[#Headers],[label]:[url]],NodesJSON[[#This Row],[label]:[url]])&amp;"}"</f>
        <v>,{"label":"Multiple Accounts","id":"n526624DF_C2E0_4B21_9A61_CEED4CD47F26","url":"https://open-measure.atlassian.net/wiki/spaces/DIC/pages/148439181"}</v>
      </c>
      <c r="E284" s="2"/>
    </row>
    <row r="285" spans="1:5" ht="13.9" thickTop="1" thickBot="1" x14ac:dyDescent="0.4">
      <c r="A285" s="3" t="str">
        <f>NodesData[[#This Row],[Common Name]]</f>
        <v>Mutual Authentication</v>
      </c>
      <c r="B285" s="23" t="str">
        <f>NodesData[[#This Row],[Node ID]]</f>
        <v>n64D10171_0B22_4711_A563_45B7D52F62A1</v>
      </c>
      <c r="C285" s="10" t="s">
        <v>972</v>
      </c>
      <c r="D285" s="26" t="str" cm="1">
        <f t="array" ref="D285">IF(ROW(NodesJSON[[#This Row],[label]])&gt;ROW(NodesJSON[[#Headers],[JSON]])+1,",","") &amp;"{"&amp;twoRangesToJSON(NodesJSON[[#Headers],[label]:[url]],NodesJSON[[#This Row],[label]:[url]])&amp;"}"</f>
        <v>,{"label":"Mutual Authentication","id":"n64D10171_0B22_4711_A563_45B7D52F62A1","url":"https://open-measure.atlassian.net/wiki/spaces/DIC/pages/5932838"}</v>
      </c>
      <c r="E285" s="2"/>
    </row>
    <row r="286" spans="1:5" ht="13.9" thickTop="1" thickBot="1" x14ac:dyDescent="0.4">
      <c r="A286" s="3" t="str">
        <f>NodesData[[#This Row],[Common Name]]</f>
        <v>Need-to-Know</v>
      </c>
      <c r="B286" s="23" t="str">
        <f>NodesData[[#This Row],[Node ID]]</f>
        <v>n5E26B41D_6E03_4C12_AACA_F0C33BED131F</v>
      </c>
      <c r="C286" s="10" t="s">
        <v>973</v>
      </c>
      <c r="D286" s="26" t="str" cm="1">
        <f t="array" ref="D286">IF(ROW(NodesJSON[[#This Row],[label]])&gt;ROW(NodesJSON[[#Headers],[JSON]])+1,",","") &amp;"{"&amp;twoRangesToJSON(NodesJSON[[#Headers],[label]:[url]],NodesJSON[[#This Row],[label]:[url]])&amp;"}"</f>
        <v>,{"label":"Need-to-Know","id":"n5E26B41D_6E03_4C12_AACA_F0C33BED131F","url":"https://open-measure.atlassian.net/wiki/spaces/DIC/pages/1311403"}</v>
      </c>
      <c r="E286" s="2"/>
    </row>
    <row r="287" spans="1:5" ht="13.9" thickTop="1" thickBot="1" x14ac:dyDescent="0.4">
      <c r="A287" s="3" t="str">
        <f>NodesData[[#This Row],[Common Name]]</f>
        <v>New Joiner</v>
      </c>
      <c r="B287" s="23" t="str">
        <f>NodesData[[#This Row],[Node ID]]</f>
        <v>n42AE1DFB_EDB7_42D2_89EE_3945EA0F348C</v>
      </c>
      <c r="C287" s="10" t="s">
        <v>974</v>
      </c>
      <c r="D287" s="26" t="str" cm="1">
        <f t="array" ref="D287">IF(ROW(NodesJSON[[#This Row],[label]])&gt;ROW(NodesJSON[[#Headers],[JSON]])+1,",","") &amp;"{"&amp;twoRangesToJSON(NodesJSON[[#Headers],[label]:[url]],NodesJSON[[#This Row],[label]:[url]])&amp;"}"</f>
        <v>,{"label":"New Joiner","id":"n42AE1DFB_EDB7_42D2_89EE_3945EA0F348C","url":"https://open-measure.atlassian.net/wiki/spaces/DIC/pages/557057"}</v>
      </c>
      <c r="E287" s="2"/>
    </row>
    <row r="288" spans="1:5" ht="13.9" thickTop="1" thickBot="1" x14ac:dyDescent="0.4">
      <c r="A288" s="3" t="str">
        <f>NodesData[[#This Row],[Common Name]]</f>
        <v>No Tranquility Property</v>
      </c>
      <c r="B288" s="23" t="str">
        <f>NodesData[[#This Row],[Node ID]]</f>
        <v>n4ED00BBB_87C8_4B44_B7F1_FEDB8DD6A7D4</v>
      </c>
      <c r="C288" s="10" t="s">
        <v>976</v>
      </c>
      <c r="D288" s="26" t="str" cm="1">
        <f t="array" ref="D288">IF(ROW(NodesJSON[[#This Row],[label]])&gt;ROW(NodesJSON[[#Headers],[JSON]])+1,",","") &amp;"{"&amp;twoRangesToJSON(NodesJSON[[#Headers],[label]:[url]],NodesJSON[[#This Row],[label]:[url]])&amp;"}"</f>
        <v>,{"label":"No Tranquility Property","id":"n4ED00BBB_87C8_4B44_B7F1_FEDB8DD6A7D4","url":"https://open-measure.atlassian.net/wiki/spaces/DIC/pages/1061650550"}</v>
      </c>
      <c r="E288" s="2"/>
    </row>
    <row r="289" spans="1:5" ht="13.9" thickTop="1" thickBot="1" x14ac:dyDescent="0.4">
      <c r="A289" s="3" t="str">
        <f>NodesData[[#This Row],[Common Name]]</f>
        <v>Nonworker</v>
      </c>
      <c r="B289" s="23" t="str">
        <f>NodesData[[#This Row],[Node ID]]</f>
        <v>n2B01D047_3E55_4928_89FF_89BF0E4C9A55</v>
      </c>
      <c r="C289" s="10" t="s">
        <v>977</v>
      </c>
      <c r="D289" s="26" t="str" cm="1">
        <f t="array" ref="D289">IF(ROW(NodesJSON[[#This Row],[label]])&gt;ROW(NodesJSON[[#Headers],[JSON]])+1,",","") &amp;"{"&amp;twoRangesToJSON(NodesJSON[[#Headers],[label]:[url]],NodesJSON[[#This Row],[label]:[url]])&amp;"}"</f>
        <v>,{"label":"Nonworker","id":"n2B01D047_3E55_4928_89FF_89BF0E4C9A55","url":"https://open-measure.atlassian.net/wiki/spaces/DIC/pages/1062207530/Orphan+Account"}</v>
      </c>
      <c r="E289" s="2"/>
    </row>
    <row r="290" spans="1:5" ht="13.9" thickTop="1" thickBot="1" x14ac:dyDescent="0.4">
      <c r="A290" s="3" t="str">
        <f>NodesData[[#This Row],[Common Name]]</f>
        <v>Numerical Identity</v>
      </c>
      <c r="B290" s="23" t="str">
        <f>NodesData[[#This Row],[Node ID]]</f>
        <v>n5FC0E690_BD8A_4D6A_8185_1DC8FF5EE7BE</v>
      </c>
      <c r="C290" s="10" t="s">
        <v>979</v>
      </c>
      <c r="D290" s="26" t="str" cm="1">
        <f t="array" ref="D290">IF(ROW(NodesJSON[[#This Row],[label]])&gt;ROW(NodesJSON[[#Headers],[JSON]])+1,",","") &amp;"{"&amp;twoRangesToJSON(NodesJSON[[#Headers],[label]:[url]],NodesJSON[[#This Row],[label]:[url]])&amp;"}"</f>
        <v>,{"label":"Numerical Identity","id":"n5FC0E690_BD8A_4D6A_8185_1DC8FF5EE7BE","url":"https://open-measure.atlassian.net/wiki/spaces/DIC/pages/1061748965"}</v>
      </c>
      <c r="E290" s="2"/>
    </row>
    <row r="291" spans="1:5" ht="13.9" thickTop="1" thickBot="1" x14ac:dyDescent="0.4">
      <c r="A291" s="3" t="str">
        <f>NodesData[[#This Row],[Common Name]]</f>
        <v>OAuth</v>
      </c>
      <c r="B291" s="23" t="str">
        <f>NodesData[[#This Row],[Node ID]]</f>
        <v>n59BB7020_7AB1_4728_86F2_1E393E0E8707</v>
      </c>
      <c r="C291" s="10" t="s">
        <v>981</v>
      </c>
      <c r="D291" s="26" t="str" cm="1">
        <f t="array" ref="D291">IF(ROW(NodesJSON[[#This Row],[label]])&gt;ROW(NodesJSON[[#Headers],[JSON]])+1,",","") &amp;"{"&amp;twoRangesToJSON(NodesJSON[[#Headers],[label]:[url]],NodesJSON[[#This Row],[label]:[url]])&amp;"}"</f>
        <v>,{"label":"OAuth","id":"n59BB7020_7AB1_4728_86F2_1E393E0E8707","url":"https://open-measure.atlassian.net/wiki/spaces/DIC/pages/1061650653"}</v>
      </c>
      <c r="E291" s="2"/>
    </row>
    <row r="292" spans="1:5" ht="13.9" thickTop="1" thickBot="1" x14ac:dyDescent="0.4">
      <c r="A292" s="3" t="str">
        <f>NodesData[[#This Row],[Common Name]]</f>
        <v>Object</v>
      </c>
      <c r="B292" s="23" t="str">
        <f>NodesData[[#This Row],[Node ID]]</f>
        <v>nBB8CA37A_77F7_45A6_8D48_E3EAE7C070CC</v>
      </c>
      <c r="C292" s="10" t="s">
        <v>983</v>
      </c>
      <c r="D292" s="26" t="str" cm="1">
        <f t="array" ref="D292">IF(ROW(NodesJSON[[#This Row],[label]])&gt;ROW(NodesJSON[[#Headers],[JSON]])+1,",","") &amp;"{"&amp;twoRangesToJSON(NodesJSON[[#Headers],[label]:[url]],NodesJSON[[#This Row],[label]:[url]])&amp;"}"</f>
        <v>,{"label":"Object","id":"nBB8CA37A_77F7_45A6_8D48_E3EAE7C070CC","url":"https://open-measure.atlassian.net/wiki/spaces/DIC/pages/1061748925"}</v>
      </c>
      <c r="E292" s="2"/>
    </row>
    <row r="293" spans="1:5" ht="13.9" thickTop="1" thickBot="1" x14ac:dyDescent="0.4">
      <c r="A293" s="3" t="str">
        <f>NodesData[[#This Row],[Common Name]]</f>
        <v>Omission Error</v>
      </c>
      <c r="B293" s="23" t="str">
        <f>NodesData[[#This Row],[Node ID]]</f>
        <v>nE5FB6AFC_FC63_4B56_A4C6_E23F16E9BC61</v>
      </c>
      <c r="C293" s="10" t="s">
        <v>985</v>
      </c>
      <c r="D293" s="26" t="str" cm="1">
        <f t="array" ref="D293">IF(ROW(NodesJSON[[#This Row],[label]])&gt;ROW(NodesJSON[[#Headers],[JSON]])+1,",","") &amp;"{"&amp;twoRangesToJSON(NodesJSON[[#Headers],[label]:[url]],NodesJSON[[#This Row],[label]:[url]])&amp;"}"</f>
        <v>,{"label":"Omission Error","id":"nE5FB6AFC_FC63_4B56_A4C6_E23F16E9BC61","url":"https://open-measure.atlassian.net/wiki/spaces/DIC/pages/1061749016"}</v>
      </c>
      <c r="E293" s="2"/>
    </row>
    <row r="294" spans="1:5" ht="13.9" thickTop="1" thickBot="1" x14ac:dyDescent="0.4">
      <c r="A294" s="3" t="str">
        <f>NodesData[[#This Row],[Common Name]]</f>
        <v>One-Time Passcode Authentication</v>
      </c>
      <c r="B294" s="23" t="str">
        <f>NodesData[[#This Row],[Node ID]]</f>
        <v>n476800A3_2E26_4AE7_BDA9_7E883266BCE1</v>
      </c>
      <c r="C294" s="10" t="s">
        <v>987</v>
      </c>
      <c r="D294" s="26" t="str" cm="1">
        <f t="array" ref="D294">IF(ROW(NodesJSON[[#This Row],[label]])&gt;ROW(NodesJSON[[#Headers],[JSON]])+1,",","") &amp;"{"&amp;twoRangesToJSON(NodesJSON[[#Headers],[label]:[url]],NodesJSON[[#This Row],[label]:[url]])&amp;"}"</f>
        <v>,{"label":"One-Time Passcode Authentication","id":"n476800A3_2E26_4AE7_BDA9_7E883266BCE1","url":"https://open-measure.atlassian.net/wiki/spaces/DIC/pages/1063845889"}</v>
      </c>
      <c r="E294" s="2"/>
    </row>
    <row r="295" spans="1:5" ht="13.9" thickTop="1" thickBot="1" x14ac:dyDescent="0.4">
      <c r="A295" s="3" t="str">
        <f>NodesData[[#This Row],[Common Name]]</f>
        <v>OPA</v>
      </c>
      <c r="B295" s="23" t="str">
        <f>NodesData[[#This Row],[Node ID]]</f>
        <v>n6C614E81_1E4F_490D_BA0A_44FBC9CBCFE0</v>
      </c>
      <c r="C295" s="10" t="s">
        <v>989</v>
      </c>
      <c r="D295" s="26" t="str" cm="1">
        <f t="array" ref="D295">IF(ROW(NodesJSON[[#This Row],[label]])&gt;ROW(NodesJSON[[#Headers],[JSON]])+1,",","") &amp;"{"&amp;twoRangesToJSON(NodesJSON[[#Headers],[label]:[url]],NodesJSON[[#This Row],[label]:[url]])&amp;"}"</f>
        <v>,{"label":"OPA","id":"n6C614E81_1E4F_490D_BA0A_44FBC9CBCFE0","url":"https://open-measure.atlassian.net/wiki/spaces/DIC/pages/1061650689"}</v>
      </c>
      <c r="E295" s="2"/>
    </row>
    <row r="296" spans="1:5" ht="13.9" thickTop="1" thickBot="1" x14ac:dyDescent="0.4">
      <c r="A296" s="3" t="str">
        <f>NodesData[[#This Row],[Common Name]]</f>
        <v>Open Policy Agent</v>
      </c>
      <c r="B296" s="23" t="str">
        <f>NodesData[[#This Row],[Node ID]]</f>
        <v>nD995A6A9_C3A9_4283_82AA_4AB97DA2B578</v>
      </c>
      <c r="C296" s="10" t="s">
        <v>991</v>
      </c>
      <c r="D296" s="26" t="str" cm="1">
        <f t="array" ref="D296">IF(ROW(NodesJSON[[#This Row],[label]])&gt;ROW(NodesJSON[[#Headers],[JSON]])+1,",","") &amp;"{"&amp;twoRangesToJSON(NodesJSON[[#Headers],[label]:[url]],NodesJSON[[#This Row],[label]:[url]])&amp;"}"</f>
        <v>,{"label":"Open Policy Agent","id":"nD995A6A9_C3A9_4283_82AA_4AB97DA2B578","url":"https://open-measure.atlassian.net/wiki/spaces/DIC/pages/1061748885"}</v>
      </c>
      <c r="E296" s="2"/>
    </row>
    <row r="297" spans="1:5" ht="13.9" thickTop="1" thickBot="1" x14ac:dyDescent="0.4">
      <c r="A297" s="3" t="str">
        <f>NodesData[[#This Row],[Common Name]]</f>
        <v>Operational Definition</v>
      </c>
      <c r="B297" s="23" t="str">
        <f>NodesData[[#This Row],[Node ID]]</f>
        <v>n9C348411_DBC2_4D83_98F6_DA323939AD65</v>
      </c>
      <c r="C297" s="4"/>
      <c r="D297" s="26" t="str" cm="1">
        <f t="array" ref="D297">IF(ROW(NodesJSON[[#This Row],[label]])&gt;ROW(NodesJSON[[#Headers],[JSON]])+1,",","") &amp;"{"&amp;twoRangesToJSON(NodesJSON[[#Headers],[label]:[url]],NodesJSON[[#This Row],[label]:[url]])&amp;"}"</f>
        <v>,{"label":"Operational Definition","id":"n9C348411_DBC2_4D83_98F6_DA323939AD65","url":""}</v>
      </c>
      <c r="E297" s="2"/>
    </row>
    <row r="298" spans="1:5" ht="13.9" thickTop="1" thickBot="1" x14ac:dyDescent="0.4">
      <c r="A298" s="3" t="str">
        <f>NodesData[[#This Row],[Common Name]]</f>
        <v>Operational Taxonomic Unit</v>
      </c>
      <c r="B298" s="23" t="str">
        <f>NodesData[[#This Row],[Node ID]]</f>
        <v>nE33FC009_B7E4_40FD_9745_D826E24B6E94</v>
      </c>
      <c r="C298" s="10" t="s">
        <v>992</v>
      </c>
      <c r="D298" s="26" t="str" cm="1">
        <f t="array" ref="D298">IF(ROW(NodesJSON[[#This Row],[label]])&gt;ROW(NodesJSON[[#Headers],[JSON]])+1,",","") &amp;"{"&amp;twoRangesToJSON(NodesJSON[[#Headers],[label]:[url]],NodesJSON[[#This Row],[label]:[url]])&amp;"}"</f>
        <v>,{"label":"Operational Taxonomic Unit","id":"nE33FC009_B7E4_40FD_9745_D826E24B6E94","url":"https://open-measure.atlassian.net/wiki/spaces/DIC/pages/1472692289/Outsider"}</v>
      </c>
      <c r="E298" s="2"/>
    </row>
    <row r="299" spans="1:5" ht="13.9" thickTop="1" thickBot="1" x14ac:dyDescent="0.4">
      <c r="A299" s="3" t="str">
        <f>NodesData[[#This Row],[Common Name]]</f>
        <v>Ordinal Scale</v>
      </c>
      <c r="B299" s="23" t="str">
        <f>NodesData[[#This Row],[Node ID]]</f>
        <v>nF7D4524F_C6C0_4EC5_9552_75B99B9D5A42</v>
      </c>
      <c r="C299" s="4"/>
      <c r="D299" s="26" t="str" cm="1">
        <f t="array" ref="D299">IF(ROW(NodesJSON[[#This Row],[label]])&gt;ROW(NodesJSON[[#Headers],[JSON]])+1,",","") &amp;"{"&amp;twoRangesToJSON(NodesJSON[[#Headers],[label]:[url]],NodesJSON[[#This Row],[label]:[url]])&amp;"}"</f>
        <v>,{"label":"Ordinal Scale","id":"nF7D4524F_C6C0_4EC5_9552_75B99B9D5A42","url":""}</v>
      </c>
      <c r="E299" s="2"/>
    </row>
    <row r="300" spans="1:5" ht="13.9" thickTop="1" thickBot="1" x14ac:dyDescent="0.4">
      <c r="A300" s="3" t="str">
        <f>NodesData[[#This Row],[Common Name]]</f>
        <v>Organization Context</v>
      </c>
      <c r="B300" s="23" t="str">
        <f>NodesData[[#This Row],[Node ID]]</f>
        <v>n33A86B12_0EA4_4F3E_BC6D_E3702F9EAE81</v>
      </c>
      <c r="C300" s="10" t="s">
        <v>994</v>
      </c>
      <c r="D300" s="26" t="str" cm="1">
        <f t="array" ref="D300">IF(ROW(NodesJSON[[#This Row],[label]])&gt;ROW(NodesJSON[[#Headers],[JSON]])+1,",","") &amp;"{"&amp;twoRangesToJSON(NodesJSON[[#Headers],[label]:[url]],NodesJSON[[#This Row],[label]:[url]])&amp;"}"</f>
        <v>,{"label":"Organization Context","id":"n33A86B12_0EA4_4F3E_BC6D_E3702F9EAE81","url":"https://open-measure.atlassian.net/wiki/spaces/DIC/pages/974323764"}</v>
      </c>
      <c r="E300" s="2"/>
    </row>
    <row r="301" spans="1:5" ht="13.9" thickTop="1" thickBot="1" x14ac:dyDescent="0.4">
      <c r="A301" s="3" t="str">
        <f>NodesData[[#This Row],[Common Name]]</f>
        <v>Organization Scope</v>
      </c>
      <c r="B301" s="23" t="str">
        <f>NodesData[[#This Row],[Node ID]]</f>
        <v>nA41D81DD_A231_43DB_A8BF_E136E86BDC97</v>
      </c>
      <c r="C301" s="4"/>
      <c r="D301" s="26" t="str" cm="1">
        <f t="array" ref="D301">IF(ROW(NodesJSON[[#This Row],[label]])&gt;ROW(NodesJSON[[#Headers],[JSON]])+1,",","") &amp;"{"&amp;twoRangesToJSON(NodesJSON[[#Headers],[label]:[url]],NodesJSON[[#This Row],[label]:[url]])&amp;"}"</f>
        <v>,{"label":"Organization Scope","id":"nA41D81DD_A231_43DB_A8BF_E136E86BDC97","url":""}</v>
      </c>
      <c r="E301" s="2"/>
    </row>
    <row r="302" spans="1:5" ht="13.9" thickTop="1" thickBot="1" x14ac:dyDescent="0.4">
      <c r="A302" s="3" t="str">
        <f>NodesData[[#This Row],[Common Name]]</f>
        <v>Orphan</v>
      </c>
      <c r="B302" s="23" t="str">
        <f>NodesData[[#This Row],[Node ID]]</f>
        <v>n4AE20DB0_76C4_4F45_8465_74F243AABAEF</v>
      </c>
      <c r="C302" s="8"/>
      <c r="D302" s="26" t="str" cm="1">
        <f t="array" ref="D302">IF(ROW(NodesJSON[[#This Row],[label]])&gt;ROW(NodesJSON[[#Headers],[JSON]])+1,",","") &amp;"{"&amp;twoRangesToJSON(NodesJSON[[#Headers],[label]:[url]],NodesJSON[[#This Row],[label]:[url]])&amp;"}"</f>
        <v>,{"label":"Orphan","id":"n4AE20DB0_76C4_4F45_8465_74F243AABAEF","url":""}</v>
      </c>
      <c r="E302" s="2"/>
    </row>
    <row r="303" spans="1:5" ht="13.9" thickTop="1" thickBot="1" x14ac:dyDescent="0.4">
      <c r="A303" s="3" t="str">
        <f>NodesData[[#This Row],[Common Name]]</f>
        <v>Orphan Account</v>
      </c>
      <c r="B303" s="23" t="str">
        <f>NodesData[[#This Row],[Node ID]]</f>
        <v>n9BFEB967_7B86_4B3D_9C7E_0511B974AE4D</v>
      </c>
      <c r="C303" s="10" t="s">
        <v>995</v>
      </c>
      <c r="D303" s="26" t="str" cm="1">
        <f t="array" ref="D303">IF(ROW(NodesJSON[[#This Row],[label]])&gt;ROW(NodesJSON[[#Headers],[JSON]])+1,",","") &amp;"{"&amp;twoRangesToJSON(NodesJSON[[#Headers],[label]:[url]],NodesJSON[[#This Row],[label]:[url]])&amp;"}"</f>
        <v>,{"label":"Orphan Account","id":"n9BFEB967_7B86_4B3D_9C7E_0511B974AE4D","url":"https://open-measure.atlassian.net/wiki/spaces/DIC/pages/1428652394/Password+Guessing+Attack"}</v>
      </c>
      <c r="E303" s="2"/>
    </row>
    <row r="304" spans="1:5" ht="13.9" thickTop="1" thickBot="1" x14ac:dyDescent="0.4">
      <c r="A304" s="3" t="str">
        <f>NodesData[[#This Row],[Common Name]]</f>
        <v>Orphan File</v>
      </c>
      <c r="B304" s="23" t="str">
        <f>NodesData[[#This Row],[Node ID]]</f>
        <v>n5AE1D03E_6BE9_4D64_877A_463F2CD1823C</v>
      </c>
      <c r="C304" s="10" t="s">
        <v>997</v>
      </c>
      <c r="D304" s="26" t="str" cm="1">
        <f t="array" ref="D304">IF(ROW(NodesJSON[[#This Row],[label]])&gt;ROW(NodesJSON[[#Headers],[JSON]])+1,",","") &amp;"{"&amp;twoRangesToJSON(NodesJSON[[#Headers],[label]:[url]],NodesJSON[[#This Row],[label]:[url]])&amp;"}"</f>
        <v>,{"label":"Orphan File","id":"n5AE1D03E_6BE9_4D64_877A_463F2CD1823C","url":"https://open-measure.atlassian.net/wiki/spaces/DIC/pages/1027048058"}</v>
      </c>
      <c r="E304" s="2"/>
    </row>
    <row r="305" spans="1:5" ht="13.9" thickTop="1" thickBot="1" x14ac:dyDescent="0.4">
      <c r="A305" s="3" t="str">
        <f>NodesData[[#This Row],[Common Name]]</f>
        <v>Orphan Object</v>
      </c>
      <c r="B305" s="23" t="str">
        <f>NodesData[[#This Row],[Node ID]]</f>
        <v>nBF0C1B68_F08A_4202_9757_9E8291426C10</v>
      </c>
      <c r="C305" s="10" t="s">
        <v>998</v>
      </c>
      <c r="D305" s="26" t="str" cm="1">
        <f t="array" ref="D305">IF(ROW(NodesJSON[[#This Row],[label]])&gt;ROW(NodesJSON[[#Headers],[JSON]])+1,",","") &amp;"{"&amp;twoRangesToJSON(NodesJSON[[#Headers],[label]:[url]],NodesJSON[[#This Row],[label]:[url]])&amp;"}"</f>
        <v>,{"label":"Orphan Object","id":"nBF0C1B68_F08A_4202_9757_9E8291426C10","url":"https://open-measure.atlassian.net/wiki/spaces/DIC/pages/1348730921/Password+Spraying+Attack"}</v>
      </c>
      <c r="E305" s="2"/>
    </row>
    <row r="306" spans="1:5" ht="13.9" thickTop="1" thickBot="1" x14ac:dyDescent="0.4">
      <c r="A306" s="3" t="str">
        <f>NodesData[[#This Row],[Common Name]]</f>
        <v>Orphan Process</v>
      </c>
      <c r="B306" s="23" t="str">
        <f>NodesData[[#This Row],[Node ID]]</f>
        <v>nAEC674BE_91C6_4A77_962B_1FC629184791</v>
      </c>
      <c r="C306" s="8"/>
      <c r="D306" s="26" t="str" cm="1">
        <f t="array" ref="D306">IF(ROW(NodesJSON[[#This Row],[label]])&gt;ROW(NodesJSON[[#Headers],[JSON]])+1,",","") &amp;"{"&amp;twoRangesToJSON(NodesJSON[[#Headers],[label]:[url]],NodesJSON[[#This Row],[label]:[url]])&amp;"}"</f>
        <v>,{"label":"Orphan Process","id":"nAEC674BE_91C6_4A77_962B_1FC629184791","url":""}</v>
      </c>
      <c r="E306" s="2"/>
    </row>
    <row r="307" spans="1:5" ht="13.9" thickTop="1" thickBot="1" x14ac:dyDescent="0.4">
      <c r="A307" s="3" t="str">
        <f>NodesData[[#This Row],[Common Name]]</f>
        <v>Orphan Product</v>
      </c>
      <c r="B307" s="23" t="str">
        <f>NodesData[[#This Row],[Node ID]]</f>
        <v>n6F060A06_4EC7_40D0_BE25_18BB706EAC33</v>
      </c>
      <c r="C307" s="10" t="s">
        <v>1000</v>
      </c>
      <c r="D307" s="26" t="str" cm="1">
        <f t="array" ref="D307">IF(ROW(NodesJSON[[#This Row],[label]])&gt;ROW(NodesJSON[[#Headers],[JSON]])+1,",","") &amp;"{"&amp;twoRangesToJSON(NodesJSON[[#Headers],[label]:[url]],NodesJSON[[#This Row],[label]:[url]])&amp;"}"</f>
        <v>,{"label":"Orphan Product","id":"n6F060A06_4EC7_40D0_BE25_18BB706EAC33","url":"https://open-measure.atlassian.net/wiki/spaces/DIC/pages/1409753"}</v>
      </c>
      <c r="E307" s="2"/>
    </row>
    <row r="308" spans="1:5" ht="13.9" thickTop="1" thickBot="1" x14ac:dyDescent="0.4">
      <c r="A308" s="3" t="str">
        <f>NodesData[[#This Row],[Common Name]]</f>
        <v>Orphan Role</v>
      </c>
      <c r="B308" s="23" t="str">
        <f>NodesData[[#This Row],[Node ID]]</f>
        <v>n0D10D535_12CA_43D7_8C25_D56FF795B5EB</v>
      </c>
      <c r="C308" s="10" t="s">
        <v>1002</v>
      </c>
      <c r="D308" s="26" t="str" cm="1">
        <f t="array" ref="D308">IF(ROW(NodesJSON[[#This Row],[label]])&gt;ROW(NodesJSON[[#Headers],[JSON]])+1,",","") &amp;"{"&amp;twoRangesToJSON(NodesJSON[[#Headers],[label]:[url]],NodesJSON[[#This Row],[label]:[url]])&amp;"}"</f>
        <v>,{"label":"Orphan Role","id":"n0D10D535_12CA_43D7_8C25_D56FF795B5EB","url":"https://open-measure.atlassian.net/wiki/spaces/DIC/pages/67699129"}</v>
      </c>
      <c r="E308" s="2"/>
    </row>
    <row r="309" spans="1:5" ht="13.9" thickTop="1" thickBot="1" x14ac:dyDescent="0.4">
      <c r="A309" s="3" t="str">
        <f>NodesData[[#This Row],[Common Name]]</f>
        <v>Orphan Routes / APIs</v>
      </c>
      <c r="B309" s="23" t="str">
        <f>NodesData[[#This Row],[Node ID]]</f>
        <v>nFB81B88B_935E_4937_8C9D_107D390BB8B5</v>
      </c>
      <c r="C309" s="10" t="s">
        <v>1003</v>
      </c>
      <c r="D309" s="26" t="str" cm="1">
        <f t="array" ref="D309">IF(ROW(NodesJSON[[#This Row],[label]])&gt;ROW(NodesJSON[[#Headers],[JSON]])+1,",","") &amp;"{"&amp;twoRangesToJSON(NodesJSON[[#Headers],[label]:[url]],NodesJSON[[#This Row],[label]:[url]])&amp;"}"</f>
        <v>,{"label":"Orphan Routes / APIs","id":"nFB81B88B_935E_4937_8C9D_107D390BB8B5","url":"https://open-measure.atlassian.net/wiki/spaces/DIC/pages/1323499709/Persona"}</v>
      </c>
      <c r="E309" s="2"/>
    </row>
    <row r="310" spans="1:5" ht="13.9" thickTop="1" thickBot="1" x14ac:dyDescent="0.4">
      <c r="A310" s="3" t="str">
        <f>NodesData[[#This Row],[Common Name]]</f>
        <v>Orphan System</v>
      </c>
      <c r="B310" s="23" t="str">
        <f>NodesData[[#This Row],[Node ID]]</f>
        <v>nEF01C104_C9F5_4399_B8A7_5AEEE0AEED69</v>
      </c>
      <c r="C310" s="10" t="s">
        <v>999</v>
      </c>
      <c r="D310" s="26" t="str" cm="1">
        <f t="array" ref="D310">IF(ROW(NodesJSON[[#This Row],[label]])&gt;ROW(NodesJSON[[#Headers],[JSON]])+1,",","") &amp;"{"&amp;twoRangesToJSON(NodesJSON[[#Headers],[label]:[url]],NodesJSON[[#This Row],[label]:[url]])&amp;"}"</f>
        <v>,{"label":"Orphan System","id":"nEF01C104_C9F5_4399_B8A7_5AEEE0AEED69","url":"https://open-measure.atlassian.net/wiki/spaces/DIC/pages/1677164566/Passwordless+Authentication"}</v>
      </c>
      <c r="E310" s="2"/>
    </row>
    <row r="311" spans="1:5" ht="13.9" thickTop="1" thickBot="1" x14ac:dyDescent="0.4">
      <c r="A311" s="3" t="str">
        <f>NodesData[[#This Row],[Common Name]]</f>
        <v>Out-of-band Authentication</v>
      </c>
      <c r="B311" s="23" t="str">
        <f>NodesData[[#This Row],[Node ID]]</f>
        <v>n7044B2C5_B689_4BDB_A361_6960562C0FC0</v>
      </c>
      <c r="C311" s="4"/>
      <c r="D311" s="26" t="str" cm="1">
        <f t="array" ref="D311">IF(ROW(NodesJSON[[#This Row],[label]])&gt;ROW(NodesJSON[[#Headers],[JSON]])+1,",","") &amp;"{"&amp;twoRangesToJSON(NodesJSON[[#Headers],[label]:[url]],NodesJSON[[#This Row],[label]:[url]])&amp;"}"</f>
        <v>,{"label":"Out-of-band Authentication","id":"n7044B2C5_B689_4BDB_A361_6960562C0FC0","url":""}</v>
      </c>
      <c r="E311" s="2"/>
    </row>
    <row r="312" spans="1:5" ht="13.9" thickTop="1" thickBot="1" x14ac:dyDescent="0.4">
      <c r="A312" s="3" t="str">
        <f>NodesData[[#This Row],[Common Name]]</f>
        <v>Outsider</v>
      </c>
      <c r="B312" s="23" t="str">
        <f>NodesData[[#This Row],[Node ID]]</f>
        <v>n04522218_BC1E_4939_A068_7AA0277A1265</v>
      </c>
      <c r="C312" s="10" t="s">
        <v>1005</v>
      </c>
      <c r="D312" s="26" t="str" cm="1">
        <f t="array" ref="D312">IF(ROW(NodesJSON[[#This Row],[label]])&gt;ROW(NodesJSON[[#Headers],[JSON]])+1,",","") &amp;"{"&amp;twoRangesToJSON(NodesJSON[[#Headers],[label]:[url]],NodesJSON[[#This Row],[label]:[url]])&amp;"}"</f>
        <v>,{"label":"Outsider","id":"n04522218_BC1E_4939_A068_7AA0277A1265","url":"https://open-measure.atlassian.net/wiki/spaces/DIC/pages/1572948"}</v>
      </c>
      <c r="E312" s="2"/>
    </row>
    <row r="313" spans="1:5" ht="13.9" thickTop="1" thickBot="1" x14ac:dyDescent="0.4">
      <c r="A313" s="3" t="str">
        <f>NodesData[[#This Row],[Common Name]]</f>
        <v>Palmprint Recognition Authentication</v>
      </c>
      <c r="B313" s="23" t="str">
        <f>NodesData[[#This Row],[Node ID]]</f>
        <v>nD67337C3_82D6_4A00_9312_77ECF955E4EE</v>
      </c>
      <c r="C313" s="10" t="s">
        <v>1007</v>
      </c>
      <c r="D313" s="26" t="str" cm="1">
        <f t="array" ref="D313">IF(ROW(NodesJSON[[#This Row],[label]])&gt;ROW(NodesJSON[[#Headers],[JSON]])+1,",","") &amp;"{"&amp;twoRangesToJSON(NodesJSON[[#Headers],[label]:[url]],NodesJSON[[#This Row],[label]:[url]])&amp;"}"</f>
        <v>,{"label":"Palmprint Recognition Authentication","id":"nD67337C3_82D6_4A00_9312_77ECF955E4EE","url":"https://open-measure.atlassian.net/wiki/spaces/DIC/pages/67568272"}</v>
      </c>
      <c r="E313" s="2"/>
    </row>
    <row r="314" spans="1:5" ht="13.9" thickTop="1" thickBot="1" x14ac:dyDescent="0.4">
      <c r="A314" s="3" t="str">
        <f>NodesData[[#This Row],[Common Name]]</f>
        <v>Passive Impersonation Attack</v>
      </c>
      <c r="B314" s="23" t="str">
        <f>NodesData[[#This Row],[Node ID]]</f>
        <v>n4734DAE8_90B6_45CA_8550_5A34B658FAEC</v>
      </c>
      <c r="C314" s="10" t="s">
        <v>1009</v>
      </c>
      <c r="D314" s="26" t="str" cm="1">
        <f t="array" ref="D314">IF(ROW(NodesJSON[[#This Row],[label]])&gt;ROW(NodesJSON[[#Headers],[JSON]])+1,",","") &amp;"{"&amp;twoRangesToJSON(NodesJSON[[#Headers],[label]:[url]],NodesJSON[[#This Row],[label]:[url]])&amp;"}"</f>
        <v>,{"label":"Passive Impersonation Attack","id":"n4734DAE8_90B6_45CA_8550_5A34B658FAEC","url":"https://open-measure.atlassian.net/wiki/spaces/DIC/pages/1104904334"}</v>
      </c>
      <c r="E314" s="2"/>
    </row>
    <row r="315" spans="1:5" ht="13.9" thickTop="1" thickBot="1" x14ac:dyDescent="0.4">
      <c r="A315" s="3" t="str">
        <f>NodesData[[#This Row],[Common Name]]</f>
        <v>Passphrase Authentication</v>
      </c>
      <c r="B315" s="23" t="str">
        <f>NodesData[[#This Row],[Node ID]]</f>
        <v>n3CB32145_0EE1_4C68_8C6C_279904089B9A</v>
      </c>
      <c r="C315" s="10" t="s">
        <v>1011</v>
      </c>
      <c r="D315" s="26" t="str" cm="1">
        <f t="array" ref="D315">IF(ROW(NodesJSON[[#This Row],[label]])&gt;ROW(NodesJSON[[#Headers],[JSON]])+1,",","") &amp;"{"&amp;twoRangesToJSON(NodesJSON[[#Headers],[label]:[url]],NodesJSON[[#This Row],[label]:[url]])&amp;"}"</f>
        <v>,{"label":"Passphrase Authentication","id":"n3CB32145_0EE1_4C68_8C6C_279904089B9A","url":"https://open-measure.atlassian.net/wiki/spaces/DIC/pages/1132331103"}</v>
      </c>
      <c r="E315" s="2"/>
    </row>
    <row r="316" spans="1:5" ht="13.9" thickTop="1" thickBot="1" x14ac:dyDescent="0.4">
      <c r="A316" s="3" t="str">
        <f>NodesData[[#This Row],[Common Name]]</f>
        <v>Password Guessing Attack</v>
      </c>
      <c r="B316" s="23" t="str">
        <f>NodesData[[#This Row],[Node ID]]</f>
        <v>n8F169889_C3EB_49DF_A679_4F5F53173B73</v>
      </c>
      <c r="C316" s="10" t="s">
        <v>1013</v>
      </c>
      <c r="D316" s="26" t="str" cm="1">
        <f t="array" ref="D316">IF(ROW(NodesJSON[[#This Row],[label]])&gt;ROW(NodesJSON[[#Headers],[JSON]])+1,",","") &amp;"{"&amp;twoRangesToJSON(NodesJSON[[#Headers],[label]:[url]],NodesJSON[[#This Row],[label]:[url]])&amp;"}"</f>
        <v>,{"label":"Password Guessing Attack","id":"n8F169889_C3EB_49DF_A679_4F5F53173B73","url":"https://open-measure.atlassian.net/wiki/spaces/DIC/pages/1132331086"}</v>
      </c>
      <c r="E316" s="2"/>
    </row>
    <row r="317" spans="1:5" ht="13.9" thickTop="1" thickBot="1" x14ac:dyDescent="0.4">
      <c r="A317" s="3" t="str">
        <f>NodesData[[#This Row],[Common Name]]</f>
        <v>Password Rotation</v>
      </c>
      <c r="B317" s="23" t="str">
        <f>NodesData[[#This Row],[Node ID]]</f>
        <v>n6265AECA_324C_41E3_B3D3_84135CF3C7BD</v>
      </c>
      <c r="C317" s="10" t="s">
        <v>1015</v>
      </c>
      <c r="D317" s="26" t="str" cm="1">
        <f t="array" ref="D317">IF(ROW(NodesJSON[[#This Row],[label]])&gt;ROW(NodesJSON[[#Headers],[JSON]])+1,",","") &amp;"{"&amp;twoRangesToJSON(NodesJSON[[#Headers],[label]:[url]],NodesJSON[[#This Row],[label]:[url]])&amp;"}"</f>
        <v>,{"label":"Password Rotation","id":"n6265AECA_324C_41E3_B3D3_84135CF3C7BD","url":"https://open-measure.atlassian.net/wiki/spaces/DIC/pages/1122631903"}</v>
      </c>
      <c r="E317" s="2"/>
    </row>
    <row r="318" spans="1:5" ht="13.9" thickTop="1" thickBot="1" x14ac:dyDescent="0.4">
      <c r="A318" s="3" t="str">
        <f>NodesData[[#This Row],[Common Name]]</f>
        <v>Password Spraying Attack</v>
      </c>
      <c r="B318" s="23" t="str">
        <f>NodesData[[#This Row],[Node ID]]</f>
        <v>nD75B5C62_D379_4138_8BEA_4403C4F682CA</v>
      </c>
      <c r="C318" s="10" t="s">
        <v>1017</v>
      </c>
      <c r="D318" s="26" t="str" cm="1">
        <f t="array" ref="D318">IF(ROW(NodesJSON[[#This Row],[label]])&gt;ROW(NodesJSON[[#Headers],[JSON]])+1,",","") &amp;"{"&amp;twoRangesToJSON(NodesJSON[[#Headers],[label]:[url]],NodesJSON[[#This Row],[label]:[url]])&amp;"}"</f>
        <v>,{"label":"Password Spraying Attack","id":"nD75B5C62_D379_4138_8BEA_4403C4F682CA","url":"https://open-measure.atlassian.net/wiki/spaces/DIC/pages/1105068063"}</v>
      </c>
      <c r="E318" s="2"/>
    </row>
    <row r="319" spans="1:5" ht="13.9" thickTop="1" thickBot="1" x14ac:dyDescent="0.4">
      <c r="A319" s="3" t="str">
        <f>NodesData[[#This Row],[Common Name]]</f>
        <v>Password-Based Authentication</v>
      </c>
      <c r="B319" s="23" t="str">
        <f>NodesData[[#This Row],[Node ID]]</f>
        <v>nC40BED13_84D6_4487_B1D8_408847C59080</v>
      </c>
      <c r="C319" s="10" t="s">
        <v>1019</v>
      </c>
      <c r="D319" s="26" t="str" cm="1">
        <f t="array" ref="D319">IF(ROW(NodesJSON[[#This Row],[label]])&gt;ROW(NodesJSON[[#Headers],[JSON]])+1,",","") &amp;"{"&amp;twoRangesToJSON(NodesJSON[[#Headers],[label]:[url]],NodesJSON[[#This Row],[label]:[url]])&amp;"}"</f>
        <v>,{"label":"Password-Based Authentication","id":"nC40BED13_84D6_4487_B1D8_408847C59080","url":"https://open-measure.atlassian.net/wiki/spaces/DIC/pages/1130987523"}</v>
      </c>
      <c r="E319" s="2"/>
    </row>
    <row r="320" spans="1:5" ht="13.9" thickTop="1" thickBot="1" x14ac:dyDescent="0.4">
      <c r="A320" s="3" t="str">
        <f>NodesData[[#This Row],[Common Name]]</f>
        <v>Passwordless Authentication</v>
      </c>
      <c r="B320" s="23" t="str">
        <f>NodesData[[#This Row],[Node ID]]</f>
        <v>n78F6BABC_A65F_473D_BCDE_FEE7D54A424A</v>
      </c>
      <c r="D320" s="26" t="str" cm="1">
        <f t="array" ref="D320">IF(ROW(NodesJSON[[#This Row],[label]])&gt;ROW(NodesJSON[[#Headers],[JSON]])+1,",","") &amp;"{"&amp;twoRangesToJSON(NodesJSON[[#Headers],[label]:[url]],NodesJSON[[#This Row],[label]:[url]])&amp;"}"</f>
        <v>,{"label":"Passwordless Authentication","id":"n78F6BABC_A65F_473D_BCDE_FEE7D54A424A","url":""}</v>
      </c>
      <c r="E320" s="2"/>
    </row>
    <row r="321" spans="1:5" ht="13.9" thickTop="1" thickBot="1" x14ac:dyDescent="0.4">
      <c r="A321" s="3" t="str">
        <f>NodesData[[#This Row],[Common Name]]</f>
        <v>People</v>
      </c>
      <c r="B321" s="23" t="str">
        <f>NodesData[[#This Row],[Node ID]]</f>
        <v>n4CF1B3F5_CACC_4AD2_BDA1_4AF301F4C65D</v>
      </c>
      <c r="C321" s="10" t="s">
        <v>1021</v>
      </c>
      <c r="D321" s="26" t="str" cm="1">
        <f t="array" ref="D321">IF(ROW(NodesJSON[[#This Row],[label]])&gt;ROW(NodesJSON[[#Headers],[JSON]])+1,",","") &amp;"{"&amp;twoRangesToJSON(NodesJSON[[#Headers],[label]:[url]],NodesJSON[[#This Row],[label]:[url]])&amp;"}"</f>
        <v>,{"label":"People","id":"n4CF1B3F5_CACC_4AD2_BDA1_4AF301F4C65D","url":"https://open-measure.atlassian.net/wiki/spaces/DIC/pages/1094549649"}</v>
      </c>
      <c r="E321" s="2"/>
    </row>
    <row r="322" spans="1:5" ht="13.9" thickTop="1" thickBot="1" x14ac:dyDescent="0.4">
      <c r="A322" s="3" t="str">
        <f>NodesData[[#This Row],[Common Name]]</f>
        <v>Permission</v>
      </c>
      <c r="B322" s="23" t="str">
        <f>NodesData[[#This Row],[Node ID]]</f>
        <v>n01EF8E33_9CCC_40C8_9331_68F0F5358EC1</v>
      </c>
      <c r="C322" s="10" t="s">
        <v>1023</v>
      </c>
      <c r="D322" s="26" t="str" cm="1">
        <f t="array" ref="D322">IF(ROW(NodesJSON[[#This Row],[label]])&gt;ROW(NodesJSON[[#Headers],[JSON]])+1,",","") &amp;"{"&amp;twoRangesToJSON(NodesJSON[[#Headers],[label]:[url]],NodesJSON[[#This Row],[label]:[url]])&amp;"}"</f>
        <v>,{"label":"Permission","id":"n01EF8E33_9CCC_40C8_9331_68F0F5358EC1","url":"https://open-measure.atlassian.net/wiki/spaces/DIC/pages/67699046"}</v>
      </c>
      <c r="E322" s="2"/>
    </row>
    <row r="323" spans="1:5" ht="13.9" thickTop="1" thickBot="1" x14ac:dyDescent="0.4">
      <c r="A323" s="3" t="str">
        <f>NodesData[[#This Row],[Common Name]]</f>
        <v>Persona</v>
      </c>
      <c r="B323" s="23" t="str">
        <f>NodesData[[#This Row],[Node ID]]</f>
        <v>n36E8FD72_C9A2_4D50_986E_5DC62C773748</v>
      </c>
      <c r="C323" s="10" t="s">
        <v>1024</v>
      </c>
      <c r="D323" s="26" t="str" cm="1">
        <f t="array" ref="D323">IF(ROW(NodesJSON[[#This Row],[label]])&gt;ROW(NodesJSON[[#Headers],[JSON]])+1,",","") &amp;"{"&amp;twoRangesToJSON(NodesJSON[[#Headers],[label]:[url]],NodesJSON[[#This Row],[label]:[url]])&amp;"}"</f>
        <v>,{"label":"Persona","id":"n36E8FD72_C9A2_4D50_986E_5DC62C773748","url":"https://open-measure.atlassian.net/wiki/spaces/DIC/pages/1323434264/Private+Key+Loss"}</v>
      </c>
      <c r="E323" s="2"/>
    </row>
    <row r="324" spans="1:5" ht="13.9" thickTop="1" thickBot="1" x14ac:dyDescent="0.4">
      <c r="A324" s="3" t="str">
        <f>NodesData[[#This Row],[Common Name]]</f>
        <v>Personal Identification Number Authentication</v>
      </c>
      <c r="B324" s="23" t="str">
        <f>NodesData[[#This Row],[Node ID]]</f>
        <v>n7A6515A7_E313_45AC_A024_B7321A51BBF0</v>
      </c>
      <c r="C324" s="10" t="s">
        <v>1026</v>
      </c>
      <c r="D324" s="26" t="str" cm="1">
        <f t="array" ref="D324">IF(ROW(NodesJSON[[#This Row],[label]])&gt;ROW(NodesJSON[[#Headers],[JSON]])+1,",","") &amp;"{"&amp;twoRangesToJSON(NodesJSON[[#Headers],[label]:[url]],NodesJSON[[#This Row],[label]:[url]])&amp;"}"</f>
        <v>,{"label":"Personal Identification Number Authentication","id":"n7A6515A7_E313_45AC_A024_B7321A51BBF0","url":"https://open-measure.atlassian.net/wiki/spaces/DIC/pages/67568310"}</v>
      </c>
      <c r="E324" s="2"/>
    </row>
    <row r="325" spans="1:5" ht="13.9" thickTop="1" thickBot="1" x14ac:dyDescent="0.4">
      <c r="A325" s="3" t="str">
        <f>NodesData[[#This Row],[Common Name]]</f>
        <v>Physical Token OTP</v>
      </c>
      <c r="B325" s="23" t="str">
        <f>NodesData[[#This Row],[Node ID]]</f>
        <v>n464C132D_5900_4F55_8F96_F62557EA18BE</v>
      </c>
      <c r="C325" s="10" t="s">
        <v>1027</v>
      </c>
      <c r="D325" s="26" t="str" cm="1">
        <f t="array" ref="D325">IF(ROW(NodesJSON[[#This Row],[label]])&gt;ROW(NodesJSON[[#Headers],[JSON]])+1,",","") &amp;"{"&amp;twoRangesToJSON(NodesJSON[[#Headers],[label]:[url]],NodesJSON[[#This Row],[label]:[url]])&amp;"}"</f>
        <v>,{"label":"Physical Token OTP","id":"n464C132D_5900_4F55_8F96_F62557EA18BE","url":"https://open-measure.atlassian.net/wiki/spaces/DIC/pages/814449037/Privilege+Abuse"}</v>
      </c>
      <c r="E325" s="2"/>
    </row>
    <row r="326" spans="1:5" ht="13.9" thickTop="1" thickBot="1" x14ac:dyDescent="0.4">
      <c r="A326" s="3" t="str">
        <f>NodesData[[#This Row],[Common Name]]</f>
        <v>PMS</v>
      </c>
      <c r="B326" s="23" t="str">
        <f>NodesData[[#This Row],[Node ID]]</f>
        <v>nEBC962F0_3340_49DC_9E34_B2B7557F9372</v>
      </c>
      <c r="C326" s="10" t="s">
        <v>1029</v>
      </c>
      <c r="D326" s="26" t="str" cm="1">
        <f t="array" ref="D326">IF(ROW(NodesJSON[[#This Row],[label]])&gt;ROW(NodesJSON[[#Headers],[JSON]])+1,",","") &amp;"{"&amp;twoRangesToJSON(NodesJSON[[#Headers],[label]:[url]],NodesJSON[[#This Row],[label]:[url]])&amp;"}"</f>
        <v>,{"label":"PMS","id":"nEBC962F0_3340_49DC_9E34_B2B7557F9372","url":"https://open-measure.atlassian.net/wiki/spaces/DIC/pages/473890861"}</v>
      </c>
      <c r="E326" s="2"/>
    </row>
    <row r="327" spans="1:5" ht="13.9" thickTop="1" thickBot="1" x14ac:dyDescent="0.4">
      <c r="A327" s="3" t="str">
        <f>NodesData[[#This Row],[Common Name]]</f>
        <v>Policy</v>
      </c>
      <c r="B327" s="23" t="str">
        <f>NodesData[[#This Row],[Node ID]]</f>
        <v>nAA77CC85_5C4B_467C_8062_029385C2AF09</v>
      </c>
      <c r="C327" s="10" t="s">
        <v>1031</v>
      </c>
      <c r="D327" s="26" t="str" cm="1">
        <f t="array" ref="D327">IF(ROW(NodesJSON[[#This Row],[label]])&gt;ROW(NodesJSON[[#Headers],[JSON]])+1,",","") &amp;"{"&amp;twoRangesToJSON(NodesJSON[[#Headers],[label]:[url]],NodesJSON[[#This Row],[label]:[url]])&amp;"}"</f>
        <v>,{"label":"Policy","id":"nAA77CC85_5C4B_467C_8062_029385C2AF09","url":"https://open-measure.atlassian.net/wiki/spaces/DIC/pages/810320380"}</v>
      </c>
      <c r="E327" s="2"/>
    </row>
    <row r="328" spans="1:5" ht="13.9" thickTop="1" thickBot="1" x14ac:dyDescent="0.4">
      <c r="A328" s="3" t="str">
        <f>NodesData[[#This Row],[Common Name]]</f>
        <v>Policy Analysis</v>
      </c>
      <c r="B328" s="23" t="str">
        <f>NodesData[[#This Row],[Node ID]]</f>
        <v>n5873E20E_7DC8_43B0_B048_106A80E87640</v>
      </c>
      <c r="C328" s="10" t="s">
        <v>1033</v>
      </c>
      <c r="D328" s="26" t="str" cm="1">
        <f t="array" ref="D328">IF(ROW(NodesJSON[[#This Row],[label]])&gt;ROW(NodesJSON[[#Headers],[JSON]])+1,",","") &amp;"{"&amp;twoRangesToJSON(NodesJSON[[#Headers],[label]:[url]],NodesJSON[[#This Row],[label]:[url]])&amp;"}"</f>
        <v>,{"label":"Policy Analysis","id":"n5873E20E_7DC8_43B0_B048_106A80E87640","url":"https://open-measure.atlassian.net/wiki/spaces/DIC/pages/138346661"}</v>
      </c>
      <c r="E328" s="2"/>
    </row>
    <row r="329" spans="1:5" ht="13.9" thickTop="1" thickBot="1" x14ac:dyDescent="0.4">
      <c r="A329" s="3" t="str">
        <f>NodesData[[#This Row],[Common Name]]</f>
        <v>Policy Centralization</v>
      </c>
      <c r="B329" s="23" t="str">
        <f>NodesData[[#This Row],[Node ID]]</f>
        <v>n10B244A8_21C9_4D9D_9E27_FE5ABBED56A5</v>
      </c>
      <c r="C329" s="10" t="s">
        <v>1034</v>
      </c>
      <c r="D329" s="26" t="str" cm="1">
        <f t="array" ref="D329">IF(ROW(NodesJSON[[#This Row],[label]])&gt;ROW(NodesJSON[[#Headers],[JSON]])+1,",","") &amp;"{"&amp;twoRangesToJSON(NodesJSON[[#Headers],[label]:[url]],NodesJSON[[#This Row],[label]:[url]])&amp;"}"</f>
        <v>,{"label":"Policy Centralization","id":"n10B244A8_21C9_4D9D_9E27_FE5ABBED56A5","url":"https://open-measure.atlassian.net/wiki/spaces/DIC/pages/1477902403/Privileged+Insider"}</v>
      </c>
      <c r="E329" s="2"/>
    </row>
    <row r="330" spans="1:5" ht="13.9" thickTop="1" thickBot="1" x14ac:dyDescent="0.4">
      <c r="A330" s="3" t="str">
        <f>NodesData[[#This Row],[Common Name]]</f>
        <v>Policy Interoperability</v>
      </c>
      <c r="B330" s="23" t="str">
        <f>NodesData[[#This Row],[Node ID]]</f>
        <v>n76740F74_7039_4200_B48A_59A8A4A3D1A0</v>
      </c>
      <c r="C330" s="10" t="s">
        <v>1036</v>
      </c>
      <c r="D330" s="26" t="str" cm="1">
        <f t="array" ref="D330">IF(ROW(NodesJSON[[#This Row],[label]])&gt;ROW(NodesJSON[[#Headers],[JSON]])+1,",","") &amp;"{"&amp;twoRangesToJSON(NodesJSON[[#Headers],[label]:[url]],NodesJSON[[#This Row],[label]:[url]])&amp;"}"</f>
        <v>,{"label":"Policy Interoperability","id":"n76740F74_7039_4200_B48A_59A8A4A3D1A0","url":"https://open-measure.atlassian.net/wiki/spaces/DIC/pages/61964289"}</v>
      </c>
      <c r="E330" s="2"/>
    </row>
    <row r="331" spans="1:5" ht="13.9" thickTop="1" thickBot="1" x14ac:dyDescent="0.4">
      <c r="A331" s="3" t="str">
        <f>NodesData[[#This Row],[Common Name]]</f>
        <v>Policy Manageability</v>
      </c>
      <c r="B331" s="23" t="str">
        <f>NodesData[[#This Row],[Node ID]]</f>
        <v>nD3DD18B2_66DE_48D3_962B_511205F74E07</v>
      </c>
      <c r="C331" s="8"/>
      <c r="D331" s="26" t="str" cm="1">
        <f t="array" ref="D331">IF(ROW(NodesJSON[[#This Row],[label]])&gt;ROW(NodesJSON[[#Headers],[JSON]])+1,",","") &amp;"{"&amp;twoRangesToJSON(NodesJSON[[#Headers],[label]:[url]],NodesJSON[[#This Row],[label]:[url]])&amp;"}"</f>
        <v>,{"label":"Policy Manageability","id":"nD3DD18B2_66DE_48D3_962B_511205F74E07","url":""}</v>
      </c>
      <c r="E331" s="2"/>
    </row>
    <row r="332" spans="1:5" ht="13.9" thickTop="1" thickBot="1" x14ac:dyDescent="0.4">
      <c r="A332" s="3" t="str">
        <f>NodesData[[#This Row],[Common Name]]</f>
        <v>Policy Mining</v>
      </c>
      <c r="B332" s="23" t="str">
        <f>NodesData[[#This Row],[Node ID]]</f>
        <v>nB5D0C15D_30A8_4D8C_9DF1_B0D78AC0EB44</v>
      </c>
      <c r="C332" s="10" t="s">
        <v>1038</v>
      </c>
      <c r="D332" s="26" t="str" cm="1">
        <f t="array" ref="D332">IF(ROW(NodesJSON[[#This Row],[label]])&gt;ROW(NodesJSON[[#Headers],[JSON]])+1,",","") &amp;"{"&amp;twoRangesToJSON(NodesJSON[[#Headers],[label]:[url]],NodesJSON[[#This Row],[label]:[url]])&amp;"}"</f>
        <v>,{"label":"Policy Mining","id":"nB5D0C15D_30A8_4D8C_9DF1_B0D78AC0EB44","url":"https://open-measure.atlassian.net/wiki/spaces/DIC/pages/1323598109/Qualitative+Identity"}</v>
      </c>
      <c r="E332" s="2"/>
    </row>
    <row r="333" spans="1:5" ht="13.9" thickTop="1" thickBot="1" x14ac:dyDescent="0.4">
      <c r="A333" s="3" t="str">
        <f>NodesData[[#This Row],[Common Name]]</f>
        <v>Policy Modeling</v>
      </c>
      <c r="B333" s="23" t="str">
        <f>NodesData[[#This Row],[Node ID]]</f>
        <v>n455C0775_9E71_475A_9F9D_FE0281B80BC0</v>
      </c>
      <c r="C333" s="10" t="s">
        <v>1040</v>
      </c>
      <c r="D333" s="26" t="str" cm="1">
        <f t="array" ref="D333">IF(ROW(NodesJSON[[#This Row],[label]])&gt;ROW(NodesJSON[[#Headers],[JSON]])+1,",","") &amp;"{"&amp;twoRangesToJSON(NodesJSON[[#Headers],[label]:[url]],NodesJSON[[#This Row],[label]:[url]])&amp;"}"</f>
        <v>,{"label":"Policy Modeling","id":"n455C0775_9E71_475A_9F9D_FE0281B80BC0","url":"https://open-measure.atlassian.net/wiki/spaces/DIC/pages/82903928"}</v>
      </c>
      <c r="E333" s="2"/>
    </row>
    <row r="334" spans="1:5" ht="13.9" thickTop="1" thickBot="1" x14ac:dyDescent="0.4">
      <c r="A334" s="3" t="str">
        <f>NodesData[[#This Row],[Common Name]]</f>
        <v>Possession Factor</v>
      </c>
      <c r="B334" s="23" t="str">
        <f>NodesData[[#This Row],[Node ID]]</f>
        <v>n8B4BB7FC_2E2A_4C1A_8657_58EEC2DF8A9A</v>
      </c>
      <c r="C334" s="10" t="s">
        <v>1042</v>
      </c>
      <c r="D334" s="26" t="str" cm="1">
        <f t="array" ref="D334">IF(ROW(NodesJSON[[#This Row],[label]])&gt;ROW(NodesJSON[[#Headers],[JSON]])+1,",","") &amp;"{"&amp;twoRangesToJSON(NodesJSON[[#Headers],[label]:[url]],NodesJSON[[#This Row],[label]:[url]])&amp;"}"</f>
        <v>,{"label":"Possession Factor","id":"n8B4BB7FC_2E2A_4C1A_8657_58EEC2DF8A9A","url":"https://open-measure.atlassian.net/wiki/spaces/DIC/pages/11567198"}</v>
      </c>
      <c r="E334" s="2"/>
    </row>
    <row r="335" spans="1:5" ht="13.9" thickTop="1" thickBot="1" x14ac:dyDescent="0.4">
      <c r="A335" s="3" t="str">
        <f>NodesData[[#This Row],[Common Name]]</f>
        <v>Pre-approval</v>
      </c>
      <c r="B335" s="23" t="str">
        <f>NodesData[[#This Row],[Node ID]]</f>
        <v>n709A4E65_BD24_4FB3_AF6D_E95E57F0157C</v>
      </c>
      <c r="C335" s="10" t="s">
        <v>1044</v>
      </c>
      <c r="D335" s="26" t="str" cm="1">
        <f t="array" ref="D335">IF(ROW(NodesJSON[[#This Row],[label]])&gt;ROW(NodesJSON[[#Headers],[JSON]])+1,",","") &amp;"{"&amp;twoRangesToJSON(NodesJSON[[#Headers],[label]:[url]],NodesJSON[[#This Row],[label]:[url]])&amp;"}"</f>
        <v>,{"label":"Pre-approval","id":"n709A4E65_BD24_4FB3_AF6D_E95E57F0157C","url":"https://open-measure.atlassian.net/wiki/spaces/DIC/pages/408944908"}</v>
      </c>
      <c r="E335" s="2"/>
    </row>
    <row r="336" spans="1:5" ht="13.9" thickTop="1" thickBot="1" x14ac:dyDescent="0.4">
      <c r="A336" s="3" t="str">
        <f>NodesData[[#This Row],[Common Name]]</f>
        <v>Principal</v>
      </c>
      <c r="B336" s="23" t="str">
        <f>NodesData[[#This Row],[Node ID]]</f>
        <v>nE2F3A772_EEDF_4F78_9194_533B50B4644F</v>
      </c>
      <c r="C336" s="10" t="s">
        <v>1037</v>
      </c>
      <c r="D336" s="26" t="str" cm="1">
        <f t="array" ref="D336">IF(ROW(NodesJSON[[#This Row],[label]])&gt;ROW(NodesJSON[[#Headers],[JSON]])+1,",","") &amp;"{"&amp;twoRangesToJSON(NodesJSON[[#Headers],[label]:[url]],NodesJSON[[#This Row],[label]:[url]])&amp;"}"</f>
        <v>,{"label":"Principal","id":"nE2F3A772_EEDF_4F78_9194_533B50B4644F","url":"https://open-measure.atlassian.net/wiki/spaces/DIC/pages/1677164768/QR+Code+Authentication"}</v>
      </c>
      <c r="E336" s="2"/>
    </row>
    <row r="337" spans="1:5" ht="13.9" thickTop="1" thickBot="1" x14ac:dyDescent="0.4">
      <c r="A337" s="3" t="str">
        <f>NodesData[[#This Row],[Common Name]]</f>
        <v>Private Key Loss</v>
      </c>
      <c r="B337" s="23" t="str">
        <f>NodesData[[#This Row],[Node ID]]</f>
        <v>n3805BE20_DE10_4929_A9F5_5042661EDA36</v>
      </c>
      <c r="C337" s="10" t="s">
        <v>1048</v>
      </c>
      <c r="D337" s="26" t="str" cm="1">
        <f t="array" ref="D337">IF(ROW(NodesJSON[[#This Row],[label]])&gt;ROW(NodesJSON[[#Headers],[JSON]])+1,",","") &amp;"{"&amp;twoRangesToJSON(NodesJSON[[#Headers],[label]:[url]],NodesJSON[[#This Row],[label]:[url]])&amp;"}"</f>
        <v>,{"label":"Private Key Loss","id":"n3805BE20_DE10_4929_A9F5_5042661EDA36","url":"https://open-measure.atlassian.net/wiki/spaces/DIC/pages/107840129"}</v>
      </c>
      <c r="E337" s="2"/>
    </row>
    <row r="338" spans="1:5" ht="13.9" thickTop="1" thickBot="1" x14ac:dyDescent="0.4">
      <c r="A338" s="3" t="str">
        <f>NodesData[[#This Row],[Common Name]]</f>
        <v>Privilege</v>
      </c>
      <c r="B338" s="23" t="str">
        <f>NodesData[[#This Row],[Node ID]]</f>
        <v>n3A9A58DA_FA73_4A42_AD4D_20181F1594F1</v>
      </c>
      <c r="C338" s="10" t="s">
        <v>1050</v>
      </c>
      <c r="D338" s="26" t="str" cm="1">
        <f t="array" ref="D338">IF(ROW(NodesJSON[[#This Row],[label]])&gt;ROW(NodesJSON[[#Headers],[JSON]])+1,",","") &amp;"{"&amp;twoRangesToJSON(NodesJSON[[#Headers],[label]:[url]],NodesJSON[[#This Row],[label]:[url]])&amp;"}"</f>
        <v>,{"label":"Privilege","id":"n3A9A58DA_FA73_4A42_AD4D_20181F1594F1","url":"https://open-measure.atlassian.net/wiki/spaces/DIC/pages/123962234"}</v>
      </c>
      <c r="E338" s="2"/>
    </row>
    <row r="339" spans="1:5" ht="13.9" thickTop="1" thickBot="1" x14ac:dyDescent="0.4">
      <c r="A339" s="3" t="str">
        <f>NodesData[[#This Row],[Common Name]]</f>
        <v>Privilege Abuse</v>
      </c>
      <c r="B339" s="23" t="str">
        <f>NodesData[[#This Row],[Node ID]]</f>
        <v>nC8E821DA_5F6B_4960_9FEF_DC5199DC42F0</v>
      </c>
      <c r="C339" s="10" t="s">
        <v>1046</v>
      </c>
      <c r="D339" s="26" t="str" cm="1">
        <f t="array" ref="D339">IF(ROW(NodesJSON[[#This Row],[label]])&gt;ROW(NodesJSON[[#Headers],[JSON]])+1,",","") &amp;"{"&amp;twoRangesToJSON(NodesJSON[[#Headers],[label]:[url]],NodesJSON[[#This Row],[label]:[url]])&amp;"}"</f>
        <v>,{"label":"Privilege Abuse","id":"nC8E821DA_5F6B_4960_9FEF_DC5199DC42F0","url":"https://open-measure.atlassian.net/wiki/spaces/DIC/pages/873201665"}</v>
      </c>
      <c r="E339" s="2"/>
    </row>
    <row r="340" spans="1:5" ht="13.9" thickTop="1" thickBot="1" x14ac:dyDescent="0.4">
      <c r="A340" s="3" t="str">
        <f>NodesData[[#This Row],[Common Name]]</f>
        <v>Privilege Chaining</v>
      </c>
      <c r="B340" s="23" t="str">
        <f>NodesData[[#This Row],[Node ID]]</f>
        <v>n6AAB869E_8FFB_43B2_BCDE_C4BB8F0E0948</v>
      </c>
      <c r="C340" s="10" t="s">
        <v>1054</v>
      </c>
      <c r="D340" s="26" t="str" cm="1">
        <f t="array" ref="D340">IF(ROW(NodesJSON[[#This Row],[label]])&gt;ROW(NodesJSON[[#Headers],[JSON]])+1,",","") &amp;"{"&amp;twoRangesToJSON(NodesJSON[[#Headers],[label]:[url]],NodesJSON[[#This Row],[label]:[url]])&amp;"}"</f>
        <v>,{"label":"Privilege Chaining","id":"n6AAB869E_8FFB_43B2_BCDE_C4BB8F0E0948","url":"https://open-measure.atlassian.net/wiki/spaces/DIC/pages/858521682"}</v>
      </c>
      <c r="E340" s="2"/>
    </row>
    <row r="341" spans="1:5" ht="13.9" thickTop="1" thickBot="1" x14ac:dyDescent="0.4">
      <c r="A341" s="3" t="str">
        <f>NodesData[[#This Row],[Common Name]]</f>
        <v>Privilege Escalation</v>
      </c>
      <c r="B341" s="23" t="str">
        <f>NodesData[[#This Row],[Node ID]]</f>
        <v>n640E2EBF_F163_41EF_A5E7_E328911BBC8E</v>
      </c>
      <c r="C341" s="10" t="s">
        <v>1056</v>
      </c>
      <c r="D341" s="26" t="str" cm="1">
        <f t="array" ref="D341">IF(ROW(NodesJSON[[#This Row],[label]])&gt;ROW(NodesJSON[[#Headers],[JSON]])+1,",","") &amp;"{"&amp;twoRangesToJSON(NodesJSON[[#Headers],[label]:[url]],NodesJSON[[#This Row],[label]:[url]])&amp;"}"</f>
        <v>,{"label":"Privilege Escalation","id":"n640E2EBF_F163_41EF_A5E7_E328911BBC8E","url":"https://open-measure.atlassian.net/wiki/spaces/DIC/pages/67699423"}</v>
      </c>
      <c r="E341" s="2"/>
    </row>
    <row r="342" spans="1:5" ht="13.9" thickTop="1" thickBot="1" x14ac:dyDescent="0.4">
      <c r="A342" s="3" t="str">
        <f>NodesData[[#This Row],[Common Name]]</f>
        <v>Privileged Identity</v>
      </c>
      <c r="B342" s="23" t="str">
        <f>NodesData[[#This Row],[Node ID]]</f>
        <v>n38442FF1_AFF1_4481_B414_D70DEE27F0EC</v>
      </c>
      <c r="C342" s="10" t="s">
        <v>1058</v>
      </c>
      <c r="D342" s="26" t="str" cm="1">
        <f t="array" ref="D342">IF(ROW(NodesJSON[[#This Row],[label]])&gt;ROW(NodesJSON[[#Headers],[JSON]])+1,",","") &amp;"{"&amp;twoRangesToJSON(NodesJSON[[#Headers],[label]:[url]],NodesJSON[[#This Row],[label]:[url]])&amp;"}"</f>
        <v>,{"label":"Privileged Identity","id":"n38442FF1_AFF1_4481_B414_D70DEE27F0EC","url":"https://open-measure.atlassian.net/wiki/spaces/DIC/pages/427130881"}</v>
      </c>
      <c r="E342" s="2"/>
    </row>
    <row r="343" spans="1:5" ht="13.9" thickTop="1" thickBot="1" x14ac:dyDescent="0.4">
      <c r="A343" s="3" t="str">
        <f>NodesData[[#This Row],[Common Name]]</f>
        <v>Privileged Insider</v>
      </c>
      <c r="B343" s="23" t="str">
        <f>NodesData[[#This Row],[Node ID]]</f>
        <v>nB8B1D9E3_CCB1_4B48_8962_EA0A592DA1E6</v>
      </c>
      <c r="C343" s="10" t="s">
        <v>1060</v>
      </c>
      <c r="D343" s="26" t="str" cm="1">
        <f t="array" ref="D343">IF(ROW(NodesJSON[[#This Row],[label]])&gt;ROW(NodesJSON[[#Headers],[JSON]])+1,",","") &amp;"{"&amp;twoRangesToJSON(NodesJSON[[#Headers],[label]:[url]],NodesJSON[[#This Row],[label]:[url]])&amp;"}"</f>
        <v>,{"label":"Privileged Insider","id":"nB8B1D9E3_CCB1_4B48_8962_EA0A592DA1E6","url":"https://open-measure.atlassian.net/wiki/spaces/DIC/pages/2589003"}</v>
      </c>
      <c r="E343" s="2"/>
    </row>
    <row r="344" spans="1:5" ht="13.9" thickTop="1" thickBot="1" x14ac:dyDescent="0.4">
      <c r="A344" s="3" t="str">
        <f>NodesData[[#This Row],[Common Name]]</f>
        <v>Provisioning</v>
      </c>
      <c r="B344" s="23" t="str">
        <f>NodesData[[#This Row],[Node ID]]</f>
        <v>nD0A7D3C9_1A0B_49DC_A3E2_41483CB017E4</v>
      </c>
      <c r="C344" s="10" t="s">
        <v>1062</v>
      </c>
      <c r="D344" s="26" t="str" cm="1">
        <f t="array" ref="D344">IF(ROW(NodesJSON[[#This Row],[label]])&gt;ROW(NodesJSON[[#Headers],[JSON]])+1,",","") &amp;"{"&amp;twoRangesToJSON(NodesJSON[[#Headers],[label]:[url]],NodesJSON[[#This Row],[label]:[url]])&amp;"}"</f>
        <v>,{"label":"Provisioning","id":"nD0A7D3C9_1A0B_49DC_A3E2_41483CB017E4","url":"https://open-measure.atlassian.net/wiki/spaces/DIC/pages/11141464"}</v>
      </c>
      <c r="E344" s="2"/>
    </row>
    <row r="345" spans="1:5" ht="13.9" thickTop="1" thickBot="1" x14ac:dyDescent="0.4">
      <c r="A345" s="3" t="str">
        <f>NodesData[[#This Row],[Common Name]]</f>
        <v>QR Code Authentication</v>
      </c>
      <c r="B345" s="23" t="str">
        <f>NodesData[[#This Row],[Node ID]]</f>
        <v>n797F89B7_EBFE_4624_B7EE_5952C851879E</v>
      </c>
      <c r="C345" s="10" t="s">
        <v>1064</v>
      </c>
      <c r="D345" s="26" t="str" cm="1">
        <f t="array" ref="D345">IF(ROW(NodesJSON[[#This Row],[label]])&gt;ROW(NodesJSON[[#Headers],[JSON]])+1,",","") &amp;"{"&amp;twoRangesToJSON(NodesJSON[[#Headers],[label]:[url]],NodesJSON[[#This Row],[label]:[url]])&amp;"}"</f>
        <v>,{"label":"QR Code Authentication","id":"n797F89B7_EBFE_4624_B7EE_5952C851879E","url":"https://open-measure.atlassian.net/wiki/spaces/DIC/pages/2588994"}</v>
      </c>
      <c r="E345" s="2"/>
    </row>
    <row r="346" spans="1:5" ht="13.9" thickTop="1" thickBot="1" x14ac:dyDescent="0.4">
      <c r="A346" s="3" t="str">
        <f>NodesData[[#This Row],[Common Name]]</f>
        <v>Qualitative Identity</v>
      </c>
      <c r="B346" s="23" t="str">
        <f>NodesData[[#This Row],[Node ID]]</f>
        <v>n2D4F2CD5_91A2_4116_8CF5_9FA6ED9E736D</v>
      </c>
      <c r="C346" s="10" t="s">
        <v>1066</v>
      </c>
      <c r="D346" s="26" t="str" cm="1">
        <f t="array" ref="D346">IF(ROW(NodesJSON[[#This Row],[label]])&gt;ROW(NodesJSON[[#Headers],[JSON]])+1,",","") &amp;"{"&amp;twoRangesToJSON(NodesJSON[[#Headers],[label]:[url]],NodesJSON[[#This Row],[label]:[url]])&amp;"}"</f>
        <v>,{"label":"Qualitative Identity","id":"n2D4F2CD5_91A2_4116_8CF5_9FA6ED9E736D","url":"https://open-measure.atlassian.net/wiki/spaces/DIC/pages/67698769"}</v>
      </c>
      <c r="E346" s="2"/>
    </row>
    <row r="347" spans="1:5" ht="13.9" thickTop="1" thickBot="1" x14ac:dyDescent="0.4">
      <c r="A347" s="3" t="str">
        <f>NodesData[[#This Row],[Common Name]]</f>
        <v>RA</v>
      </c>
      <c r="B347" s="23" t="str">
        <f>NodesData[[#This Row],[Node ID]]</f>
        <v>n9F7D871B_3DEB_4A88_B41B_59E3F5381286</v>
      </c>
      <c r="C347" s="10" t="s">
        <v>1068</v>
      </c>
      <c r="D347" s="26" t="str" cm="1">
        <f t="array" ref="D347">IF(ROW(NodesJSON[[#This Row],[label]])&gt;ROW(NodesJSON[[#Headers],[JSON]])+1,",","") &amp;"{"&amp;twoRangesToJSON(NodesJSON[[#Headers],[label]:[url]],NodesJSON[[#This Row],[label]:[url]])&amp;"}"</f>
        <v>,{"label":"RA","id":"n9F7D871B_3DEB_4A88_B41B_59E3F5381286","url":"https://open-measure.atlassian.net/wiki/spaces/DIC/pages/425623561"}</v>
      </c>
      <c r="E347" s="2"/>
    </row>
    <row r="348" spans="1:5" ht="13.9" thickTop="1" thickBot="1" x14ac:dyDescent="0.4">
      <c r="A348" s="3" t="str">
        <f>NodesData[[#This Row],[Common Name]]</f>
        <v>Ratio Scale</v>
      </c>
      <c r="B348" s="23" t="str">
        <f>NodesData[[#This Row],[Node ID]]</f>
        <v>n9EABB6A3_3B7A_42A6_A127_9CD98E43B6C0</v>
      </c>
      <c r="C348" s="10" t="s">
        <v>1052</v>
      </c>
      <c r="D348" s="26" t="str" cm="1">
        <f t="array" ref="D348">IF(ROW(NodesJSON[[#This Row],[label]])&gt;ROW(NodesJSON[[#Headers],[JSON]])+1,",","") &amp;"{"&amp;twoRangesToJSON(NodesJSON[[#Headers],[label]:[url]],NodesJSON[[#This Row],[label]:[url]])&amp;"}"</f>
        <v>,{"label":"Ratio Scale","id":"n9EABB6A3_3B7A_42A6_A127_9CD98E43B6C0","url":"https://open-measure.atlassian.net/wiki/spaces/DIC/pages/82870985"}</v>
      </c>
      <c r="E348" s="2"/>
    </row>
    <row r="349" spans="1:5" ht="13.9" thickTop="1" thickBot="1" x14ac:dyDescent="0.4">
      <c r="A349" s="3" t="str">
        <f>NodesData[[#This Row],[Common Name]]</f>
        <v>RBA</v>
      </c>
      <c r="B349" s="23" t="str">
        <f>NodesData[[#This Row],[Node ID]]</f>
        <v>nA3D07637_D18C_4A84_B9BE_EC33462CCE27</v>
      </c>
      <c r="C349" s="10" t="s">
        <v>1072</v>
      </c>
      <c r="D349" s="26" t="str" cm="1">
        <f t="array" ref="D349">IF(ROW(NodesJSON[[#This Row],[label]])&gt;ROW(NodesJSON[[#Headers],[JSON]])+1,",","") &amp;"{"&amp;twoRangesToJSON(NodesJSON[[#Headers],[label]:[url]],NodesJSON[[#This Row],[label]:[url]])&amp;"}"</f>
        <v>,{"label":"RBA","id":"nA3D07637_D18C_4A84_B9BE_EC33462CCE27","url":"https://open-measure.atlassian.net/wiki/spaces/DIC/pages/86442069"}</v>
      </c>
      <c r="E349" s="2"/>
    </row>
    <row r="350" spans="1:5" ht="13.9" thickTop="1" thickBot="1" x14ac:dyDescent="0.4">
      <c r="A350" s="3" t="str">
        <f>NodesData[[#This Row],[Common Name]]</f>
        <v>Re-authentication</v>
      </c>
      <c r="B350" s="23" t="str">
        <f>NodesData[[#This Row],[Node ID]]</f>
        <v>n7F9AFAF9_8A03_4A7B_B9E6_BFE1D2A9302D</v>
      </c>
      <c r="C350" s="10" t="s">
        <v>1086</v>
      </c>
      <c r="D350" s="26" t="str" cm="1">
        <f t="array" ref="D350">IF(ROW(NodesJSON[[#This Row],[label]])&gt;ROW(NodesJSON[[#Headers],[JSON]])+1,",","") &amp;"{"&amp;twoRangesToJSON(NodesJSON[[#Headers],[label]:[url]],NodesJSON[[#This Row],[label]:[url]])&amp;"}"</f>
        <v>,{"label":"Re-authentication","id":"n7F9AFAF9_8A03_4A7B_B9E6_BFE1D2A9302D","url":"https://open-measure.atlassian.net/wiki/spaces/DIC/pages/1122566198"}</v>
      </c>
      <c r="E350" s="2"/>
    </row>
    <row r="351" spans="1:5" ht="13.9" thickTop="1" thickBot="1" x14ac:dyDescent="0.4">
      <c r="A351" s="3" t="str">
        <f>NodesData[[#This Row],[Common Name]]</f>
        <v>Recertification</v>
      </c>
      <c r="B351" s="23" t="str">
        <f>NodesData[[#This Row],[Node ID]]</f>
        <v>nD44F34C0_2002_47C7_8592_BF38B5BF83F8</v>
      </c>
      <c r="C351" s="10" t="s">
        <v>1074</v>
      </c>
      <c r="D351" s="26" t="str" cm="1">
        <f t="array" ref="D351">IF(ROW(NodesJSON[[#This Row],[label]])&gt;ROW(NodesJSON[[#Headers],[JSON]])+1,",","") &amp;"{"&amp;twoRangesToJSON(NodesJSON[[#Headers],[label]:[url]],NodesJSON[[#This Row],[label]:[url]])&amp;"}"</f>
        <v>,{"label":"Recertification","id":"nD44F34C0_2002_47C7_8592_BF38B5BF83F8","url":"https://open-measure.atlassian.net/wiki/spaces/DIC/pages/814514401"}</v>
      </c>
      <c r="E351" s="2"/>
    </row>
    <row r="352" spans="1:5" ht="13.9" thickTop="1" thickBot="1" x14ac:dyDescent="0.4">
      <c r="A352" s="3" t="str">
        <f>NodesData[[#This Row],[Common Name]]</f>
        <v>Reference Monitor</v>
      </c>
      <c r="B352" s="23" t="str">
        <f>NodesData[[#This Row],[Node ID]]</f>
        <v>n000D1617_D659_4780_A829_736ADFBC46B9</v>
      </c>
      <c r="C352" s="10" t="s">
        <v>1076</v>
      </c>
      <c r="D352" s="26" t="str" cm="1">
        <f t="array" ref="D352">IF(ROW(NodesJSON[[#This Row],[label]])&gt;ROW(NodesJSON[[#Headers],[JSON]])+1,",","") &amp;"{"&amp;twoRangesToJSON(NodesJSON[[#Headers],[label]:[url]],NodesJSON[[#This Row],[label]:[url]])&amp;"}"</f>
        <v>,{"label":"Reference Monitor","id":"n000D1617_D659_4780_A829_736ADFBC46B9","url":"https://open-measure.atlassian.net/wiki/spaces/DIC/pages/1164902443"}</v>
      </c>
      <c r="E352" s="2"/>
    </row>
    <row r="353" spans="1:5" ht="13.9" thickTop="1" thickBot="1" x14ac:dyDescent="0.4">
      <c r="A353" s="3" t="str">
        <f>NodesData[[#This Row],[Common Name]]</f>
        <v>Registration Authority</v>
      </c>
      <c r="B353" s="23" t="str">
        <f>NodesData[[#This Row],[Node ID]]</f>
        <v>nA28366D4_CC5A_467A_B4DC_EB619866BB17</v>
      </c>
      <c r="C353" s="10" t="s">
        <v>1078</v>
      </c>
      <c r="D353" s="26" t="str" cm="1">
        <f t="array" ref="D353">IF(ROW(NodesJSON[[#This Row],[label]])&gt;ROW(NodesJSON[[#Headers],[JSON]])+1,",","") &amp;"{"&amp;twoRangesToJSON(NodesJSON[[#Headers],[label]:[url]],NodesJSON[[#This Row],[label]:[url]])&amp;"}"</f>
        <v>,{"label":"Registration Authority","id":"nA28366D4_CC5A_467A_B4DC_EB619866BB17","url":"https://open-measure.atlassian.net/wiki/spaces/DIC/pages/1164869655"}</v>
      </c>
      <c r="E353" s="2"/>
    </row>
    <row r="354" spans="1:5" ht="13.9" thickTop="1" thickBot="1" x14ac:dyDescent="0.4">
      <c r="A354" s="3" t="str">
        <f>NodesData[[#This Row],[Common Name]]</f>
        <v>Rejoiner</v>
      </c>
      <c r="B354" s="23" t="str">
        <f>NodesData[[#This Row],[Node ID]]</f>
        <v>nFFC60251_1B95_42A0_9516_E5AC18B9BF28</v>
      </c>
      <c r="C354" s="10" t="s">
        <v>1080</v>
      </c>
      <c r="D354" s="26" t="str" cm="1">
        <f t="array" ref="D354">IF(ROW(NodesJSON[[#This Row],[label]])&gt;ROW(NodesJSON[[#Headers],[JSON]])+1,",","") &amp;"{"&amp;twoRangesToJSON(NodesJSON[[#Headers],[label]:[url]],NodesJSON[[#This Row],[label]:[url]])&amp;"}"</f>
        <v>,{"label":"Rejoiner","id":"nFFC60251_1B95_42A0_9516_E5AC18B9BF28","url":"https://open-measure.atlassian.net/wiki/spaces/DIC/pages/1164902498"}</v>
      </c>
      <c r="E354" s="2"/>
    </row>
    <row r="355" spans="1:5" ht="13.9" thickTop="1" thickBot="1" x14ac:dyDescent="0.4">
      <c r="A355" s="3" t="str">
        <f>NodesData[[#This Row],[Common Name]]</f>
        <v>Relying Party</v>
      </c>
      <c r="B355" s="23" t="str">
        <f>NodesData[[#This Row],[Node ID]]</f>
        <v>n85520257_66D0_4CD1_A52A_85A6885DB4CE</v>
      </c>
      <c r="C355" s="10" t="s">
        <v>1082</v>
      </c>
      <c r="D355" s="26" t="str" cm="1">
        <f t="array" ref="D355">IF(ROW(NodesJSON[[#This Row],[label]])&gt;ROW(NodesJSON[[#Headers],[JSON]])+1,",","") &amp;"{"&amp;twoRangesToJSON(NodesJSON[[#Headers],[label]:[url]],NodesJSON[[#This Row],[label]:[url]])&amp;"}"</f>
        <v>,{"label":"Relying Party","id":"n85520257_66D0_4CD1_A52A_85A6885DB4CE","url":"https://open-measure.atlassian.net/wiki/spaces/DIC/pages/1152483772"}</v>
      </c>
      <c r="E355" s="2"/>
    </row>
    <row r="356" spans="1:5" ht="13.9" thickTop="1" thickBot="1" x14ac:dyDescent="0.4">
      <c r="A356" s="3" t="str">
        <f>NodesData[[#This Row],[Common Name]]</f>
        <v>Remote Identity Proofing</v>
      </c>
      <c r="B356" s="23" t="str">
        <f>NodesData[[#This Row],[Node ID]]</f>
        <v>nCF5B4529_F5E4_4C1C_9CD1_0E67643481B4</v>
      </c>
      <c r="C356" s="10" t="s">
        <v>1084</v>
      </c>
      <c r="D356" s="26" t="str" cm="1">
        <f t="array" ref="D356">IF(ROW(NodesJSON[[#This Row],[label]])&gt;ROW(NodesJSON[[#Headers],[JSON]])+1,",","") &amp;"{"&amp;twoRangesToJSON(NodesJSON[[#Headers],[label]:[url]],NodesJSON[[#This Row],[label]:[url]])&amp;"}"</f>
        <v>,{"label":"Remote Identity Proofing","id":"nCF5B4529_F5E4_4C1C_9CD1_0E67643481B4","url":"https://open-measure.atlassian.net/wiki/spaces/DIC/pages/1130921985"}</v>
      </c>
      <c r="E356" s="2"/>
    </row>
    <row r="357" spans="1:5" ht="13.9" thickTop="1" thickBot="1" x14ac:dyDescent="0.4">
      <c r="A357" s="3" t="str">
        <f>NodesData[[#This Row],[Common Name]]</f>
        <v>Repeatability</v>
      </c>
      <c r="B357" s="23" t="str">
        <f>NodesData[[#This Row],[Node ID]]</f>
        <v>n27D0EABD_A0B3_47A6_A86A_8C13F8721BE1</v>
      </c>
      <c r="C357" s="10" t="s">
        <v>1088</v>
      </c>
      <c r="D357" s="26" t="str" cm="1">
        <f t="array" ref="D357">IF(ROW(NodesJSON[[#This Row],[label]])&gt;ROW(NodesJSON[[#Headers],[JSON]])+1,",","") &amp;"{"&amp;twoRangesToJSON(NodesJSON[[#Headers],[label]:[url]],NodesJSON[[#This Row],[label]:[url]])&amp;"}"</f>
        <v>,{"label":"Repeatability","id":"n27D0EABD_A0B3_47A6_A86A_8C13F8721BE1","url":"https://open-measure.atlassian.net/wiki/spaces/DIC/pages/82903488"}</v>
      </c>
      <c r="E357" s="2"/>
    </row>
    <row r="358" spans="1:5" ht="13.9" thickTop="1" thickBot="1" x14ac:dyDescent="0.4">
      <c r="A358" s="3" t="str">
        <f>NodesData[[#This Row],[Common Name]]</f>
        <v>Representation Target</v>
      </c>
      <c r="B358" s="23" t="str">
        <f>NodesData[[#This Row],[Node ID]]</f>
        <v>nE99045EA_CC68_44E2_A22A_2917BDB8276C</v>
      </c>
      <c r="C358" s="10" t="s">
        <v>1089</v>
      </c>
      <c r="D358" s="26" t="str" cm="1">
        <f t="array" ref="D358">IF(ROW(NodesJSON[[#This Row],[label]])&gt;ROW(NodesJSON[[#Headers],[JSON]])+1,",","") &amp;"{"&amp;twoRangesToJSON(NodesJSON[[#Headers],[label]:[url]],NodesJSON[[#This Row],[label]:[url]])&amp;"}"</f>
        <v>,{"label":"Representation Target","id":"nE99045EA_CC68_44E2_A22A_2917BDB8276C","url":"https://open-measure.atlassian.net/wiki/spaces/DIC/pages/140739068/SAM+Database"}</v>
      </c>
      <c r="E358" s="2"/>
    </row>
    <row r="359" spans="1:5" ht="13.9" thickTop="1" thickBot="1" x14ac:dyDescent="0.4">
      <c r="A359" s="3" t="str">
        <f>NodesData[[#This Row],[Common Name]]</f>
        <v>Reproducibility</v>
      </c>
      <c r="B359" s="23" t="str">
        <f>NodesData[[#This Row],[Node ID]]</f>
        <v>n92552E85_6D6E_4D55_B4F1_C478A4FB8BC6</v>
      </c>
      <c r="C359" s="10" t="s">
        <v>1090</v>
      </c>
      <c r="D359" s="26" t="str" cm="1">
        <f t="array" ref="D359">IF(ROW(NodesJSON[[#This Row],[label]])&gt;ROW(NodesJSON[[#Headers],[JSON]])+1,",","") &amp;"{"&amp;twoRangesToJSON(NodesJSON[[#Headers],[label]:[url]],NodesJSON[[#This Row],[label]:[url]])&amp;"}"</f>
        <v>,{"label":"Reproducibility","id":"n92552E85_6D6E_4D55_B4F1_C478A4FB8BC6","url":"https://open-measure.atlassian.net/wiki/spaces/DIC/pages/1428586729/SAML"}</v>
      </c>
      <c r="E359" s="2"/>
    </row>
    <row r="360" spans="1:5" ht="13.9" thickTop="1" thickBot="1" x14ac:dyDescent="0.4">
      <c r="A360" s="3" t="str">
        <f>NodesData[[#This Row],[Common Name]]</f>
        <v>Revocation</v>
      </c>
      <c r="B360" s="23" t="str">
        <f>NodesData[[#This Row],[Node ID]]</f>
        <v>n019EE7D0_AFF3_44D6_B229_9F7E8C9D4151</v>
      </c>
      <c r="C360" s="10" t="s">
        <v>1092</v>
      </c>
      <c r="D360" s="26" t="str" cm="1">
        <f t="array" ref="D360">IF(ROW(NodesJSON[[#This Row],[label]])&gt;ROW(NodesJSON[[#Headers],[JSON]])+1,",","") &amp;"{"&amp;twoRangesToJSON(NodesJSON[[#Headers],[label]:[url]],NodesJSON[[#This Row],[label]:[url]])&amp;"}"</f>
        <v>,{"label":"Revocation","id":"n019EE7D0_AFF3_44D6_B229_9F7E8C9D4151","url":"https://open-measure.atlassian.net/wiki/spaces/DIC/pages/206307343"}</v>
      </c>
      <c r="E360" s="2"/>
    </row>
    <row r="361" spans="1:5" ht="13.9" thickTop="1" thickBot="1" x14ac:dyDescent="0.4">
      <c r="A361" s="3" t="str">
        <f>NodesData[[#This Row],[Common Name]]</f>
        <v>RIDP</v>
      </c>
      <c r="B361" s="23" t="str">
        <f>NodesData[[#This Row],[Node ID]]</f>
        <v>n2B1493D9_E52C_47E8_875B_74265080C8CB</v>
      </c>
      <c r="C361" s="10" t="s">
        <v>1094</v>
      </c>
      <c r="D361" s="26" t="str" cm="1">
        <f t="array" ref="D361">IF(ROW(NodesJSON[[#This Row],[label]])&gt;ROW(NodesJSON[[#Headers],[JSON]])+1,",","") &amp;"{"&amp;twoRangesToJSON(NodesJSON[[#Headers],[label]:[url]],NodesJSON[[#This Row],[label]:[url]])&amp;"}"</f>
        <v>,{"label":"RIDP","id":"n2B1493D9_E52C_47E8_875B_74265080C8CB","url":"https://open-measure.atlassian.net/wiki/spaces/DIC/pages/206372879"}</v>
      </c>
      <c r="E361" s="2"/>
    </row>
    <row r="362" spans="1:5" ht="13.9" thickTop="1" thickBot="1" x14ac:dyDescent="0.4">
      <c r="A362" s="3" t="str">
        <f>NodesData[[#This Row],[Common Name]]</f>
        <v>Risk-Based Authentication</v>
      </c>
      <c r="B362" s="23" t="str">
        <f>NodesData[[#This Row],[Node ID]]</f>
        <v>n963C5840_F55F_44D3_ABCE_9B86FAE16FEF</v>
      </c>
      <c r="C362" s="10" t="s">
        <v>1096</v>
      </c>
      <c r="D362" s="26" t="str" cm="1">
        <f t="array" ref="D362">IF(ROW(NodesJSON[[#This Row],[label]])&gt;ROW(NodesJSON[[#Headers],[JSON]])+1,",","") &amp;"{"&amp;twoRangesToJSON(NodesJSON[[#Headers],[label]:[url]],NodesJSON[[#This Row],[label]:[url]])&amp;"}"</f>
        <v>,{"label":"Risk-Based Authentication","id":"n963C5840_F55F_44D3_ABCE_9B86FAE16FEF","url":"https://open-measure.atlassian.net/wiki/spaces/DIC/pages/206307350"}</v>
      </c>
      <c r="E362" s="2"/>
    </row>
    <row r="363" spans="1:5" ht="13.9" thickTop="1" thickBot="1" x14ac:dyDescent="0.4">
      <c r="A363" s="3" t="str">
        <f>NodesData[[#This Row],[Common Name]]</f>
        <v>Role</v>
      </c>
      <c r="B363" s="23" t="str">
        <f>NodesData[[#This Row],[Node ID]]</f>
        <v>nE1050999_27A0_46D4_AFD8_BAFC2970E276</v>
      </c>
      <c r="C363" s="10" t="s">
        <v>1098</v>
      </c>
      <c r="D363" s="26" t="str" cm="1">
        <f t="array" ref="D363">IF(ROW(NodesJSON[[#This Row],[label]])&gt;ROW(NodesJSON[[#Headers],[JSON]])+1,",","") &amp;"{"&amp;twoRangesToJSON(NodesJSON[[#Headers],[label]:[url]],NodesJSON[[#This Row],[label]:[url]])&amp;"}"</f>
        <v>,{"label":"Role","id":"nE1050999_27A0_46D4_AFD8_BAFC2970E276","url":"https://open-measure.atlassian.net/wiki/spaces/DIC/pages/206307373"}</v>
      </c>
      <c r="E363" s="2"/>
    </row>
    <row r="364" spans="1:5" ht="13.9" thickTop="1" thickBot="1" x14ac:dyDescent="0.4">
      <c r="A364" s="3" t="str">
        <f>NodesData[[#This Row],[Common Name]]</f>
        <v>Role Bloating</v>
      </c>
      <c r="B364" s="23" t="str">
        <f>NodesData[[#This Row],[Node ID]]</f>
        <v>n5B801607_99C5_4D93_91CB_94A21227408C</v>
      </c>
      <c r="C364" s="10" t="s">
        <v>1100</v>
      </c>
      <c r="D364" s="26" t="str" cm="1">
        <f t="array" ref="D364">IF(ROW(NodesJSON[[#This Row],[label]])&gt;ROW(NodesJSON[[#Headers],[JSON]])+1,",","") &amp;"{"&amp;twoRangesToJSON(NodesJSON[[#Headers],[label]:[url]],NodesJSON[[#This Row],[label]:[url]])&amp;"}"</f>
        <v>,{"label":"Role Bloating","id":"n5B801607_99C5_4D93_91CB_94A21227408C","url":"https://open-measure.atlassian.net/wiki/spaces/DIC/pages/1376383"}</v>
      </c>
      <c r="E364" s="2"/>
    </row>
    <row r="365" spans="1:5" ht="13.9" thickTop="1" thickBot="1" x14ac:dyDescent="0.4">
      <c r="A365" s="3" t="str">
        <f>NodesData[[#This Row],[Common Name]]</f>
        <v>Role Capacity</v>
      </c>
      <c r="B365" s="23" t="str">
        <f>NodesData[[#This Row],[Node ID]]</f>
        <v>n4129C99E_02BA_4B11_AED3_6029D49927EE</v>
      </c>
      <c r="C365" s="10" t="s">
        <v>1102</v>
      </c>
      <c r="D365" s="26" t="str" cm="1">
        <f t="array" ref="D365">IF(ROW(NodesJSON[[#This Row],[label]])&gt;ROW(NodesJSON[[#Headers],[JSON]])+1,",","") &amp;"{"&amp;twoRangesToJSON(NodesJSON[[#Headers],[label]:[url]],NodesJSON[[#This Row],[label]:[url]])&amp;"}"</f>
        <v>,{"label":"Role Capacity","id":"n4129C99E_02BA_4B11_AED3_6029D49927EE","url":"https://open-measure.atlassian.net/wiki/spaces/DIC/pages/5931115"}</v>
      </c>
      <c r="E365" s="2"/>
    </row>
    <row r="366" spans="1:5" ht="13.9" thickTop="1" thickBot="1" x14ac:dyDescent="0.4">
      <c r="A366" s="3" t="str">
        <f>NodesData[[#This Row],[Common Name]]</f>
        <v>Role Cardinality</v>
      </c>
      <c r="B366" s="23" t="str">
        <f>NodesData[[#This Row],[Node ID]]</f>
        <v>nD9EF9B83_2494_406B_95F4_C53820EE35CA</v>
      </c>
      <c r="C366" s="10" t="s">
        <v>1104</v>
      </c>
      <c r="D366" s="26" t="str" cm="1">
        <f t="array" ref="D366">IF(ROW(NodesJSON[[#This Row],[label]])&gt;ROW(NodesJSON[[#Headers],[JSON]])+1,",","") &amp;"{"&amp;twoRangesToJSON(NodesJSON[[#Headers],[label]:[url]],NodesJSON[[#This Row],[label]:[url]])&amp;"}"</f>
        <v>,{"label":"Role Cardinality","id":"nD9EF9B83_2494_406B_95F4_C53820EE35CA","url":"https://open-measure.atlassian.net/wiki/spaces/DIC/pages/234356901"}</v>
      </c>
      <c r="E366" s="2"/>
    </row>
    <row r="367" spans="1:5" ht="13.9" thickTop="1" thickBot="1" x14ac:dyDescent="0.4">
      <c r="A367" s="3" t="str">
        <f>NodesData[[#This Row],[Common Name]]</f>
        <v>Role Cardinality Activation Control</v>
      </c>
      <c r="B367" s="23" t="str">
        <f>NodesData[[#This Row],[Node ID]]</f>
        <v>nC1D0A8DC_6691_4020_A24F_A3218608CDB9</v>
      </c>
      <c r="C367" s="10" t="s">
        <v>1106</v>
      </c>
      <c r="D367" s="26" t="str" cm="1">
        <f t="array" ref="D367">IF(ROW(NodesJSON[[#This Row],[label]])&gt;ROW(NodesJSON[[#Headers],[JSON]])+1,",","") &amp;"{"&amp;twoRangesToJSON(NodesJSON[[#Headers],[label]:[url]],NodesJSON[[#This Row],[label]:[url]])&amp;"}"</f>
        <v>,{"label":"Role Cardinality Activation Control","id":"nC1D0A8DC_6691_4020_A24F_A3218608CDB9","url":"https://open-measure.atlassian.net/wiki/spaces/DIC/pages/1142390785"}</v>
      </c>
      <c r="E367" s="2"/>
    </row>
    <row r="368" spans="1:5" ht="13.9" thickTop="1" thickBot="1" x14ac:dyDescent="0.4">
      <c r="A368" s="3" t="str">
        <f>NodesData[[#This Row],[Common Name]]</f>
        <v>Role Explosion</v>
      </c>
      <c r="B368" s="23" t="str">
        <f>NodesData[[#This Row],[Node ID]]</f>
        <v>nF3022911_57AF_4961_BB85_E6B8E9F54AEF</v>
      </c>
      <c r="C368" s="10" t="s">
        <v>1108</v>
      </c>
      <c r="D368" s="26" t="str" cm="1">
        <f t="array" ref="D368">IF(ROW(NodesJSON[[#This Row],[label]])&gt;ROW(NodesJSON[[#Headers],[JSON]])+1,",","") &amp;"{"&amp;twoRangesToJSON(NodesJSON[[#Headers],[label]:[url]],NodesJSON[[#This Row],[label]:[url]])&amp;"}"</f>
        <v>,{"label":"Role Explosion","id":"nF3022911_57AF_4961_BB85_E6B8E9F54AEF","url":"https://open-measure.atlassian.net/wiki/spaces/DIC/pages/1230831633"}</v>
      </c>
      <c r="E368" s="2"/>
    </row>
    <row r="369" spans="1:5" ht="13.9" thickTop="1" thickBot="1" x14ac:dyDescent="0.4">
      <c r="A369" s="3" t="str">
        <f>NodesData[[#This Row],[Common Name]]</f>
        <v>Role Management</v>
      </c>
      <c r="B369" s="23" t="str">
        <f>NodesData[[#This Row],[Node ID]]</f>
        <v>n5A5CD70F_DB4D_4769_97A2_CE29EAE58971</v>
      </c>
      <c r="C369" s="10" t="s">
        <v>1110</v>
      </c>
      <c r="D369" s="26" t="str" cm="1">
        <f t="array" ref="D369">IF(ROW(NodesJSON[[#This Row],[label]])&gt;ROW(NodesJSON[[#Headers],[JSON]])+1,",","") &amp;"{"&amp;twoRangesToJSON(NodesJSON[[#Headers],[label]:[url]],NodesJSON[[#This Row],[label]:[url]])&amp;"}"</f>
        <v>,{"label":"Role Management","id":"n5A5CD70F_DB4D_4769_97A2_CE29EAE58971","url":"https://open-measure.atlassian.net/wiki/spaces/DIC/pages/1231159321"}</v>
      </c>
      <c r="E369" s="2"/>
    </row>
    <row r="370" spans="1:5" ht="13.9" thickTop="1" thickBot="1" x14ac:dyDescent="0.4">
      <c r="A370" s="3" t="str">
        <f>NodesData[[#This Row],[Common Name]]</f>
        <v>Role-Based Access Control</v>
      </c>
      <c r="B370" s="23" t="str">
        <f>NodesData[[#This Row],[Node ID]]</f>
        <v>nC663B247_7314_44F0_87C7_6C58BAD193CB</v>
      </c>
      <c r="C370" s="10" t="s">
        <v>1112</v>
      </c>
      <c r="D370" s="26" t="str" cm="1">
        <f t="array" ref="D370">IF(ROW(NodesJSON[[#This Row],[label]])&gt;ROW(NodesJSON[[#Headers],[JSON]])+1,",","") &amp;"{"&amp;twoRangesToJSON(NodesJSON[[#Headers],[label]:[url]],NodesJSON[[#This Row],[label]:[url]])&amp;"}"</f>
        <v>,{"label":"Role-Based Access Control","id":"nC663B247_7314_44F0_87C7_6C58BAD193CB","url":"https://open-measure.atlassian.net/wiki/spaces/DIC/pages/140673497"}</v>
      </c>
      <c r="E370" s="2"/>
    </row>
    <row r="371" spans="1:5" ht="13.9" thickTop="1" thickBot="1" x14ac:dyDescent="0.4">
      <c r="A371" s="3" t="str">
        <f>NodesData[[#This Row],[Common Name]]</f>
        <v>RP</v>
      </c>
      <c r="B371" s="23" t="str">
        <f>NodesData[[#This Row],[Node ID]]</f>
        <v>nD0324B54_4F7D_4DD3_BBD1_3E5B237DE6B4</v>
      </c>
      <c r="C371" s="10" t="s">
        <v>1113</v>
      </c>
      <c r="D371" s="26" t="str" cm="1">
        <f t="array" ref="D371">IF(ROW(NodesJSON[[#This Row],[label]])&gt;ROW(NodesJSON[[#Headers],[JSON]])+1,",","") &amp;"{"&amp;twoRangesToJSON(NodesJSON[[#Headers],[label]:[url]],NodesJSON[[#This Row],[label]:[url]])&amp;"}"</f>
        <v>,{"label":"RP","id":"nD0324B54_4F7D_4DD3_BBD1_3E5B237DE6B4","url":"https://open-measure.atlassian.net/wiki/spaces/DIC/pages/1428619445/Security+Assertion+Markup+Language"}</v>
      </c>
      <c r="E371" s="2"/>
    </row>
    <row r="372" spans="1:5" ht="13.9" thickTop="1" thickBot="1" x14ac:dyDescent="0.4">
      <c r="A372" s="3" t="str">
        <f>NodesData[[#This Row],[Common Name]]</f>
        <v>SAM Database</v>
      </c>
      <c r="B372" s="23" t="str">
        <f>NodesData[[#This Row],[Node ID]]</f>
        <v>nD9C66A40_325F_45DA_A6E3_E4C20F9377A4</v>
      </c>
      <c r="C372" s="10" t="s">
        <v>1115</v>
      </c>
      <c r="D372" s="26" t="str" cm="1">
        <f t="array" ref="D372">IF(ROW(NodesJSON[[#This Row],[label]])&gt;ROW(NodesJSON[[#Headers],[JSON]])+1,",","") &amp;"{"&amp;twoRangesToJSON(NodesJSON[[#Headers],[label]:[url]],NodesJSON[[#This Row],[label]:[url]])&amp;"}"</f>
        <v>,{"label":"SAM Database","id":"nD9C66A40_325F_45DA_A6E3_E4C20F9377A4","url":"https://open-measure.atlassian.net/wiki/spaces/DIC/pages/1177747653"}</v>
      </c>
      <c r="E372" s="2"/>
    </row>
    <row r="373" spans="1:5" ht="13.9" thickTop="1" thickBot="1" x14ac:dyDescent="0.4">
      <c r="A373" s="3" t="str">
        <f>NodesData[[#This Row],[Common Name]]</f>
        <v>SAML</v>
      </c>
      <c r="B373" s="23" t="str">
        <f>NodesData[[#This Row],[Node ID]]</f>
        <v>nDCCE280E_D684_42A8_B37B_5711CE76BC43</v>
      </c>
      <c r="C373" s="10" t="s">
        <v>1117</v>
      </c>
      <c r="D373" s="26" t="str" cm="1">
        <f t="array" ref="D373">IF(ROW(NodesJSON[[#This Row],[label]])&gt;ROW(NodesJSON[[#Headers],[JSON]])+1,",","") &amp;"{"&amp;twoRangesToJSON(NodesJSON[[#Headers],[label]:[url]],NodesJSON[[#This Row],[label]:[url]])&amp;"}"</f>
        <v>,{"label":"SAML","id":"nDCCE280E_D684_42A8_B37B_5711CE76BC43","url":"https://open-measure.atlassian.net/wiki/spaces/DIC/pages/1181843719"}</v>
      </c>
      <c r="E373" s="2"/>
    </row>
    <row r="374" spans="1:5" ht="13.9" thickTop="1" thickBot="1" x14ac:dyDescent="0.4">
      <c r="A374" s="3" t="str">
        <f>NodesData[[#This Row],[Common Name]]</f>
        <v>SCIM</v>
      </c>
      <c r="B374" s="23" t="str">
        <f>NodesData[[#This Row],[Node ID]]</f>
        <v>n149B4F80_9A70_4D1D_8260_94C137DBFBBE</v>
      </c>
      <c r="C374" s="10" t="s">
        <v>1119</v>
      </c>
      <c r="D374" s="26" t="str" cm="1">
        <f t="array" ref="D374">IF(ROW(NodesJSON[[#This Row],[label]])&gt;ROW(NodesJSON[[#Headers],[JSON]])+1,",","") &amp;"{"&amp;twoRangesToJSON(NodesJSON[[#Headers],[label]:[url]],NodesJSON[[#This Row],[label]:[url]])&amp;"}"</f>
        <v>,{"label":"SCIM","id":"n149B4F80_9A70_4D1D_8260_94C137DBFBBE","url":"https://open-measure.atlassian.net/wiki/spaces/DIC/pages/1177747630"}</v>
      </c>
      <c r="E374" s="2"/>
    </row>
    <row r="375" spans="1:5" ht="13.9" thickTop="1" thickBot="1" x14ac:dyDescent="0.4">
      <c r="A375" s="3" t="str">
        <f>NodesData[[#This Row],[Common Name]]</f>
        <v>SCIM 1.0</v>
      </c>
      <c r="B375" s="23" t="str">
        <f>NodesData[[#This Row],[Node ID]]</f>
        <v>n0FF516F1_21CA_4A0C_8AC4_4487F5E1E2CB</v>
      </c>
      <c r="C375" s="10" t="s">
        <v>1070</v>
      </c>
      <c r="D375" s="26" t="str" cm="1">
        <f t="array" ref="D375">IF(ROW(NodesJSON[[#This Row],[label]])&gt;ROW(NodesJSON[[#Headers],[JSON]])+1,",","") &amp;"{"&amp;twoRangesToJSON(NodesJSON[[#Headers],[label]:[url]],NodesJSON[[#This Row],[label]:[url]])&amp;"}"</f>
        <v>,{"label":"SCIM 1.0","id":"n0FF516F1_21CA_4A0C_8AC4_4487F5E1E2CB","url":"https://open-measure.atlassian.net/wiki/spaces/DIC/pages/795836567"}</v>
      </c>
      <c r="E375" s="2"/>
    </row>
    <row r="376" spans="1:5" ht="13.9" thickTop="1" thickBot="1" x14ac:dyDescent="0.4">
      <c r="A376" s="3" t="str">
        <f>NodesData[[#This Row],[Common Name]]</f>
        <v>SCIM 1.1</v>
      </c>
      <c r="B376" s="23" t="str">
        <f>NodesData[[#This Row],[Node ID]]</f>
        <v>n205B8D02_E855_4B2F_91EF_26C1B23CFC50</v>
      </c>
      <c r="C376" s="10" t="s">
        <v>1121</v>
      </c>
      <c r="D376" s="26" t="str" cm="1">
        <f t="array" ref="D376">IF(ROW(NodesJSON[[#This Row],[label]])&gt;ROW(NodesJSON[[#Headers],[JSON]])+1,",","") &amp;"{"&amp;twoRangesToJSON(NodesJSON[[#Headers],[label]:[url]],NodesJSON[[#This Row],[label]:[url]])&amp;"}"</f>
        <v>,{"label":"SCIM 1.1","id":"n205B8D02_E855_4B2F_91EF_26C1B23CFC50","url":"https://open-measure.atlassian.net/wiki/spaces/DIC/pages/1071185955"}</v>
      </c>
      <c r="E376" s="2"/>
    </row>
    <row r="377" spans="1:5" ht="13.9" thickTop="1" thickBot="1" x14ac:dyDescent="0.4">
      <c r="A377" s="3" t="str">
        <f>NodesData[[#This Row],[Common Name]]</f>
        <v>SCIM 2.0</v>
      </c>
      <c r="B377" s="23" t="str">
        <f>NodesData[[#This Row],[Node ID]]</f>
        <v>n1A99C52D_471D_462A_87B9_5E8D4560D58F</v>
      </c>
      <c r="C377" s="10" t="s">
        <v>1122</v>
      </c>
      <c r="D377" s="26" t="str" cm="1">
        <f t="array" ref="D377">IF(ROW(NodesJSON[[#This Row],[label]])&gt;ROW(NodesJSON[[#Headers],[JSON]])+1,",","") &amp;"{"&amp;twoRangesToJSON(NodesJSON[[#Headers],[label]:[url]],NodesJSON[[#This Row],[label]:[url]])&amp;"}"</f>
        <v>,{"label":"SCIM 2.0","id":"n1A99C52D_471D_462A_87B9_5E8D4560D58F","url":"https://open-measure.atlassian.net/wiki/spaces/DIC/pages/446955653/Self-Sovereign+Identity"}</v>
      </c>
      <c r="E377" s="2"/>
    </row>
    <row r="378" spans="1:5" ht="13.9" thickTop="1" thickBot="1" x14ac:dyDescent="0.4">
      <c r="A378" s="3" t="str">
        <f>NodesData[[#This Row],[Common Name]]</f>
        <v>Scoping</v>
      </c>
      <c r="B378" s="23" t="str">
        <f>NodesData[[#This Row],[Node ID]]</f>
        <v>n6E3234B2_E757_4333_BA58_DAFF5B1D943A</v>
      </c>
      <c r="C378" s="10" t="s">
        <v>1124</v>
      </c>
      <c r="D378" s="26" t="str" cm="1">
        <f t="array" ref="D378">IF(ROW(NodesJSON[[#This Row],[label]])&gt;ROW(NodesJSON[[#Headers],[JSON]])+1,",","") &amp;"{"&amp;twoRangesToJSON(NodesJSON[[#Headers],[label]:[url]],NodesJSON[[#This Row],[label]:[url]])&amp;"}"</f>
        <v>,{"label":"Scoping","id":"n6E3234B2_E757_4333_BA58_DAFF5B1D943A","url":"https://open-measure.atlassian.net/wiki/spaces/DIC/pages/6029526"}</v>
      </c>
      <c r="E378" s="2"/>
    </row>
    <row r="379" spans="1:5" ht="13.9" thickTop="1" thickBot="1" x14ac:dyDescent="0.4">
      <c r="A379" s="3" t="str">
        <f>NodesData[[#This Row],[Common Name]]</f>
        <v>SD</v>
      </c>
      <c r="B379" s="23" t="str">
        <f>NodesData[[#This Row],[Node ID]]</f>
        <v>nD3FFB967_77A4_45B9_A5A4_A9FBB2367C89</v>
      </c>
      <c r="C379" s="10" t="s">
        <v>1126</v>
      </c>
      <c r="D379" s="26" t="str" cm="1">
        <f t="array" ref="D379">IF(ROW(NodesJSON[[#This Row],[label]])&gt;ROW(NodesJSON[[#Headers],[JSON]])+1,",","") &amp;"{"&amp;twoRangesToJSON(NodesJSON[[#Headers],[label]:[url]],NodesJSON[[#This Row],[label]:[url]])&amp;"}"</f>
        <v>,{"label":"SD","id":"nD3FFB967_77A4_45B9_A5A4_A9FBB2367C89","url":"https://open-measure.atlassian.net/wiki/spaces/DIC/pages/805142555"}</v>
      </c>
      <c r="E379" s="2"/>
    </row>
    <row r="380" spans="1:5" ht="13.9" thickTop="1" thickBot="1" x14ac:dyDescent="0.4">
      <c r="A380" s="3" t="str">
        <f>NodesData[[#This Row],[Common Name]]</f>
        <v>SDP</v>
      </c>
      <c r="B380" s="23" t="str">
        <f>NodesData[[#This Row],[Node ID]]</f>
        <v>n1CD1BA03_756A_4932_9441_C0DBAE224934</v>
      </c>
      <c r="C380" s="10" t="s">
        <v>1127</v>
      </c>
      <c r="D380" s="26" t="str" cm="1">
        <f t="array" ref="D380">IF(ROW(NodesJSON[[#This Row],[label]])&gt;ROW(NodesJSON[[#Headers],[JSON]])+1,",","") &amp;"{"&amp;twoRangesToJSON(NodesJSON[[#Headers],[label]:[url]],NodesJSON[[#This Row],[label]:[url]])&amp;"}"</f>
        <v>,{"label":"SDP","id":"n1CD1BA03_756A_4932_9441_C0DBAE224934","url":"https://open-measure.atlassian.net/wiki/spaces/DIC/pages/1313538143/Service-Centric+Identity+Management+System"}</v>
      </c>
      <c r="E380" s="2"/>
    </row>
    <row r="381" spans="1:5" ht="13.9" thickTop="1" thickBot="1" x14ac:dyDescent="0.4">
      <c r="A381" s="3" t="str">
        <f>NodesData[[#This Row],[Common Name]]</f>
        <v>Secure Production Identity Framework for Everyone</v>
      </c>
      <c r="B381" s="23" t="str">
        <f>NodesData[[#This Row],[Node ID]]</f>
        <v>nDFF0F332_91D0_4DCD_9272_B0AC7CB47061</v>
      </c>
      <c r="C381" s="10" t="s">
        <v>1129</v>
      </c>
      <c r="D381" s="26" t="str" cm="1">
        <f t="array" ref="D381">IF(ROW(NodesJSON[[#This Row],[label]])&gt;ROW(NodesJSON[[#Headers],[JSON]])+1,",","") &amp;"{"&amp;twoRangesToJSON(NodesJSON[[#Headers],[label]:[url]],NodesJSON[[#This Row],[label]:[url]])&amp;"}"</f>
        <v>,{"label":"Secure Production Identity Framework for Everyone","id":"nDFF0F332_91D0_4DCD_9272_B0AC7CB47061","url":"https://open-measure.atlassian.net/wiki/spaces/DIC/pages/881197061"}</v>
      </c>
      <c r="E381" s="2"/>
    </row>
    <row r="382" spans="1:5" ht="13.9" thickTop="1" thickBot="1" x14ac:dyDescent="0.4">
      <c r="A382" s="3" t="str">
        <f>NodesData[[#This Row],[Common Name]]</f>
        <v>Secure System</v>
      </c>
      <c r="B382" s="23" t="str">
        <f>NodesData[[#This Row],[Node ID]]</f>
        <v>n684E2CA8_D61D_459D_846A_4F41E87E62C9</v>
      </c>
      <c r="C382" s="8"/>
      <c r="D382" s="26" t="str" cm="1">
        <f t="array" ref="D382">IF(ROW(NodesJSON[[#This Row],[label]])&gt;ROW(NodesJSON[[#Headers],[JSON]])+1,",","") &amp;"{"&amp;twoRangesToJSON(NodesJSON[[#Headers],[label]:[url]],NodesJSON[[#This Row],[label]:[url]])&amp;"}"</f>
        <v>,{"label":"Secure System","id":"n684E2CA8_D61D_459D_846A_4F41E87E62C9","url":""}</v>
      </c>
      <c r="E382" s="2"/>
    </row>
    <row r="383" spans="1:5" ht="13.9" thickTop="1" thickBot="1" x14ac:dyDescent="0.4">
      <c r="A383" s="3" t="str">
        <f>NodesData[[#This Row],[Common Name]]</f>
        <v>Security</v>
      </c>
      <c r="B383" s="23" t="str">
        <f>NodesData[[#This Row],[Node ID]]</f>
        <v>nCC901E67_11E1_4971_ACD2_99886D05F2BB</v>
      </c>
      <c r="C383" s="10" t="s">
        <v>1131</v>
      </c>
      <c r="D383" s="26" t="str" cm="1">
        <f t="array" ref="D383">IF(ROW(NodesJSON[[#This Row],[label]])&gt;ROW(NodesJSON[[#Headers],[JSON]])+1,",","") &amp;"{"&amp;twoRangesToJSON(NodesJSON[[#Headers],[label]:[url]],NodesJSON[[#This Row],[label]:[url]])&amp;"}"</f>
        <v>,{"label":"Security","id":"nCC901E67_11E1_4971_ACD2_99886D05F2BB","url":"https://open-measure.atlassian.net/wiki/spaces/DIC/pages/78741548"}</v>
      </c>
      <c r="E383" s="2"/>
    </row>
    <row r="384" spans="1:5" ht="13.9" thickTop="1" thickBot="1" x14ac:dyDescent="0.4">
      <c r="A384" s="3" t="str">
        <f>NodesData[[#This Row],[Common Name]]</f>
        <v>Security Accounts Manager</v>
      </c>
      <c r="B384" s="23" t="str">
        <f>NodesData[[#This Row],[Node ID]]</f>
        <v>nF2255395_848A_427B_89E9_3BB7DD7580BB</v>
      </c>
      <c r="C384" s="10" t="s">
        <v>1133</v>
      </c>
      <c r="D384" s="26" t="str" cm="1">
        <f t="array" ref="D384">IF(ROW(NodesJSON[[#This Row],[label]])&gt;ROW(NodesJSON[[#Headers],[JSON]])+1,",","") &amp;"{"&amp;twoRangesToJSON(NodesJSON[[#Headers],[label]:[url]],NodesJSON[[#This Row],[label]:[url]])&amp;"}"</f>
        <v>,{"label":"Security Accounts Manager","id":"nF2255395_848A_427B_89E9_3BB7DD7580BB","url":"https://open-measure.atlassian.net/wiki/spaces/DIC/pages/75956255"}</v>
      </c>
      <c r="E384" s="2"/>
    </row>
    <row r="385" spans="1:5" ht="13.9" thickTop="1" thickBot="1" x14ac:dyDescent="0.4">
      <c r="A385" s="3" t="str">
        <f>NodesData[[#This Row],[Common Name]]</f>
        <v>Security Assertion Markup Language</v>
      </c>
      <c r="B385" s="23" t="str">
        <f>NodesData[[#This Row],[Node ID]]</f>
        <v>nE58B987B_C4CB_4FB3_9868_F8040123B702</v>
      </c>
      <c r="C385" s="8"/>
      <c r="D385" s="26" t="str" cm="1">
        <f t="array" ref="D385">IF(ROW(NodesJSON[[#This Row],[label]])&gt;ROW(NodesJSON[[#Headers],[JSON]])+1,",","") &amp;"{"&amp;twoRangesToJSON(NodesJSON[[#Headers],[label]:[url]],NodesJSON[[#This Row],[label]:[url]])&amp;"}"</f>
        <v>,{"label":"Security Assertion Markup Language","id":"nE58B987B_C4CB_4FB3_9868_F8040123B702","url":""}</v>
      </c>
      <c r="E385" s="2"/>
    </row>
    <row r="386" spans="1:5" ht="13.9" thickTop="1" thickBot="1" x14ac:dyDescent="0.4">
      <c r="A386" s="3" t="str">
        <f>NodesData[[#This Row],[Common Name]]</f>
        <v>Security Clearance Level</v>
      </c>
      <c r="B386" s="23" t="str">
        <f>NodesData[[#This Row],[Node ID]]</f>
        <v>n9AE9641B_8E15_44BE_BE39_5928AF98C403</v>
      </c>
      <c r="C386" s="4"/>
      <c r="D386" s="26" t="str" cm="1">
        <f t="array" ref="D386">IF(ROW(NodesJSON[[#This Row],[label]])&gt;ROW(NodesJSON[[#Headers],[JSON]])+1,",","") &amp;"{"&amp;twoRangesToJSON(NodesJSON[[#Headers],[label]:[url]],NodesJSON[[#This Row],[label]:[url]])&amp;"}"</f>
        <v>,{"label":"Security Clearance Level","id":"n9AE9641B_8E15_44BE_BE39_5928AF98C403","url":""}</v>
      </c>
      <c r="E386" s="2"/>
    </row>
    <row r="387" spans="1:5" ht="13.9" thickTop="1" thickBot="1" x14ac:dyDescent="0.4">
      <c r="A387" s="3" t="str">
        <f>NodesData[[#This Row],[Common Name]]</f>
        <v>Security Compartment</v>
      </c>
      <c r="B387" s="23" t="str">
        <f>NodesData[[#This Row],[Node ID]]</f>
        <v>n4AB9C40A_FFE6_4F52_BBD5_1C60BD60C22D</v>
      </c>
      <c r="C387" s="8"/>
      <c r="D387" s="26" t="str" cm="1">
        <f t="array" ref="D387">IF(ROW(NodesJSON[[#This Row],[label]])&gt;ROW(NodesJSON[[#Headers],[JSON]])+1,",","") &amp;"{"&amp;twoRangesToJSON(NodesJSON[[#Headers],[label]:[url]],NodesJSON[[#This Row],[label]:[url]])&amp;"}"</f>
        <v>,{"label":"Security Compartment","id":"n4AB9C40A_FFE6_4F52_BBD5_1C60BD60C22D","url":""}</v>
      </c>
      <c r="E387" s="2"/>
    </row>
    <row r="388" spans="1:5" ht="13.9" thickTop="1" thickBot="1" x14ac:dyDescent="0.4">
      <c r="A388" s="3" t="str">
        <f>NodesData[[#This Row],[Common Name]]</f>
        <v>Security Label</v>
      </c>
      <c r="B388" s="23" t="str">
        <f>NodesData[[#This Row],[Node ID]]</f>
        <v>nB97D2A38_A342_46DA_ABE9_AE6CB1417AAE</v>
      </c>
      <c r="C388" s="10" t="s">
        <v>1135</v>
      </c>
      <c r="D388" s="26" t="str" cm="1">
        <f t="array" ref="D388">IF(ROW(NodesJSON[[#This Row],[label]])&gt;ROW(NodesJSON[[#Headers],[JSON]])+1,",","") &amp;"{"&amp;twoRangesToJSON(NodesJSON[[#Headers],[label]:[url]],NodesJSON[[#This Row],[label]:[url]])&amp;"}"</f>
        <v>,{"label":"Security Label","id":"nB97D2A38_A342_46DA_ABE9_AE6CB1417AAE","url":"https://open-measure.atlassian.net/wiki/spaces/DIC/pages/1270055026/Social+Honeypot"}</v>
      </c>
      <c r="E388" s="2"/>
    </row>
    <row r="389" spans="1:5" ht="13.9" thickTop="1" thickBot="1" x14ac:dyDescent="0.4">
      <c r="A389" s="3" t="str">
        <f>NodesData[[#This Row],[Common Name]]</f>
        <v>Security Question Authentication</v>
      </c>
      <c r="B389" s="23" t="str">
        <f>NodesData[[#This Row],[Node ID]]</f>
        <v>n3C201BF8_F9EA_4428_B9FA_FC0267427653</v>
      </c>
      <c r="C389" s="10" t="s">
        <v>1137</v>
      </c>
      <c r="D389" s="26" t="str" cm="1">
        <f t="array" ref="D389">IF(ROW(NodesJSON[[#This Row],[label]])&gt;ROW(NodesJSON[[#Headers],[JSON]])+1,",","") &amp;"{"&amp;twoRangesToJSON(NodesJSON[[#Headers],[label]:[url]],NodesJSON[[#This Row],[label]:[url]])&amp;"}"</f>
        <v>,{"label":"Security Question Authentication","id":"n3C201BF8_F9EA_4428_B9FA_FC0267427653","url":"https://open-measure.atlassian.net/wiki/spaces/DIC/pages/1071317018"}</v>
      </c>
      <c r="E389" s="2"/>
    </row>
    <row r="390" spans="1:5" ht="13.9" thickTop="1" thickBot="1" x14ac:dyDescent="0.4">
      <c r="A390" s="3" t="str">
        <f>NodesData[[#This Row],[Common Name]]</f>
        <v>Segregation of Duties</v>
      </c>
      <c r="B390" s="23" t="str">
        <f>NodesData[[#This Row],[Node ID]]</f>
        <v>nD567DDAF_88E4_460A_8360_AB49285CB8DD</v>
      </c>
      <c r="C390" s="4"/>
      <c r="D390" s="26" t="str" cm="1">
        <f t="array" ref="D390">IF(ROW(NodesJSON[[#This Row],[label]])&gt;ROW(NodesJSON[[#Headers],[JSON]])+1,",","") &amp;"{"&amp;twoRangesToJSON(NodesJSON[[#Headers],[label]:[url]],NodesJSON[[#This Row],[label]:[url]])&amp;"}"</f>
        <v>,{"label":"Segregation of Duties","id":"nD567DDAF_88E4_460A_8360_AB49285CB8DD","url":""}</v>
      </c>
      <c r="E390" s="2"/>
    </row>
    <row r="391" spans="1:5" ht="13.9" thickTop="1" thickBot="1" x14ac:dyDescent="0.4">
      <c r="A391" s="3" t="str">
        <f>NodesData[[#This Row],[Common Name]]</f>
        <v>Self-Sovereign Identity</v>
      </c>
      <c r="B391" s="23" t="str">
        <f>NodesData[[#This Row],[Node ID]]</f>
        <v>nB870A42F_E8DF_49EE_839E_8237D0D08E6C</v>
      </c>
      <c r="C391" s="10" t="s">
        <v>1139</v>
      </c>
      <c r="D391" s="26" t="str" cm="1">
        <f t="array" ref="D391">IF(ROW(NodesJSON[[#This Row],[label]])&gt;ROW(NodesJSON[[#Headers],[JSON]])+1,",","") &amp;"{"&amp;twoRangesToJSON(NodesJSON[[#Headers],[label]:[url]],NodesJSON[[#This Row],[label]:[url]])&amp;"}"</f>
        <v>,{"label":"Self-Sovereign Identity","id":"nB870A42F_E8DF_49EE_839E_8237D0D08E6C","url":"https://open-measure.atlassian.net/wiki/spaces/DIC/pages/234487981"}</v>
      </c>
      <c r="E391" s="2"/>
    </row>
    <row r="392" spans="1:5" ht="13.9" thickTop="1" thickBot="1" x14ac:dyDescent="0.4">
      <c r="A392" s="3" t="str">
        <f>NodesData[[#This Row],[Common Name]]</f>
        <v>Semantic Differential</v>
      </c>
      <c r="B392" s="23" t="str">
        <f>NodesData[[#This Row],[Node ID]]</f>
        <v>n05769AFC_D0B1_4FEC_A0E1_842407E11B7A</v>
      </c>
      <c r="C392" s="10" t="s">
        <v>1141</v>
      </c>
      <c r="D392" s="26" t="str" cm="1">
        <f t="array" ref="D392">IF(ROW(NodesJSON[[#This Row],[label]])&gt;ROW(NodesJSON[[#Headers],[JSON]])+1,",","") &amp;"{"&amp;twoRangesToJSON(NodesJSON[[#Headers],[label]:[url]],NodesJSON[[#This Row],[label]:[url]])&amp;"}"</f>
        <v>,{"label":"Semantic Differential","id":"n05769AFC_D0B1_4FEC_A0E1_842407E11B7A","url":"https://open-measure.atlassian.net/wiki/spaces/DIC/pages/1142292486"}</v>
      </c>
      <c r="E392" s="2"/>
    </row>
    <row r="393" spans="1:5" ht="13.9" thickTop="1" thickBot="1" x14ac:dyDescent="0.4">
      <c r="A393" s="3" t="str">
        <f>NodesData[[#This Row],[Common Name]]</f>
        <v>Service Account</v>
      </c>
      <c r="B393" s="23" t="str">
        <f>NodesData[[#This Row],[Node ID]]</f>
        <v>n901E5DAB_D27E_4BEE_8BBB_AC47FA69CFBA</v>
      </c>
      <c r="C393" s="10" t="s">
        <v>1143</v>
      </c>
      <c r="D393" s="26" t="str" cm="1">
        <f t="array" ref="D393">IF(ROW(NodesJSON[[#This Row],[label]])&gt;ROW(NodesJSON[[#Headers],[JSON]])+1,",","") &amp;"{"&amp;twoRangesToJSON(NodesJSON[[#Headers],[label]:[url]],NodesJSON[[#This Row],[label]:[url]])&amp;"}"</f>
        <v>,{"label":"Service Account","id":"n901E5DAB_D27E_4BEE_8BBB_AC47FA69CFBA","url":"https://open-measure.atlassian.net/wiki/spaces/DIC/pages/1605648"}</v>
      </c>
      <c r="E393" s="2"/>
    </row>
    <row r="394" spans="1:5" ht="13.9" thickTop="1" thickBot="1" x14ac:dyDescent="0.4">
      <c r="A394" s="3" t="str">
        <f>NodesData[[#This Row],[Common Name]]</f>
        <v>Service-Centric Identity Management System</v>
      </c>
      <c r="B394" s="23" t="str">
        <f>NodesData[[#This Row],[Node ID]]</f>
        <v>n491440D0_18B1_419D_82A7_5E14101A7E9B</v>
      </c>
      <c r="C394" s="10" t="s">
        <v>1145</v>
      </c>
      <c r="D394" s="26" t="str" cm="1">
        <f t="array" ref="D394">IF(ROW(NodesJSON[[#This Row],[label]])&gt;ROW(NodesJSON[[#Headers],[JSON]])+1,",","") &amp;"{"&amp;twoRangesToJSON(NodesJSON[[#Headers],[label]:[url]],NodesJSON[[#This Row],[label]:[url]])&amp;"}"</f>
        <v>,{"label":"Service-Centric Identity Management System","id":"n491440D0_18B1_419D_82A7_5E14101A7E9B","url":"https://open-measure.atlassian.net/wiki/spaces/DIC/pages/1027342899"}</v>
      </c>
      <c r="E394" s="2"/>
    </row>
    <row r="395" spans="1:5" ht="13.9" thickTop="1" thickBot="1" x14ac:dyDescent="0.4">
      <c r="A395" s="3" t="str">
        <f>NodesData[[#This Row],[Common Name]]</f>
        <v>Session</v>
      </c>
      <c r="B395" s="23" t="str">
        <f>NodesData[[#This Row],[Node ID]]</f>
        <v>n279CC740_4E96_4D2A_923D_3603EA0FD247</v>
      </c>
      <c r="C395" s="10" t="s">
        <v>1146</v>
      </c>
      <c r="D395" s="26" t="str" cm="1">
        <f t="array" ref="D395">IF(ROW(NodesJSON[[#This Row],[label]])&gt;ROW(NodesJSON[[#Headers],[JSON]])+1,",","") &amp;"{"&amp;twoRangesToJSON(NodesJSON[[#Headers],[label]:[url]],NodesJSON[[#This Row],[label]:[url]])&amp;"}"</f>
        <v>,{"label":"Session","id":"n279CC740_4E96_4D2A_923D_3603EA0FD247","url":"https://open-measure.atlassian.net/wiki/spaces/DIC/pages/1311113221/SSI"}</v>
      </c>
      <c r="E395" s="2"/>
    </row>
    <row r="396" spans="1:5" ht="13.9" thickTop="1" thickBot="1" x14ac:dyDescent="0.4">
      <c r="A396" s="3" t="str">
        <f>NodesData[[#This Row],[Common Name]]</f>
        <v>Session Authentication</v>
      </c>
      <c r="B396" s="23" t="str">
        <f>NodesData[[#This Row],[Node ID]]</f>
        <v>nDF95A25A_2B47_4C54_8D11_CCEA52064067</v>
      </c>
      <c r="C396" s="10" t="s">
        <v>1148</v>
      </c>
      <c r="D396" s="26" t="str" cm="1">
        <f t="array" ref="D396">IF(ROW(NodesJSON[[#This Row],[label]])&gt;ROW(NodesJSON[[#Headers],[JSON]])+1,",","") &amp;"{"&amp;twoRangesToJSON(NodesJSON[[#Headers],[label]:[url]],NodesJSON[[#This Row],[label]:[url]])&amp;"}"</f>
        <v>,{"label":"Session Authentication","id":"nDF95A25A_2B47_4C54_8D11_CCEA52064067","url":"https://open-measure.atlassian.net/wiki/spaces/DIC/pages/75956237"}</v>
      </c>
      <c r="E396" s="2"/>
    </row>
    <row r="397" spans="1:5" ht="13.9" thickTop="1" thickBot="1" x14ac:dyDescent="0.4">
      <c r="A397" s="3" t="str">
        <f>NodesData[[#This Row],[Common Name]]</f>
        <v>Single Login</v>
      </c>
      <c r="B397" s="23" t="str">
        <f>NodesData[[#This Row],[Node ID]]</f>
        <v>n95300591_0D21_454A_83B8_F3C9C74C21E3</v>
      </c>
      <c r="C397" s="8"/>
      <c r="D397" s="26" t="str" cm="1">
        <f t="array" ref="D397">IF(ROW(NodesJSON[[#This Row],[label]])&gt;ROW(NodesJSON[[#Headers],[JSON]])+1,",","") &amp;"{"&amp;twoRangesToJSON(NodesJSON[[#Headers],[label]:[url]],NodesJSON[[#This Row],[label]:[url]])&amp;"}"</f>
        <v>,{"label":"Single Login","id":"n95300591_0D21_454A_83B8_F3C9C74C21E3","url":""}</v>
      </c>
      <c r="E397" s="2"/>
    </row>
    <row r="398" spans="1:5" ht="13.9" thickTop="1" thickBot="1" x14ac:dyDescent="0.4">
      <c r="A398" s="3" t="str">
        <f>NodesData[[#This Row],[Common Name]]</f>
        <v>Single Sign-On</v>
      </c>
      <c r="B398" s="23" t="str">
        <f>NodesData[[#This Row],[Node ID]]</f>
        <v>nCDC41020_7C5B_4C7F_9A4D_8C0F159CD585</v>
      </c>
      <c r="C398" s="10" t="s">
        <v>1150</v>
      </c>
      <c r="D398" s="26" t="str" cm="1">
        <f t="array" ref="D398">IF(ROW(NodesJSON[[#This Row],[label]])&gt;ROW(NodesJSON[[#Headers],[JSON]])+1,",","") &amp;"{"&amp;twoRangesToJSON(NodesJSON[[#Headers],[label]:[url]],NodesJSON[[#This Row],[label]:[url]])&amp;"}"</f>
        <v>,{"label":"Single Sign-On","id":"nCDC41020_7C5B_4C7F_9A4D_8C0F159CD585","url":"https://open-measure.atlassian.net/wiki/spaces/DIC/pages/998244645"}</v>
      </c>
      <c r="E398" s="2"/>
    </row>
    <row r="399" spans="1:5" ht="13.9" thickTop="1" thickBot="1" x14ac:dyDescent="0.4">
      <c r="A399" s="3" t="str">
        <f>NodesData[[#This Row],[Common Name]]</f>
        <v>Single Sign-On</v>
      </c>
      <c r="B399" s="23" t="str">
        <f>NodesData[[#This Row],[Node ID]]</f>
        <v>nF3399109_259D_4ABC_BC52_EDB47E2CAF1A</v>
      </c>
      <c r="C399" s="10" t="s">
        <v>1152</v>
      </c>
      <c r="D399" s="26" t="str" cm="1">
        <f t="array" ref="D399">IF(ROW(NodesJSON[[#This Row],[label]])&gt;ROW(NodesJSON[[#Headers],[JSON]])+1,",","") &amp;"{"&amp;twoRangesToJSON(NodesJSON[[#Headers],[label]:[url]],NodesJSON[[#This Row],[label]:[url]])&amp;"}"</f>
        <v>,{"label":"Single Sign-On","id":"nF3399109_259D_4ABC_BC52_EDB47E2CAF1A","url":"https://open-measure.atlassian.net/wiki/spaces/DIC/pages/1311763"}</v>
      </c>
      <c r="E399" s="2"/>
    </row>
    <row r="400" spans="1:5" ht="13.9" thickTop="1" thickBot="1" x14ac:dyDescent="0.4">
      <c r="A400" s="3" t="str">
        <f>NodesData[[#This Row],[Common Name]]</f>
        <v>SMS OTP</v>
      </c>
      <c r="B400" s="23" t="str">
        <f>NodesData[[#This Row],[Node ID]]</f>
        <v>nC659F8FA_B1EB_46E9_B13C_FE5C1B62DEA3</v>
      </c>
      <c r="C400" s="10" t="s">
        <v>1134</v>
      </c>
      <c r="D400" s="26" t="str" cm="1">
        <f t="array" ref="D400">IF(ROW(NodesJSON[[#This Row],[label]])&gt;ROW(NodesJSON[[#Headers],[JSON]])+1,",","") &amp;"{"&amp;twoRangesToJSON(NodesJSON[[#Headers],[label]:[url]],NodesJSON[[#This Row],[label]:[url]])&amp;"}"</f>
        <v>,{"label":"SMS OTP","id":"nC659F8FA_B1EB_46E9_B13C_FE5C1B62DEA3","url":"https://open-measure.atlassian.net/wiki/spaces/DIC/pages/1600684200/Social+Authentication"}</v>
      </c>
      <c r="E400" s="2"/>
    </row>
    <row r="401" spans="1:5" ht="13.9" thickTop="1" thickBot="1" x14ac:dyDescent="0.4">
      <c r="A401" s="3" t="str">
        <f>NodesData[[#This Row],[Common Name]]</f>
        <v>Social Authentication</v>
      </c>
      <c r="B401" s="23" t="str">
        <f>NodesData[[#This Row],[Node ID]]</f>
        <v>n60A42831_8FFC_43B5_9189_8FC2450794A3</v>
      </c>
      <c r="C401" s="10" t="s">
        <v>1155</v>
      </c>
      <c r="D401" s="26" t="str" cm="1">
        <f t="array" ref="D401">IF(ROW(NodesJSON[[#This Row],[label]])&gt;ROW(NodesJSON[[#Headers],[JSON]])+1,",","") &amp;"{"&amp;twoRangesToJSON(NodesJSON[[#Headers],[label]:[url]],NodesJSON[[#This Row],[label]:[url]])&amp;"}"</f>
        <v>,{"label":"Social Authentication","id":"n60A42831_8FFC_43B5_9189_8FC2450794A3","url":"https://open-measure.atlassian.net/wiki/spaces/DIC/pages/1540175"}</v>
      </c>
      <c r="E401" s="2"/>
    </row>
    <row r="402" spans="1:5" ht="13.9" thickTop="1" thickBot="1" x14ac:dyDescent="0.4">
      <c r="A402" s="3" t="str">
        <f>NodesData[[#This Row],[Common Name]]</f>
        <v>Social Honeypot</v>
      </c>
      <c r="B402" s="23" t="str">
        <f>NodesData[[#This Row],[Node ID]]</f>
        <v>n56573FF9_22B4_4629_B28C_392B006A4AA8</v>
      </c>
      <c r="C402" s="10" t="s">
        <v>1157</v>
      </c>
      <c r="D402" s="26" t="str" cm="1">
        <f t="array" ref="D402">IF(ROW(NodesJSON[[#This Row],[label]])&gt;ROW(NodesJSON[[#Headers],[JSON]])+1,",","") &amp;"{"&amp;twoRangesToJSON(NodesJSON[[#Headers],[label]:[url]],NodesJSON[[#This Row],[label]:[url]])&amp;"}"</f>
        <v>,{"label":"Social Honeypot","id":"n56573FF9_22B4_4629_B28C_392B006A4AA8","url":"https://open-measure.atlassian.net/wiki/spaces/DIC/pages/1181909085"}</v>
      </c>
      <c r="E402" s="2"/>
    </row>
    <row r="403" spans="1:5" ht="13.9" thickTop="1" thickBot="1" x14ac:dyDescent="0.4">
      <c r="A403" s="3" t="str">
        <f>NodesData[[#This Row],[Common Name]]</f>
        <v>SoD</v>
      </c>
      <c r="B403" s="23" t="str">
        <f>NodesData[[#This Row],[Node ID]]</f>
        <v>nA9A30C47_5F47_4988_8FC5_F4CF9EB080CC</v>
      </c>
      <c r="C403" s="10" t="s">
        <v>1153</v>
      </c>
      <c r="D403" s="26" t="str" cm="1">
        <f t="array" ref="D403">IF(ROW(NodesJSON[[#This Row],[label]])&gt;ROW(NodesJSON[[#Headers],[JSON]])+1,",","") &amp;"{"&amp;twoRangesToJSON(NodesJSON[[#Headers],[label]:[url]],NodesJSON[[#This Row],[label]:[url]])&amp;"}"</f>
        <v>,{"label":"SoD","id":"nA9A30C47_5F47_4988_8FC5_F4CF9EB080CC","url":"https://open-measure.atlassian.net/wiki/spaces/DIC/pages/663257097/Step-Up+Authentication"}</v>
      </c>
      <c r="E403" s="2"/>
    </row>
    <row r="404" spans="1:5" ht="13.9" thickTop="1" thickBot="1" x14ac:dyDescent="0.4">
      <c r="A404" s="3" t="str">
        <f>NodesData[[#This Row],[Common Name]]</f>
        <v>Software / App OTP</v>
      </c>
      <c r="B404" s="23" t="str">
        <f>NodesData[[#This Row],[Node ID]]</f>
        <v>n53FEC273_D9E0_42F6_BEB3_18333BB567ED</v>
      </c>
      <c r="C404" s="10" t="s">
        <v>1161</v>
      </c>
      <c r="D404" s="26" t="str" cm="1">
        <f t="array" ref="D404">IF(ROW(NodesJSON[[#This Row],[label]])&gt;ROW(NodesJSON[[#Headers],[JSON]])+1,",","") &amp;"{"&amp;twoRangesToJSON(NodesJSON[[#Headers],[label]:[url]],NodesJSON[[#This Row],[label]:[url]])&amp;"}"</f>
        <v>,{"label":"Software / App OTP","id":"n53FEC273_D9E0_42F6_BEB3_18333BB567ED","url":"https://open-measure.atlassian.net/wiki/spaces/DIC/pages/1177747756"}</v>
      </c>
      <c r="E404" s="2"/>
    </row>
    <row r="405" spans="1:5" ht="13.9" thickTop="1" thickBot="1" x14ac:dyDescent="0.4">
      <c r="A405" s="3" t="str">
        <f>NodesData[[#This Row],[Common Name]]</f>
        <v>Software-Defined Perimeter</v>
      </c>
      <c r="B405" s="23" t="str">
        <f>NodesData[[#This Row],[Node ID]]</f>
        <v>n5E41A9D4_819D_4864_B6AE_33A53A7DDD7C</v>
      </c>
      <c r="C405" s="10" t="s">
        <v>1163</v>
      </c>
      <c r="D405" s="26" t="str" cm="1">
        <f t="array" ref="D405">IF(ROW(NodesJSON[[#This Row],[label]])&gt;ROW(NodesJSON[[#Headers],[JSON]])+1,",","") &amp;"{"&amp;twoRangesToJSON(NodesJSON[[#Headers],[label]:[url]],NodesJSON[[#This Row],[label]:[url]])&amp;"}"</f>
        <v>,{"label":"Software-Defined Perimeter","id":"n5E41A9D4_819D_4864_B6AE_33A53A7DDD7C","url":"https://open-measure.atlassian.net/wiki/spaces/DIC/pages/67600697"}</v>
      </c>
      <c r="E405" s="2"/>
    </row>
    <row r="406" spans="1:5" ht="13.9" thickTop="1" thickBot="1" x14ac:dyDescent="0.4">
      <c r="A406" s="3" t="str">
        <f>NodesData[[#This Row],[Common Name]]</f>
        <v>SPIFFE</v>
      </c>
      <c r="B406" s="23" t="str">
        <f>NodesData[[#This Row],[Node ID]]</f>
        <v>n00E1D349_3D00_4487_9F58_1785F1B304DB</v>
      </c>
      <c r="C406" s="10" t="s">
        <v>1165</v>
      </c>
      <c r="D406" s="26" t="str" cm="1">
        <f t="array" ref="D406">IF(ROW(NodesJSON[[#This Row],[label]])&gt;ROW(NodesJSON[[#Headers],[JSON]])+1,",","") &amp;"{"&amp;twoRangesToJSON(NodesJSON[[#Headers],[label]:[url]],NodesJSON[[#This Row],[label]:[url]])&amp;"}"</f>
        <v>,{"label":"SPIFFE","id":"n00E1D349_3D00_4487_9F58_1785F1B304DB","url":"https://open-measure.atlassian.net/wiki/spaces/DIC/pages/2981920"}</v>
      </c>
      <c r="E406" s="2"/>
    </row>
    <row r="407" spans="1:5" ht="13.9" thickTop="1" thickBot="1" x14ac:dyDescent="0.4">
      <c r="A407" s="3" t="str">
        <f>NodesData[[#This Row],[Common Name]]</f>
        <v>SPMS</v>
      </c>
      <c r="B407" s="23" t="str">
        <f>NodesData[[#This Row],[Node ID]]</f>
        <v>n5CF2F923_671C_4D8A_ADA8_855ACC57144A</v>
      </c>
      <c r="C407" s="10" t="s">
        <v>1166</v>
      </c>
      <c r="D407" s="26" t="str" cm="1">
        <f t="array" ref="D407">IF(ROW(NodesJSON[[#This Row],[label]])&gt;ROW(NodesJSON[[#Headers],[JSON]])+1,",","") &amp;"{"&amp;twoRangesToJSON(NodesJSON[[#Headers],[label]:[url]],NodesJSON[[#This Row],[label]:[url]])&amp;"}"</f>
        <v>,{"label":"SPMS","id":"n5CF2F923_671C_4D8A_ADA8_855ACC57144A","url":"https://open-measure.atlassian.net/wiki/spaces/DIC/pages/1477869640/Supply+Chain+Attack"}</v>
      </c>
      <c r="E407" s="2"/>
    </row>
    <row r="408" spans="1:5" ht="13.9" thickTop="1" thickBot="1" x14ac:dyDescent="0.4">
      <c r="A408" s="3" t="str">
        <f>NodesData[[#This Row],[Common Name]]</f>
        <v>SSH Key</v>
      </c>
      <c r="B408" s="23" t="str">
        <f>NodesData[[#This Row],[Node ID]]</f>
        <v>nFC3909FF_29C6_47F9_B90A_122BDED44AF9</v>
      </c>
      <c r="C408" s="10" t="s">
        <v>1167</v>
      </c>
      <c r="D408" s="26" t="str" cm="1">
        <f t="array" ref="D408">IF(ROW(NodesJSON[[#This Row],[label]])&gt;ROW(NodesJSON[[#Headers],[JSON]])+1,",","") &amp;"{"&amp;twoRangesToJSON(NodesJSON[[#Headers],[label]:[url]],NodesJSON[[#This Row],[label]:[url]])&amp;"}"</f>
        <v>,{"label":"SSH Key","id":"nFC3909FF_29C6_47F9_B90A_122BDED44AF9","url":"https://open-measure.atlassian.net/wiki/spaces/DIC/pages/1254588545/Sybil+Attack"}</v>
      </c>
      <c r="E408" s="2"/>
    </row>
    <row r="409" spans="1:5" ht="13.9" thickTop="1" thickBot="1" x14ac:dyDescent="0.4">
      <c r="A409" s="3" t="str">
        <f>NodesData[[#This Row],[Common Name]]</f>
        <v>SSI</v>
      </c>
      <c r="B409" s="23" t="str">
        <f>NodesData[[#This Row],[Node ID]]</f>
        <v>n71631819_91CD_4603_8446_336EBC6B18B2</v>
      </c>
      <c r="C409" s="10" t="s">
        <v>1169</v>
      </c>
      <c r="D409" s="26" t="str" cm="1">
        <f t="array" ref="D409">IF(ROW(NodesJSON[[#This Row],[label]])&gt;ROW(NodesJSON[[#Headers],[JSON]])+1,",","") &amp;"{"&amp;twoRangesToJSON(NodesJSON[[#Headers],[label]:[url]],NodesJSON[[#This Row],[label]:[url]])&amp;"}"</f>
        <v>,{"label":"SSI","id":"n71631819_91CD_4603_8446_336EBC6B18B2","url":"https://open-measure.atlassian.net/wiki/spaces/DIC/pages/794296433"}</v>
      </c>
      <c r="E409" s="2"/>
    </row>
    <row r="410" spans="1:5" ht="13.9" thickTop="1" thickBot="1" x14ac:dyDescent="0.4">
      <c r="A410" s="3" t="str">
        <f>NodesData[[#This Row],[Common Name]]</f>
        <v>SSO</v>
      </c>
      <c r="B410" s="23" t="str">
        <f>NodesData[[#This Row],[Node ID]]</f>
        <v>n36B26A4D_4DE5_4EE8_8425_C5A7DB251D84</v>
      </c>
      <c r="C410" s="10" t="s">
        <v>1170</v>
      </c>
      <c r="D410" s="26" t="str" cm="1">
        <f t="array" ref="D410">IF(ROW(NodesJSON[[#This Row],[label]])&gt;ROW(NodesJSON[[#Headers],[JSON]])+1,",","") &amp;"{"&amp;twoRangesToJSON(NodesJSON[[#Headers],[label]:[url]],NodesJSON[[#This Row],[label]:[url]])&amp;"}"</f>
        <v>,{"label":"SSO","id":"n36B26A4D_4DE5_4EE8_8425_C5A7DB251D84","url":"https://open-measure.atlassian.net/wiki/spaces/DIC/pages/5965562/System"}</v>
      </c>
      <c r="E410" s="2"/>
    </row>
    <row r="411" spans="1:5" ht="13.9" thickTop="1" thickBot="1" x14ac:dyDescent="0.4">
      <c r="A411" s="3" t="str">
        <f>NodesData[[#This Row],[Common Name]]</f>
        <v>SSO</v>
      </c>
      <c r="B411" s="23" t="str">
        <f>NodesData[[#This Row],[Node ID]]</f>
        <v>n5453D8E7_0829_46D3_846B_6D89F4AE4CFF</v>
      </c>
      <c r="C411" s="10" t="s">
        <v>1171</v>
      </c>
      <c r="D411" s="26" t="str" cm="1">
        <f t="array" ref="D411">IF(ROW(NodesJSON[[#This Row],[label]])&gt;ROW(NodesJSON[[#Headers],[JSON]])+1,",","") &amp;"{"&amp;twoRangesToJSON(NodesJSON[[#Headers],[label]:[url]],NodesJSON[[#This Row],[label]:[url]])&amp;"}"</f>
        <v>,{"label":"SSO","id":"n5453D8E7_0829_46D3_846B_6D89F4AE4CFF","url":"https://open-measure.atlassian.net/wiki/spaces/DIC/pages/446824644/System+Boundaries"}</v>
      </c>
      <c r="E411" s="2"/>
    </row>
    <row r="412" spans="1:5" ht="13.9" thickTop="1" thickBot="1" x14ac:dyDescent="0.4">
      <c r="A412" s="3" t="str">
        <f>NodesData[[#This Row],[Common Name]]</f>
        <v>Stability of Access Decision Factors</v>
      </c>
      <c r="B412" s="23" t="str">
        <f>NodesData[[#This Row],[Node ID]]</f>
        <v>n0219DCF8_A0BC_4743_BBAA_4F0ADEC98D8A</v>
      </c>
      <c r="C412" s="10" t="s">
        <v>1173</v>
      </c>
      <c r="D412" s="26" t="str" cm="1">
        <f t="array" ref="D412">IF(ROW(NodesJSON[[#This Row],[label]])&gt;ROW(NodesJSON[[#Headers],[JSON]])+1,",","") &amp;"{"&amp;twoRangesToJSON(NodesJSON[[#Headers],[label]:[url]],NodesJSON[[#This Row],[label]:[url]])&amp;"}"</f>
        <v>,{"label":"Stability of Access Decision Factors","id":"n0219DCF8_A0BC_4743_BBAA_4F0ADEC98D8A","url":"https://open-measure.atlassian.net/wiki/spaces/DIC/pages/206372869"}</v>
      </c>
      <c r="E412" s="2"/>
    </row>
    <row r="413" spans="1:5" ht="13.9" thickTop="1" thickBot="1" x14ac:dyDescent="0.4">
      <c r="A413" s="3" t="str">
        <f>NodesData[[#This Row],[Common Name]]</f>
        <v>Stakeholder</v>
      </c>
      <c r="B413" s="23" t="str">
        <f>NodesData[[#This Row],[Node ID]]</f>
        <v>n545A7A4F_E40A_4229_9889_14B9524363FA</v>
      </c>
      <c r="C413" s="10" t="s">
        <v>1175</v>
      </c>
      <c r="D413" s="26" t="str" cm="1">
        <f t="array" ref="D413">IF(ROW(NodesJSON[[#This Row],[label]])&gt;ROW(NodesJSON[[#Headers],[JSON]])+1,",","") &amp;"{"&amp;twoRangesToJSON(NodesJSON[[#Headers],[label]:[url]],NodesJSON[[#This Row],[label]:[url]])&amp;"}"</f>
        <v>,{"label":"Stakeholder","id":"n545A7A4F_E40A_4229_9889_14B9524363FA","url":"https://open-measure.atlassian.net/wiki/spaces/DIC/pages/1004961963"}</v>
      </c>
      <c r="E413" s="2"/>
    </row>
    <row r="414" spans="1:5" ht="13.9" thickTop="1" thickBot="1" x14ac:dyDescent="0.4">
      <c r="A414" s="3" t="str">
        <f>NodesData[[#This Row],[Common Name]]</f>
        <v>Step-Up Authentication</v>
      </c>
      <c r="B414" s="23" t="str">
        <f>NodesData[[#This Row],[Node ID]]</f>
        <v>n57ECA222_A996_4EAF_82B4_F90085182E5A</v>
      </c>
      <c r="C414" s="10" t="s">
        <v>1177</v>
      </c>
      <c r="D414" s="26" t="str" cm="1">
        <f t="array" ref="D414">IF(ROW(NodesJSON[[#This Row],[label]])&gt;ROW(NodesJSON[[#Headers],[JSON]])+1,",","") &amp;"{"&amp;twoRangesToJSON(NodesJSON[[#Headers],[label]:[url]],NodesJSON[[#This Row],[label]:[url]])&amp;"}"</f>
        <v>,{"label":"Step-Up Authentication","id":"n57ECA222_A996_4EAF_82B4_F90085182E5A","url":"https://open-measure.atlassian.net/wiki/spaces/DIC/pages/1226571890"}</v>
      </c>
      <c r="E414" s="2"/>
    </row>
    <row r="415" spans="1:5" ht="13.9" thickTop="1" thickBot="1" x14ac:dyDescent="0.4">
      <c r="A415" s="3" t="str">
        <f>NodesData[[#This Row],[Common Name]]</f>
        <v>Strategic Performance Measurement System</v>
      </c>
      <c r="B415" s="23" t="str">
        <f>NodesData[[#This Row],[Node ID]]</f>
        <v>nD412B947_EA40_439A_B717_8C39D2BC4CB9</v>
      </c>
      <c r="C415" s="4"/>
      <c r="D415" s="26" t="str" cm="1">
        <f t="array" ref="D415">IF(ROW(NodesJSON[[#This Row],[label]])&gt;ROW(NodesJSON[[#Headers],[JSON]])+1,",","") &amp;"{"&amp;twoRangesToJSON(NodesJSON[[#Headers],[label]:[url]],NodesJSON[[#This Row],[label]:[url]])&amp;"}"</f>
        <v>,{"label":"Strategic Performance Measurement System","id":"nD412B947_EA40_439A_B717_8C39D2BC4CB9","url":""}</v>
      </c>
      <c r="E415" s="2"/>
    </row>
    <row r="416" spans="1:5" ht="13.9" thickTop="1" thickBot="1" x14ac:dyDescent="0.4">
      <c r="A416" s="3" t="str">
        <f>NodesData[[#This Row],[Common Name]]</f>
        <v>Strict Discretionary Access Control</v>
      </c>
      <c r="B416" s="23" t="str">
        <f>NodesData[[#This Row],[Node ID]]</f>
        <v>n1678B11E_DE4E_4E9D_959E_B70C80A07265</v>
      </c>
      <c r="C416" s="10" t="s">
        <v>1179</v>
      </c>
      <c r="D416" s="26" t="str" cm="1">
        <f t="array" ref="D416">IF(ROW(NodesJSON[[#This Row],[label]])&gt;ROW(NodesJSON[[#Headers],[JSON]])+1,",","") &amp;"{"&amp;twoRangesToJSON(NodesJSON[[#Headers],[label]:[url]],NodesJSON[[#This Row],[label]:[url]])&amp;"}"</f>
        <v>,{"label":"Strict Discretionary Access Control","id":"n1678B11E_DE4E_4E9D_959E_B70C80A07265","url":"https://open-measure.atlassian.net/wiki/spaces/DIC/pages/1122631693"}</v>
      </c>
      <c r="E416" s="2"/>
    </row>
    <row r="417" spans="1:5" ht="13.9" thickTop="1" thickBot="1" x14ac:dyDescent="0.4">
      <c r="A417" s="3" t="str">
        <f>NodesData[[#This Row],[Common Name]]</f>
        <v>Strong Authentication</v>
      </c>
      <c r="B417" s="23" t="str">
        <f>NodesData[[#This Row],[Node ID]]</f>
        <v>n7A087586_32C2_44CA_B3C5_9B643CFB3E63</v>
      </c>
      <c r="C417" s="10" t="s">
        <v>1159</v>
      </c>
      <c r="D417" s="26" t="str" cm="1">
        <f t="array" ref="D417">IF(ROW(NodesJSON[[#This Row],[label]])&gt;ROW(NodesJSON[[#Headers],[JSON]])+1,",","") &amp;"{"&amp;twoRangesToJSON(NodesJSON[[#Headers],[label]:[url]],NodesJSON[[#This Row],[label]:[url]])&amp;"}"</f>
        <v>,{"label":"Strong Authentication","id":"n7A087586_32C2_44CA_B3C5_9B643CFB3E63","url":"https://open-measure.atlassian.net/wiki/spaces/DIC/pages/81199126"}</v>
      </c>
      <c r="E417" s="2"/>
    </row>
    <row r="418" spans="1:5" ht="13.9" thickTop="1" thickBot="1" x14ac:dyDescent="0.4">
      <c r="A418" s="3" t="str">
        <f>NodesData[[#This Row],[Common Name]]</f>
        <v>Strong Tranquility Property</v>
      </c>
      <c r="B418" s="23" t="str">
        <f>NodesData[[#This Row],[Node ID]]</f>
        <v>n54565563_BC74_470C_A56B_A1B9C7F1324E</v>
      </c>
      <c r="D418" s="26" t="str" cm="1">
        <f t="array" ref="D418">IF(ROW(NodesJSON[[#This Row],[label]])&gt;ROW(NodesJSON[[#Headers],[JSON]])+1,",","") &amp;"{"&amp;twoRangesToJSON(NodesJSON[[#Headers],[label]:[url]],NodesJSON[[#This Row],[label]:[url]])&amp;"}"</f>
        <v>,{"label":"Strong Tranquility Property","id":"n54565563_BC74_470C_A56B_A1B9C7F1324E","url":""}</v>
      </c>
      <c r="E418" s="2"/>
    </row>
    <row r="419" spans="1:5" ht="13.9" thickTop="1" thickBot="1" x14ac:dyDescent="0.4">
      <c r="A419" s="3" t="str">
        <f>NodesData[[#This Row],[Common Name]]</f>
        <v>Subject</v>
      </c>
      <c r="B419" s="23" t="str">
        <f>NodesData[[#This Row],[Node ID]]</f>
        <v>nB7ADCBF6_0721_463C_82E5_DBB277A6AEE9</v>
      </c>
      <c r="C419" s="8"/>
      <c r="D419" s="26" t="str" cm="1">
        <f t="array" ref="D419">IF(ROW(NodesJSON[[#This Row],[label]])&gt;ROW(NodesJSON[[#Headers],[JSON]])+1,",","") &amp;"{"&amp;twoRangesToJSON(NodesJSON[[#Headers],[label]:[url]],NodesJSON[[#This Row],[label]:[url]])&amp;"}"</f>
        <v>,{"label":"Subject","id":"nB7ADCBF6_0721_463C_82E5_DBB277A6AEE9","url":""}</v>
      </c>
      <c r="E419" s="2"/>
    </row>
    <row r="420" spans="1:5" ht="13.9" thickTop="1" thickBot="1" x14ac:dyDescent="0.4">
      <c r="A420" s="3" t="str">
        <f>NodesData[[#This Row],[Common Name]]</f>
        <v>Subjective Indicator</v>
      </c>
      <c r="B420" s="23" t="str">
        <f>NodesData[[#This Row],[Node ID]]</f>
        <v>nE6B7AC16_FE87_47A2_899A_64FC08C8DD98</v>
      </c>
      <c r="C420" s="8"/>
      <c r="D420" s="26" t="str" cm="1">
        <f t="array" ref="D420">IF(ROW(NodesJSON[[#This Row],[label]])&gt;ROW(NodesJSON[[#Headers],[JSON]])+1,",","") &amp;"{"&amp;twoRangesToJSON(NodesJSON[[#Headers],[label]:[url]],NodesJSON[[#This Row],[label]:[url]])&amp;"}"</f>
        <v>,{"label":"Subjective Indicator","id":"nE6B7AC16_FE87_47A2_899A_64FC08C8DD98","url":""}</v>
      </c>
      <c r="E420" s="2"/>
    </row>
    <row r="421" spans="1:5" ht="13.9" thickTop="1" thickBot="1" x14ac:dyDescent="0.4">
      <c r="A421" s="3" t="str">
        <f>NodesData[[#This Row],[Common Name]]</f>
        <v>Supply Chain Attack</v>
      </c>
      <c r="B421" s="23" t="str">
        <f>NodesData[[#This Row],[Node ID]]</f>
        <v>n3A185D2E_8467_4AA3_9CDB_FB22389BF715</v>
      </c>
      <c r="C421" s="10" t="s">
        <v>1181</v>
      </c>
      <c r="D421" s="26" t="str" cm="1">
        <f t="array" ref="D421">IF(ROW(NodesJSON[[#This Row],[label]])&gt;ROW(NodesJSON[[#Headers],[JSON]])+1,",","") &amp;"{"&amp;twoRangesToJSON(NodesJSON[[#Headers],[label]:[url]],NodesJSON[[#This Row],[label]:[url]])&amp;"}"</f>
        <v>,{"label":"Supply Chain Attack","id":"n3A185D2E_8467_4AA3_9CDB_FB22389BF715","url":"https://open-measure.atlassian.net/wiki/spaces/DIC/pages/1130954862"}</v>
      </c>
      <c r="E421" s="2"/>
    </row>
    <row r="422" spans="1:5" ht="13.9" thickTop="1" thickBot="1" x14ac:dyDescent="0.4">
      <c r="A422" s="3" t="str">
        <f>NodesData[[#This Row],[Common Name]]</f>
        <v>Sybil Attack</v>
      </c>
      <c r="B422" s="23" t="str">
        <f>NodesData[[#This Row],[Node ID]]</f>
        <v>n0FECC4A6_A665_444E_BE48_8AA390BB1974</v>
      </c>
      <c r="C422" s="10" t="s">
        <v>1182</v>
      </c>
      <c r="D422" s="26" t="str" cm="1">
        <f t="array" ref="D422">IF(ROW(NodesJSON[[#This Row],[label]])&gt;ROW(NodesJSON[[#Headers],[JSON]])+1,",","") &amp;"{"&amp;twoRangesToJSON(NodesJSON[[#Headers],[label]:[url]],NodesJSON[[#This Row],[label]:[url]])&amp;"}"</f>
        <v>,{"label":"Sybil Attack","id":"n0FECC4A6_A665_444E_BE48_8AA390BB1974","url":"https://open-measure.atlassian.net/wiki/spaces/DIC/pages/360467"}</v>
      </c>
      <c r="E422" s="2"/>
    </row>
    <row r="423" spans="1:5" ht="13.9" thickTop="1" thickBot="1" x14ac:dyDescent="0.4">
      <c r="A423" s="3" t="str">
        <f>NodesData[[#This Row],[Common Name]]</f>
        <v>Synthetic Identity Fraud</v>
      </c>
      <c r="B423" s="23" t="str">
        <f>NodesData[[#This Row],[Node ID]]</f>
        <v>nD9FD15A1_6465_481B_B71D_ADCD17B9954F</v>
      </c>
      <c r="C423" s="10" t="s">
        <v>1183</v>
      </c>
      <c r="D423" s="26" t="str" cm="1">
        <f t="array" ref="D423">IF(ROW(NodesJSON[[#This Row],[label]])&gt;ROW(NodesJSON[[#Headers],[JSON]])+1,",","") &amp;"{"&amp;twoRangesToJSON(NodesJSON[[#Headers],[label]:[url]],NodesJSON[[#This Row],[label]:[url]])&amp;"}"</f>
        <v>,{"label":"Synthetic Identity Fraud","id":"nD9FD15A1_6465_481B_B71D_ADCD17B9954F","url":"https://open-measure.atlassian.net/wiki/spaces/DIC/pages/1237582070/Tranquil"}</v>
      </c>
      <c r="E423" s="2"/>
    </row>
    <row r="424" spans="1:5" ht="13.9" thickTop="1" thickBot="1" x14ac:dyDescent="0.4">
      <c r="A424" s="3" t="str">
        <f>NodesData[[#This Row],[Common Name]]</f>
        <v>System</v>
      </c>
      <c r="B424" s="23" t="str">
        <f>NodesData[[#This Row],[Node ID]]</f>
        <v>nFC4AFBE3_7D71_456A_AFC1_16F1F34558F5</v>
      </c>
      <c r="C424" s="10" t="s">
        <v>1185</v>
      </c>
      <c r="D424" s="26" t="str" cm="1">
        <f t="array" ref="D424">IF(ROW(NodesJSON[[#This Row],[label]])&gt;ROW(NodesJSON[[#Headers],[JSON]])+1,",","") &amp;"{"&amp;twoRangesToJSON(NodesJSON[[#Headers],[label]:[url]],NodesJSON[[#This Row],[label]:[url]])&amp;"}"</f>
        <v>,{"label":"System","id":"nFC4AFBE3_7D71_456A_AFC1_16F1F34558F5","url":"https://open-measure.atlassian.net/wiki/spaces/DIC/pages/1237483759"}</v>
      </c>
      <c r="E424" s="2"/>
    </row>
    <row r="425" spans="1:5" ht="13.9" thickTop="1" thickBot="1" x14ac:dyDescent="0.4">
      <c r="A425" s="3" t="str">
        <f>NodesData[[#This Row],[Common Name]]</f>
        <v>System Boundaries</v>
      </c>
      <c r="B425" s="23" t="str">
        <f>NodesData[[#This Row],[Node ID]]</f>
        <v>n31C5E305_499C_46E4_98C8_6261960997B6</v>
      </c>
      <c r="C425" s="10" t="s">
        <v>1187</v>
      </c>
      <c r="D425" s="26" t="str" cm="1">
        <f t="array" ref="D425">IF(ROW(NodesJSON[[#This Row],[label]])&gt;ROW(NodesJSON[[#Headers],[JSON]])+1,",","") &amp;"{"&amp;twoRangesToJSON(NodesJSON[[#Headers],[label]:[url]],NodesJSON[[#This Row],[label]:[url]])&amp;"}"</f>
        <v>,{"label":"System Boundaries","id":"n31C5E305_499C_46E4_98C8_6261960997B6","url":"https://open-measure.atlassian.net/wiki/spaces/DIC/pages/1181876587"}</v>
      </c>
      <c r="E425" s="2"/>
    </row>
    <row r="426" spans="1:5" ht="13.9" thickTop="1" thickBot="1" x14ac:dyDescent="0.4">
      <c r="A426" s="3" t="str">
        <f>NodesData[[#This Row],[Common Name]]</f>
        <v>System for Cross-domain Identity Management</v>
      </c>
      <c r="B426" s="23" t="str">
        <f>NodesData[[#This Row],[Node ID]]</f>
        <v>nFA34207B_F87E_487A_A8A3_4664359FB1CD</v>
      </c>
      <c r="C426" s="10" t="s">
        <v>1188</v>
      </c>
      <c r="D426" s="26" t="str" cm="1">
        <f t="array" ref="D426">IF(ROW(NodesJSON[[#This Row],[label]])&gt;ROW(NodesJSON[[#Headers],[JSON]])+1,",","") &amp;"{"&amp;twoRangesToJSON(NodesJSON[[#Headers],[label]:[url]],NodesJSON[[#This Row],[label]:[url]])&amp;"}"</f>
        <v>,{"label":"System for Cross-domain Identity Management","id":"nFA34207B_F87E_487A_A8A3_4664359FB1CD","url":"https://open-measure.atlassian.net/wiki/spaces/DIC/pages/1037926452/Trust"}</v>
      </c>
      <c r="E426" s="2"/>
    </row>
    <row r="427" spans="1:5" ht="13.9" thickTop="1" thickBot="1" x14ac:dyDescent="0.4">
      <c r="A427" s="3" t="str">
        <f>NodesData[[#This Row],[Common Name]]</f>
        <v>System Owner</v>
      </c>
      <c r="B427" s="23" t="str">
        <f>NodesData[[#This Row],[Node ID]]</f>
        <v>nC9A420A4_4B49_4499_BCB2_7C9AD66395E7</v>
      </c>
      <c r="C427" s="10" t="s">
        <v>1190</v>
      </c>
      <c r="D427" s="26" t="str" cm="1">
        <f t="array" ref="D427">IF(ROW(NodesJSON[[#This Row],[label]])&gt;ROW(NodesJSON[[#Headers],[JSON]])+1,",","") &amp;"{"&amp;twoRangesToJSON(NodesJSON[[#Headers],[label]:[url]],NodesJSON[[#This Row],[label]:[url]])&amp;"}"</f>
        <v>,{"label":"System Owner","id":"nC9A420A4_4B49_4499_BCB2_7C9AD66395E7","url":"https://open-measure.atlassian.net/wiki/spaces/DIC/pages/1027048185"}</v>
      </c>
      <c r="E427" s="2"/>
    </row>
    <row r="428" spans="1:5" ht="13.9" thickTop="1" thickBot="1" x14ac:dyDescent="0.4">
      <c r="A428" s="3" t="str">
        <f>NodesData[[#This Row],[Common Name]]</f>
        <v>System Z</v>
      </c>
      <c r="B428" s="23" t="str">
        <f>NodesData[[#This Row],[Node ID]]</f>
        <v>n6935A8E7_1B1E_43B2_B342_5B9C31895DD1</v>
      </c>
      <c r="C428" s="10" t="s">
        <v>1192</v>
      </c>
      <c r="D428" s="26" t="str" cm="1">
        <f t="array" ref="D428">IF(ROW(NodesJSON[[#This Row],[label]])&gt;ROW(NodesJSON[[#Headers],[JSON]])+1,",","") &amp;"{"&amp;twoRangesToJSON(NodesJSON[[#Headers],[label]:[url]],NodesJSON[[#This Row],[label]:[url]])&amp;"}"</f>
        <v>,{"label":"System Z","id":"n6935A8E7_1B1E_43B2_B342_5B9C31895DD1","url":"https://open-measure.atlassian.net/wiki/spaces/DIC/pages/1027048128"}</v>
      </c>
      <c r="E428" s="2"/>
    </row>
    <row r="429" spans="1:5" ht="13.9" thickTop="1" thickBot="1" x14ac:dyDescent="0.4">
      <c r="A429" s="3" t="str">
        <f>NodesData[[#This Row],[Common Name]]</f>
        <v>TAN List OTP</v>
      </c>
      <c r="B429" s="23" t="str">
        <f>NodesData[[#This Row],[Node ID]]</f>
        <v>nACEE5BE1_AEF4_45DF_A913_1C3530C50C54</v>
      </c>
      <c r="C429" s="10" t="s">
        <v>1194</v>
      </c>
      <c r="D429" s="26" t="str" cm="1">
        <f t="array" ref="D429">IF(ROW(NodesJSON[[#This Row],[label]])&gt;ROW(NodesJSON[[#Headers],[JSON]])+1,",","") &amp;"{"&amp;twoRangesToJSON(NodesJSON[[#Headers],[label]:[url]],NodesJSON[[#This Row],[label]:[url]])&amp;"}"</f>
        <v>,{"label":"TAN List OTP","id":"nACEE5BE1_AEF4_45DF_A913_1C3530C50C54","url":"https://open-measure.atlassian.net/wiki/spaces/DIC/pages/1027048209"}</v>
      </c>
      <c r="E429" s="2"/>
    </row>
    <row r="430" spans="1:5" ht="13.9" thickTop="1" thickBot="1" x14ac:dyDescent="0.4">
      <c r="A430" s="3" t="str">
        <f>NodesData[[#This Row],[Common Name]]</f>
        <v>Task-Based Access Control</v>
      </c>
      <c r="B430" s="23" t="str">
        <f>NodesData[[#This Row],[Node ID]]</f>
        <v>n351C03A9_7E95_4292_8F00_0D294823C744</v>
      </c>
      <c r="C430" s="10" t="s">
        <v>1196</v>
      </c>
      <c r="D430" s="26" t="str" cm="1">
        <f t="array" ref="D430">IF(ROW(NodesJSON[[#This Row],[label]])&gt;ROW(NodesJSON[[#Headers],[JSON]])+1,",","") &amp;"{"&amp;twoRangesToJSON(NodesJSON[[#Headers],[label]:[url]],NodesJSON[[#This Row],[label]:[url]])&amp;"}"</f>
        <v>,{"label":"Task-Based Access Control","id":"n351C03A9_7E95_4292_8F00_0D294823C744","url":"https://open-measure.atlassian.net/wiki/spaces/DIC/pages/1031242345"}</v>
      </c>
      <c r="E430" s="2"/>
    </row>
    <row r="431" spans="1:5" ht="13.9" thickTop="1" thickBot="1" x14ac:dyDescent="0.4">
      <c r="A431" s="3" t="str">
        <f>NodesData[[#This Row],[Common Name]]</f>
        <v>Text Password Authentication</v>
      </c>
      <c r="B431" s="23" t="str">
        <f>NodesData[[#This Row],[Node ID]]</f>
        <v>nB34CDBC0_988E_401A_93CC_C6103DC30B68</v>
      </c>
      <c r="C431" s="10" t="s">
        <v>1197</v>
      </c>
      <c r="D431" s="26" t="str" cm="1">
        <f t="array" ref="D431">IF(ROW(NodesJSON[[#This Row],[label]])&gt;ROW(NodesJSON[[#Headers],[JSON]])+1,",","") &amp;"{"&amp;twoRangesToJSON(NodesJSON[[#Headers],[label]:[url]],NodesJSON[[#This Row],[label]:[url]])&amp;"}"</f>
        <v>,{"label":"Text Password Authentication","id":"nB34CDBC0_988E_401A_93CC_C6103DC30B68","url":"https://open-measure.atlassian.net/wiki/spaces/DIC/pages/1417084929/Typing+Biometrics"}</v>
      </c>
      <c r="E431" s="2"/>
    </row>
    <row r="432" spans="1:5" ht="13.9" thickTop="1" thickBot="1" x14ac:dyDescent="0.4">
      <c r="A432" s="3" t="str">
        <f>NodesData[[#This Row],[Common Name]]</f>
        <v>Threat Agent</v>
      </c>
      <c r="B432" s="23" t="str">
        <f>NodesData[[#This Row],[Node ID]]</f>
        <v>n385B2A02_580E_49B6_8C97_A00DC541C516</v>
      </c>
      <c r="C432" s="10" t="s">
        <v>1199</v>
      </c>
      <c r="D432" s="26" t="str" cm="1">
        <f t="array" ref="D432">IF(ROW(NodesJSON[[#This Row],[label]])&gt;ROW(NodesJSON[[#Headers],[JSON]])+1,",","") &amp;"{"&amp;twoRangesToJSON(NodesJSON[[#Headers],[label]:[url]],NodesJSON[[#This Row],[label]:[url]])&amp;"}"</f>
        <v>,{"label":"Threat Agent","id":"n385B2A02_580E_49B6_8C97_A00DC541C516","url":"https://open-measure.atlassian.net/wiki/spaces/DIC/pages/140673267"}</v>
      </c>
      <c r="E432" s="2"/>
    </row>
    <row r="433" spans="1:5" ht="13.9" thickTop="1" thickBot="1" x14ac:dyDescent="0.4">
      <c r="A433" s="3" t="str">
        <f>NodesData[[#This Row],[Common Name]]</f>
        <v>Time Factor</v>
      </c>
      <c r="B433" s="23" t="str">
        <f>NodesData[[#This Row],[Node ID]]</f>
        <v>nF44C30A8_A797_4F0C_9C18_D87E7D5A8B88</v>
      </c>
      <c r="C433" s="10" t="s">
        <v>1200</v>
      </c>
      <c r="D433" s="26" t="str" cm="1">
        <f t="array" ref="D433">IF(ROW(NodesJSON[[#This Row],[label]])&gt;ROW(NodesJSON[[#Headers],[JSON]])+1,",","") &amp;"{"&amp;twoRangesToJSON(NodesJSON[[#Headers],[label]:[url]],NodesJSON[[#This Row],[label]:[url]])&amp;"}"</f>
        <v>,{"label":"Time Factor","id":"nF44C30A8_A797_4F0C_9C18_D87E7D5A8B88","url":"https://open-measure.atlassian.net/wiki/spaces/DIC/pages/1027080193/Unanticipated+User"}</v>
      </c>
      <c r="E433" s="2"/>
    </row>
    <row r="434" spans="1:5" ht="13.9" thickTop="1" thickBot="1" x14ac:dyDescent="0.4">
      <c r="A434" s="3" t="str">
        <f>NodesData[[#This Row],[Common Name]]</f>
        <v>Token-Based Authentication</v>
      </c>
      <c r="B434" s="23" t="str">
        <f>NodesData[[#This Row],[Node ID]]</f>
        <v>n1A55C21B_DE0A_4FE1_A1DF_11745E5BD4FF</v>
      </c>
      <c r="C434" s="4"/>
      <c r="D434" s="26" t="str" cm="1">
        <f t="array" ref="D434">IF(ROW(NodesJSON[[#This Row],[label]])&gt;ROW(NodesJSON[[#Headers],[JSON]])+1,",","") &amp;"{"&amp;twoRangesToJSON(NodesJSON[[#Headers],[label]:[url]],NodesJSON[[#This Row],[label]:[url]])&amp;"}"</f>
        <v>,{"label":"Token-Based Authentication","id":"n1A55C21B_DE0A_4FE1_A1DF_11745E5BD4FF","url":""}</v>
      </c>
      <c r="E434" s="2"/>
    </row>
    <row r="435" spans="1:5" ht="13.9" thickTop="1" thickBot="1" x14ac:dyDescent="0.4">
      <c r="A435" s="3" t="str">
        <f>NodesData[[#This Row],[Common Name]]</f>
        <v>Touchstroke Recognition Authentication</v>
      </c>
      <c r="B435" s="23" t="str">
        <f>NodesData[[#This Row],[Node ID]]</f>
        <v>n2F27DDAD_459D_4B06_9152_168BDF5063F5</v>
      </c>
      <c r="C435" s="10" t="s">
        <v>1202</v>
      </c>
      <c r="D435" s="26" t="str" cm="1">
        <f t="array" ref="D435">IF(ROW(NodesJSON[[#This Row],[label]])&gt;ROW(NodesJSON[[#Headers],[JSON]])+1,",","") &amp;"{"&amp;twoRangesToJSON(NodesJSON[[#Headers],[label]:[url]],NodesJSON[[#This Row],[label]:[url]])&amp;"}"</f>
        <v>,{"label":"Touchstroke Recognition Authentication","id":"n2F27DDAD_459D_4B06_9152_168BDF5063F5","url":"https://open-measure.atlassian.net/wiki/spaces/DIC/pages/446955662/Unique+ID+Number"}</v>
      </c>
      <c r="E435" s="2"/>
    </row>
    <row r="436" spans="1:5" ht="13.9" thickTop="1" thickBot="1" x14ac:dyDescent="0.4">
      <c r="A436" s="3" t="str">
        <f>NodesData[[#This Row],[Common Name]]</f>
        <v>Toxic Combinations</v>
      </c>
      <c r="B436" s="23" t="str">
        <f>NodesData[[#This Row],[Node ID]]</f>
        <v>n88E112AD_03BC_452F_B011_4262CD8C0BF3</v>
      </c>
      <c r="C436" s="10" t="s">
        <v>1203</v>
      </c>
      <c r="D436" s="26" t="str" cm="1">
        <f t="array" ref="D436">IF(ROW(NodesJSON[[#This Row],[label]])&gt;ROW(NodesJSON[[#Headers],[JSON]])+1,",","") &amp;"{"&amp;twoRangesToJSON(NodesJSON[[#Headers],[label]:[url]],NodesJSON[[#This Row],[label]:[url]])&amp;"}"</f>
        <v>,{"label":"Toxic Combinations","id":"n88E112AD_03BC_452F_B011_4262CD8C0BF3","url":"https://open-measure.atlassian.net/wiki/spaces/DIC/pages/1477902414/Unprivileged+Insider"}</v>
      </c>
      <c r="E436" s="2"/>
    </row>
    <row r="437" spans="1:5" ht="13.9" thickTop="1" thickBot="1" x14ac:dyDescent="0.4">
      <c r="A437" s="3" t="str">
        <f>NodesData[[#This Row],[Common Name]]</f>
        <v>Toxic Right Rule (Definition)</v>
      </c>
      <c r="B437" s="23" t="str">
        <f>NodesData[[#This Row],[Node ID]]</f>
        <v>n0A784E7B_0620_41F8_886C_EE73E3D5B725</v>
      </c>
      <c r="C437" s="10" t="s">
        <v>1204</v>
      </c>
      <c r="D437" s="26" t="str" cm="1">
        <f t="array" ref="D437">IF(ROW(NodesJSON[[#This Row],[label]])&gt;ROW(NodesJSON[[#Headers],[JSON]])+1,",","") &amp;"{"&amp;twoRangesToJSON(NodesJSON[[#Headers],[label]:[url]],NodesJSON[[#This Row],[label]:[url]])&amp;"}"</f>
        <v>,{"label":"Toxic Right Rule (Definition)","id":"n0A784E7B_0620_41F8_886C_EE73E3D5B725","url":"https://open-measure.atlassian.net/wiki/spaces/DIC/pages/82839586/User"}</v>
      </c>
      <c r="E437" s="2"/>
    </row>
    <row r="438" spans="1:5" ht="13.9" thickTop="1" thickBot="1" x14ac:dyDescent="0.4">
      <c r="A438" s="3" t="str">
        <f>NodesData[[#This Row],[Common Name]]</f>
        <v>Tranquil</v>
      </c>
      <c r="B438" s="23" t="str">
        <f>NodesData[[#This Row],[Node ID]]</f>
        <v>nEA19C95D_BE71_4511_BD9B_2BAB20932E47</v>
      </c>
      <c r="C438" s="10" t="s">
        <v>1205</v>
      </c>
      <c r="D438" s="26" t="str" cm="1">
        <f t="array" ref="D438">IF(ROW(NodesJSON[[#This Row],[label]])&gt;ROW(NodesJSON[[#Headers],[JSON]])+1,",","") &amp;"{"&amp;twoRangesToJSON(NodesJSON[[#Headers],[label]:[url]],NodesJSON[[#This Row],[label]:[url]])&amp;"}"</f>
        <v>,{"label":"Tranquil","id":"nEA19C95D_BE71_4511_BD9B_2BAB20932E47","url":"https://open-measure.atlassian.net/wiki/spaces/DIC/pages/1428587273/User+Account"}</v>
      </c>
      <c r="E438" s="2"/>
    </row>
    <row r="439" spans="1:5" ht="13.9" thickTop="1" thickBot="1" x14ac:dyDescent="0.4">
      <c r="A439" s="3" t="str">
        <f>NodesData[[#This Row],[Common Name]]</f>
        <v>Tranquility Principle</v>
      </c>
      <c r="B439" s="23" t="str">
        <f>NodesData[[#This Row],[Node ID]]</f>
        <v>nF8EFEF04_B182_49B6_873F_E26615F57EC1</v>
      </c>
      <c r="C439" s="10" t="s">
        <v>1211</v>
      </c>
      <c r="D439" s="26" t="str" cm="1">
        <f t="array" ref="D439">IF(ROW(NodesJSON[[#This Row],[label]])&gt;ROW(NodesJSON[[#Headers],[JSON]])+1,",","") &amp;"{"&amp;twoRangesToJSON(NodesJSON[[#Headers],[label]:[url]],NodesJSON[[#This Row],[label]:[url]])&amp;"}"</f>
        <v>,{"label":"Tranquility Principle","id":"nF8EFEF04_B182_49B6_873F_E26615F57EC1","url":"https://open-measure.atlassian.net/wiki/spaces/DIC/pages/1323597878/User-Centric+Identity+Management+System"}</v>
      </c>
      <c r="E439" s="2"/>
    </row>
    <row r="440" spans="1:5" ht="13.9" thickTop="1" thickBot="1" x14ac:dyDescent="0.4">
      <c r="A440" s="3" t="str">
        <f>NodesData[[#This Row],[Common Name]]</f>
        <v>Tranquility Property</v>
      </c>
      <c r="B440" s="23" t="str">
        <f>NodesData[[#This Row],[Node ID]]</f>
        <v>nC855E8C7_E00C_40A0_87CC_0A3D02D20B4E</v>
      </c>
      <c r="C440" s="10" t="s">
        <v>1206</v>
      </c>
      <c r="D440" s="26" t="str" cm="1">
        <f t="array" ref="D440">IF(ROW(NodesJSON[[#This Row],[label]])&gt;ROW(NodesJSON[[#Headers],[JSON]])+1,",","") &amp;"{"&amp;twoRangesToJSON(NodesJSON[[#Headers],[label]:[url]],NodesJSON[[#This Row],[label]:[url]])&amp;"}"</f>
        <v>,{"label":"Tranquility Property","id":"nC855E8C7_E00C_40A0_87CC_0A3D02D20B4E","url":"https://open-measure.atlassian.net/wiki/spaces/DIC/pages/1146847344/User+De-Provisioning"}</v>
      </c>
      <c r="E440" s="2"/>
    </row>
    <row r="441" spans="1:5" ht="13.9" thickTop="1" thickBot="1" x14ac:dyDescent="0.4">
      <c r="A441" s="3" t="str">
        <f>NodesData[[#This Row],[Common Name]]</f>
        <v>Trust</v>
      </c>
      <c r="B441" s="23" t="str">
        <f>NodesData[[#This Row],[Node ID]]</f>
        <v>nB2793506_A460_4407_B469_4566BAD26901</v>
      </c>
      <c r="C441" s="10" t="s">
        <v>1208</v>
      </c>
      <c r="D441" s="26" t="str" cm="1">
        <f t="array" ref="D441">IF(ROW(NodesJSON[[#This Row],[label]])&gt;ROW(NodesJSON[[#Headers],[JSON]])+1,",","") &amp;"{"&amp;twoRangesToJSON(NodesJSON[[#Headers],[label]:[url]],NodesJSON[[#This Row],[label]:[url]])&amp;"}"</f>
        <v>,{"label":"Trust","id":"nB2793506_A460_4407_B469_4566BAD26901","url":"https://open-measure.atlassian.net/wiki/spaces/DIC/pages/1121878257"}</v>
      </c>
      <c r="E441" s="2"/>
    </row>
    <row r="442" spans="1:5" ht="13.9" thickTop="1" thickBot="1" x14ac:dyDescent="0.4">
      <c r="A442" s="3" t="str">
        <f>NodesData[[#This Row],[Common Name]]</f>
        <v>Trust Asymmetry</v>
      </c>
      <c r="B442" s="23" t="str">
        <f>NodesData[[#This Row],[Node ID]]</f>
        <v>nC47D35F2_7A1A_41A1_8195_7670F9EF176A</v>
      </c>
      <c r="C442" s="10" t="s">
        <v>1209</v>
      </c>
      <c r="D442" s="26" t="str" cm="1">
        <f t="array" ref="D442">IF(ROW(NodesJSON[[#This Row],[label]])&gt;ROW(NodesJSON[[#Headers],[JSON]])+1,",","") &amp;"{"&amp;twoRangesToJSON(NodesJSON[[#Headers],[label]:[url]],NodesJSON[[#This Row],[label]:[url]])&amp;"}"</f>
        <v>,{"label":"Trust Asymmetry","id":"nC47D35F2_7A1A_41A1_8195_7670F9EF176A","url":"https://open-measure.atlassian.net/wiki/spaces/DIC/pages/1428652448/User+ID"}</v>
      </c>
      <c r="E442" s="2"/>
    </row>
    <row r="443" spans="1:5" ht="13.9" thickTop="1" thickBot="1" x14ac:dyDescent="0.4">
      <c r="A443" s="3" t="str">
        <f>NodesData[[#This Row],[Common Name]]</f>
        <v>Trust Composability</v>
      </c>
      <c r="B443" s="23" t="str">
        <f>NodesData[[#This Row],[Node ID]]</f>
        <v>n8641763B_1732_427E_AF37_EF5DD6632158</v>
      </c>
      <c r="C443" s="10" t="s">
        <v>1210</v>
      </c>
      <c r="D443" s="26" t="str" cm="1">
        <f t="array" ref="D443">IF(ROW(NodesJSON[[#This Row],[label]])&gt;ROW(NodesJSON[[#Headers],[JSON]])+1,",","") &amp;"{"&amp;twoRangesToJSON(NodesJSON[[#Headers],[label]:[url]],NodesJSON[[#This Row],[label]:[url]])&amp;"}"</f>
        <v>,{"label":"Trust Composability","id":"n8641763B_1732_427E_AF37_EF5DD6632158","url":"https://open-measure.atlassian.net/wiki/spaces/DIC/pages/1147043973/User+Provisioning"}</v>
      </c>
      <c r="E443" s="2"/>
    </row>
    <row r="444" spans="1:5" ht="13.9" thickTop="1" thickBot="1" x14ac:dyDescent="0.4">
      <c r="A444" s="3" t="str">
        <f>NodesData[[#This Row],[Common Name]]</f>
        <v>Trust Personalization</v>
      </c>
      <c r="B444" s="23" t="str">
        <f>NodesData[[#This Row],[Node ID]]</f>
        <v>n18083FD1_D5F0_4E0D_A480_197792E123C8</v>
      </c>
      <c r="C444" s="10" t="s">
        <v>1212</v>
      </c>
      <c r="D444" s="26" t="str" cm="1">
        <f t="array" ref="D444">IF(ROW(NodesJSON[[#This Row],[label]])&gt;ROW(NodesJSON[[#Headers],[JSON]])+1,",","") &amp;"{"&amp;twoRangesToJSON(NodesJSON[[#Headers],[label]:[url]],NodesJSON[[#This Row],[label]:[url]])&amp;"}"</f>
        <v>,{"label":"Trust Personalization","id":"n18083FD1_D5F0_4E0D_A480_197792E123C8","url":"https://open-measure.atlassian.net/wiki/spaces/DIC/pages/1428652183/Username"}</v>
      </c>
      <c r="E444" s="2"/>
    </row>
    <row r="445" spans="1:5" ht="13.9" thickTop="1" thickBot="1" x14ac:dyDescent="0.4">
      <c r="A445" s="3" t="str">
        <f>NodesData[[#This Row],[Common Name]]</f>
        <v>Trust Transitivity</v>
      </c>
      <c r="B445" s="23" t="str">
        <f>NodesData[[#This Row],[Node ID]]</f>
        <v>nCD00A5EF_798C_4F7D_9B92_119FBE900ECA</v>
      </c>
      <c r="C445" s="10" t="s">
        <v>1213</v>
      </c>
      <c r="D445" s="26" t="str" cm="1">
        <f t="array" ref="D445">IF(ROW(NodesJSON[[#This Row],[label]])&gt;ROW(NodesJSON[[#Headers],[JSON]])+1,",","") &amp;"{"&amp;twoRangesToJSON(NodesJSON[[#Headers],[label]:[url]],NodesJSON[[#This Row],[label]:[url]])&amp;"}"</f>
        <v>,{"label":"Trust Transitivity","id":"nCD00A5EF_798C_4F7D_9B92_119FBE900ECA","url":"https://open-measure.atlassian.net/wiki/spaces/DIC/pages/1311146179/Verifiable+Claim"}</v>
      </c>
      <c r="E445" s="2"/>
    </row>
    <row r="446" spans="1:5" ht="13.9" thickTop="1" thickBot="1" x14ac:dyDescent="0.4">
      <c r="A446" s="3" t="str">
        <f>NodesData[[#This Row],[Common Name]]</f>
        <v>Typing Biometrics</v>
      </c>
      <c r="B446" s="23" t="str">
        <f>NodesData[[#This Row],[Node ID]]</f>
        <v>n09F029F1_A06C_4F7F_8CAF_95CAC4F6F97C</v>
      </c>
      <c r="C446" s="10" t="s">
        <v>1214</v>
      </c>
      <c r="D446" s="26" t="str" cm="1">
        <f t="array" ref="D446">IF(ROW(NodesJSON[[#This Row],[label]])&gt;ROW(NodesJSON[[#Headers],[JSON]])+1,",","") &amp;"{"&amp;twoRangesToJSON(NodesJSON[[#Headers],[label]:[url]],NodesJSON[[#This Row],[label]:[url]])&amp;"}"</f>
        <v>,{"label":"Typing Biometrics","id":"n09F029F1_A06C_4F7F_8CAF_95CAC4F6F97C","url":"https://open-measure.atlassian.net/wiki/spaces/DIC/pages/446988510/Verification"}</v>
      </c>
      <c r="E446" s="2"/>
    </row>
    <row r="447" spans="1:5" ht="13.9" thickTop="1" thickBot="1" x14ac:dyDescent="0.4">
      <c r="A447" s="3" t="str">
        <f>NodesData[[#This Row],[Common Name]]</f>
        <v>Typology</v>
      </c>
      <c r="B447" s="23" t="str">
        <f>NodesData[[#This Row],[Node ID]]</f>
        <v>n2E25798C_AEE6_442B_83C3_21A39D1F4E2E</v>
      </c>
      <c r="C447" s="10" t="s">
        <v>1216</v>
      </c>
      <c r="D447" s="26" t="str" cm="1">
        <f t="array" ref="D447">IF(ROW(NodesJSON[[#This Row],[label]])&gt;ROW(NodesJSON[[#Headers],[JSON]])+1,",","") &amp;"{"&amp;twoRangesToJSON(NodesJSON[[#Headers],[label]:[url]],NodesJSON[[#This Row],[label]:[url]])&amp;"}"</f>
        <v>,{"label":"Typology","id":"n2E25798C_AEE6_442B_83C3_21A39D1F4E2E","url":"https://open-measure.atlassian.net/wiki/spaces/DIC/pages/834044330"}</v>
      </c>
      <c r="E447" s="2"/>
    </row>
    <row r="448" spans="1:5" ht="13.9" thickTop="1" thickBot="1" x14ac:dyDescent="0.4">
      <c r="A448" s="3" t="str">
        <f>NodesData[[#This Row],[Common Name]]</f>
        <v>Unanticipated User</v>
      </c>
      <c r="B448" s="23" t="str">
        <f>NodesData[[#This Row],[Node ID]]</f>
        <v>n049772BC_8F65_4681_926F_AB741F518CEF</v>
      </c>
      <c r="C448" s="10" t="s">
        <v>1218</v>
      </c>
      <c r="D448" s="26" t="str" cm="1">
        <f t="array" ref="D448">IF(ROW(NodesJSON[[#This Row],[label]])&gt;ROW(NodesJSON[[#Headers],[JSON]])+1,",","") &amp;"{"&amp;twoRangesToJSON(NodesJSON[[#Headers],[label]:[url]],NodesJSON[[#This Row],[label]:[url]])&amp;"}"</f>
        <v>,{"label":"Unanticipated User","id":"n049772BC_8F65_4681_926F_AB741F518CEF","url":"https://open-measure.atlassian.net/wiki/spaces/DIC/pages/236748839"}</v>
      </c>
      <c r="E448" s="2"/>
    </row>
    <row r="449" spans="1:5" ht="13.9" thickTop="1" thickBot="1" x14ac:dyDescent="0.4">
      <c r="A449" s="3" t="str">
        <f>NodesData[[#This Row],[Common Name]]</f>
        <v>Unauthorized Access</v>
      </c>
      <c r="B449" s="23" t="str">
        <f>NodesData[[#This Row],[Node ID]]</f>
        <v>n79D52FB7_6D56_40B0_A404_F332AF6DE5A6</v>
      </c>
      <c r="C449" s="10" t="s">
        <v>1220</v>
      </c>
      <c r="D449" s="26" t="str" cm="1">
        <f t="array" ref="D449">IF(ROW(NodesJSON[[#This Row],[label]])&gt;ROW(NodesJSON[[#Headers],[JSON]])+1,",","") &amp;"{"&amp;twoRangesToJSON(NodesJSON[[#Headers],[label]:[url]],NodesJSON[[#This Row],[label]:[url]])&amp;"}"</f>
        <v>,{"label":"Unauthorized Access","id":"n79D52FB7_6D56_40B0_A404_F332AF6DE5A6","url":"https://open-measure.atlassian.net/wiki/spaces/DIC/pages/542146561"}</v>
      </c>
      <c r="E449" s="2"/>
    </row>
    <row r="450" spans="1:5" ht="13.9" thickTop="1" thickBot="1" x14ac:dyDescent="0.4">
      <c r="A450" s="3" t="str">
        <f>NodesData[[#This Row],[Common Name]]</f>
        <v>Unique ID Number</v>
      </c>
      <c r="B450" s="23" t="str">
        <f>NodesData[[#This Row],[Node ID]]</f>
        <v>nEE2DD2E7_A2A2_44AC_9F06_D2358264FA2D</v>
      </c>
      <c r="C450" s="8"/>
      <c r="D450" s="26" t="str" cm="1">
        <f t="array" ref="D450">IF(ROW(NodesJSON[[#This Row],[label]])&gt;ROW(NodesJSON[[#Headers],[JSON]])+1,",","") &amp;"{"&amp;twoRangesToJSON(NodesJSON[[#Headers],[label]:[url]],NodesJSON[[#This Row],[label]:[url]])&amp;"}"</f>
        <v>,{"label":"Unique ID Number","id":"nEE2DD2E7_A2A2_44AC_9F06_D2358264FA2D","url":""}</v>
      </c>
      <c r="E450" s="2"/>
    </row>
    <row r="451" spans="1:5" ht="13.9" thickTop="1" thickBot="1" x14ac:dyDescent="0.4">
      <c r="A451" s="3" t="str">
        <f>NodesData[[#This Row],[Common Name]]</f>
        <v>Unprivileged Insider</v>
      </c>
      <c r="B451" s="23" t="str">
        <f>NodesData[[#This Row],[Node ID]]</f>
        <v>n3D40EC0D_C7CE_4C19_B8E2_09518A62B569</v>
      </c>
      <c r="C451" s="10" t="s">
        <v>1201</v>
      </c>
      <c r="D451" s="26" t="str" cm="1">
        <f t="array" ref="D451">IF(ROW(NodesJSON[[#This Row],[label]])&gt;ROW(NodesJSON[[#Headers],[JSON]])+1,",","") &amp;"{"&amp;twoRangesToJSON(NodesJSON[[#Headers],[label]:[url]],NodesJSON[[#This Row],[label]:[url]])&amp;"}"</f>
        <v>,{"label":"Unprivileged Insider","id":"n3D40EC0D_C7CE_4C19_B8E2_09518A62B569","url":"https://open-measure.atlassian.net/wiki/spaces/DIC/pages/1231126540/Unauthorized+Access"}</v>
      </c>
      <c r="E451" s="2"/>
    </row>
    <row r="452" spans="1:5" ht="13.9" thickTop="1" thickBot="1" x14ac:dyDescent="0.4">
      <c r="A452" s="3" t="str">
        <f>NodesData[[#This Row],[Common Name]]</f>
        <v>User</v>
      </c>
      <c r="B452" s="23" t="str">
        <f>NodesData[[#This Row],[Node ID]]</f>
        <v>nA5E34595_12DD_4352_8631_FB7FFCBB533D</v>
      </c>
      <c r="C452" s="10" t="s">
        <v>1222</v>
      </c>
      <c r="D452" s="26" t="str" cm="1">
        <f t="array" ref="D452">IF(ROW(NodesJSON[[#This Row],[label]])&gt;ROW(NodesJSON[[#Headers],[JSON]])+1,",","") &amp;"{"&amp;twoRangesToJSON(NodesJSON[[#Headers],[label]:[url]],NodesJSON[[#This Row],[label]:[url]])&amp;"}"</f>
        <v>,{"label":"User","id":"nA5E34595_12DD_4352_8631_FB7FFCBB533D","url":"https://open-measure.atlassian.net/wiki/spaces/DIC/pages/234389605"}</v>
      </c>
      <c r="E452" s="2"/>
    </row>
    <row r="453" spans="1:5" ht="13.9" thickTop="1" thickBot="1" x14ac:dyDescent="0.4">
      <c r="A453" s="3" t="str">
        <f>NodesData[[#This Row],[Common Name]]</f>
        <v>User Account</v>
      </c>
      <c r="B453" s="23" t="str">
        <f>NodesData[[#This Row],[Node ID]]</f>
        <v>n6B5455A2_414F_4D8D_A36C_895CC996359A</v>
      </c>
      <c r="C453" s="4"/>
      <c r="D453" s="26" t="str" cm="1">
        <f t="array" ref="D453">IF(ROW(NodesJSON[[#This Row],[label]])&gt;ROW(NodesJSON[[#Headers],[JSON]])+1,",","") &amp;"{"&amp;twoRangesToJSON(NodesJSON[[#Headers],[label]:[url]],NodesJSON[[#This Row],[label]:[url]])&amp;"}"</f>
        <v>,{"label":"User Account","id":"n6B5455A2_414F_4D8D_A36C_895CC996359A","url":""}</v>
      </c>
      <c r="E453" s="2"/>
    </row>
    <row r="454" spans="1:5" ht="13.9" thickTop="1" thickBot="1" x14ac:dyDescent="0.4">
      <c r="A454" s="3" t="str">
        <f>NodesData[[#This Row],[Common Name]]</f>
        <v>User De-Provisioning</v>
      </c>
      <c r="B454" s="23" t="str">
        <f>NodesData[[#This Row],[Node ID]]</f>
        <v>n5BB42061_7CD1_4689_84B8_77016A34CE94</v>
      </c>
      <c r="C454" s="10" t="s">
        <v>1226</v>
      </c>
      <c r="D454" s="26" t="str" cm="1">
        <f t="array" ref="D454">IF(ROW(NodesJSON[[#This Row],[label]])&gt;ROW(NodesJSON[[#Headers],[JSON]])+1,",","") &amp;"{"&amp;twoRangesToJSON(NodesJSON[[#Headers],[label]:[url]],NodesJSON[[#This Row],[label]:[url]])&amp;"}"</f>
        <v>,{"label":"User De-Provisioning","id":"n5BB42061_7CD1_4689_84B8_77016A34CE94","url":"https://open-measure.atlassian.net/wiki/spaces/DIC/pages/1177845999"}</v>
      </c>
      <c r="E454" s="2"/>
    </row>
    <row r="455" spans="1:5" ht="13.9" thickTop="1" thickBot="1" x14ac:dyDescent="0.4">
      <c r="A455" s="3" t="str">
        <f>NodesData[[#This Row],[Common Name]]</f>
        <v>User Entitlement Reviews</v>
      </c>
      <c r="B455" s="23" t="str">
        <f>NodesData[[#This Row],[Node ID]]</f>
        <v>n50576DCB_DC90_4189_AEDA_22168AAD0DC2</v>
      </c>
      <c r="C455" s="10" t="s">
        <v>1228</v>
      </c>
      <c r="D455" s="26" t="str" cm="1">
        <f t="array" ref="D455">IF(ROW(NodesJSON[[#This Row],[label]])&gt;ROW(NodesJSON[[#Headers],[JSON]])+1,",","") &amp;"{"&amp;twoRangesToJSON(NodesJSON[[#Headers],[label]:[url]],NodesJSON[[#This Row],[label]:[url]])&amp;"}"</f>
        <v>,{"label":"User Entitlement Reviews","id":"n50576DCB_DC90_4189_AEDA_22168AAD0DC2","url":"https://open-measure.atlassian.net/wiki/spaces/DIC/pages/75923587"}</v>
      </c>
      <c r="E455" s="2"/>
    </row>
    <row r="456" spans="1:5" ht="13.9" thickTop="1" thickBot="1" x14ac:dyDescent="0.4">
      <c r="A456" s="3" t="str">
        <f>NodesData[[#This Row],[Common Name]]</f>
        <v>User ID</v>
      </c>
      <c r="B456" s="23" t="str">
        <f>NodesData[[#This Row],[Node ID]]</f>
        <v>n1148493D_DE5A_4FAF_941A_234122DBF560</v>
      </c>
      <c r="C456" s="10" t="s">
        <v>1230</v>
      </c>
      <c r="D456" s="26" t="str" cm="1">
        <f t="array" ref="D456">IF(ROW(NodesJSON[[#This Row],[label]])&gt;ROW(NodesJSON[[#Headers],[JSON]])+1,",","") &amp;"{"&amp;twoRangesToJSON(NodesJSON[[#Headers],[label]:[url]],NodesJSON[[#This Row],[label]:[url]])&amp;"}"</f>
        <v>,{"label":"User ID","id":"n1148493D_DE5A_4FAF_941A_234122DBF560","url":"https://open-measure.atlassian.net/wiki/spaces/DIC/pages/140673566"}</v>
      </c>
      <c r="E456" s="2"/>
    </row>
    <row r="457" spans="1:5" ht="13.9" thickTop="1" thickBot="1" x14ac:dyDescent="0.4">
      <c r="A457" s="3" t="str">
        <f>NodesData[[#This Row],[Common Name]]</f>
        <v>User Provisioning</v>
      </c>
      <c r="B457" s="23" t="str">
        <f>NodesData[[#This Row],[Node ID]]</f>
        <v>n67A7DB08_4CCF_4966_AEF4_89B2AC2A297A</v>
      </c>
      <c r="C457" s="10" t="s">
        <v>1232</v>
      </c>
      <c r="D457" s="26" t="str" cm="1">
        <f t="array" ref="D457">IF(ROW(NodesJSON[[#This Row],[label]])&gt;ROW(NodesJSON[[#Headers],[JSON]])+1,",","") &amp;"{"&amp;twoRangesToJSON(NodesJSON[[#Headers],[label]:[url]],NodesJSON[[#This Row],[label]:[url]])&amp;"}"</f>
        <v>,{"label":"User Provisioning","id":"n67A7DB08_4CCF_4966_AEF4_89B2AC2A297A","url":"https://open-measure.atlassian.net/wiki/spaces/DIC/pages/140739507"}</v>
      </c>
      <c r="E457" s="2"/>
    </row>
    <row r="458" spans="1:5" ht="13.9" thickTop="1" thickBot="1" x14ac:dyDescent="0.4">
      <c r="A458" s="3" t="str">
        <f>NodesData[[#This Row],[Common Name]]</f>
        <v>User-Centric Identity Management System</v>
      </c>
      <c r="B458" s="23" t="str">
        <f>NodesData[[#This Row],[Node ID]]</f>
        <v>nC19BDC8E_5AE1_49EE_B831_B43B924ECC1B</v>
      </c>
      <c r="C458" s="10" t="s">
        <v>1234</v>
      </c>
      <c r="D458" s="26" t="str" cm="1">
        <f t="array" ref="D458">IF(ROW(NodesJSON[[#This Row],[label]])&gt;ROW(NodesJSON[[#Headers],[JSON]])+1,",","") &amp;"{"&amp;twoRangesToJSON(NodesJSON[[#Headers],[label]:[url]],NodesJSON[[#This Row],[label]:[url]])&amp;"}"</f>
        <v>,{"label":"User-Centric Identity Management System","id":"nC19BDC8E_5AE1_49EE_B831_B43B924ECC1B","url":"https://open-measure.atlassian.net/wiki/spaces/DIC/pages/140673594"}</v>
      </c>
      <c r="E458" s="2"/>
    </row>
    <row r="459" spans="1:5" ht="13.9" thickTop="1" thickBot="1" x14ac:dyDescent="0.4">
      <c r="A459" s="3" t="str">
        <f>NodesData[[#This Row],[Common Name]]</f>
        <v>Username</v>
      </c>
      <c r="B459" s="23" t="str">
        <f>NodesData[[#This Row],[Node ID]]</f>
        <v>nF75517D5_69C2_4310_B3EF_77311A1A8188</v>
      </c>
      <c r="C459" s="10" t="s">
        <v>1236</v>
      </c>
      <c r="D459" s="26" t="str" cm="1">
        <f t="array" ref="D459">IF(ROW(NodesJSON[[#This Row],[label]])&gt;ROW(NodesJSON[[#Headers],[JSON]])+1,",","") &amp;"{"&amp;twoRangesToJSON(NodesJSON[[#Headers],[label]:[url]],NodesJSON[[#This Row],[label]:[url]])&amp;"}"</f>
        <v>,{"label":"Username","id":"nF75517D5_69C2_4310_B3EF_77311A1A8188","url":"https://open-measure.atlassian.net/wiki/spaces/DIC/pages/140739482"}</v>
      </c>
      <c r="E459" s="2"/>
    </row>
    <row r="460" spans="1:5" ht="13.9" thickTop="1" thickBot="1" x14ac:dyDescent="0.4">
      <c r="A460" s="3" t="str">
        <f>NodesData[[#This Row],[Common Name]]</f>
        <v>Verifiable Claim</v>
      </c>
      <c r="B460" s="23" t="str">
        <f>NodesData[[#This Row],[Node ID]]</f>
        <v>nBAB37068_1EF4_414F_B40B_EB8997E19974</v>
      </c>
      <c r="C460" s="10" t="s">
        <v>1238</v>
      </c>
      <c r="D460" s="26" t="str" cm="1">
        <f t="array" ref="D460">IF(ROW(NodesJSON[[#This Row],[label]])&gt;ROW(NodesJSON[[#Headers],[JSON]])+1,",","") &amp;"{"&amp;twoRangesToJSON(NodesJSON[[#Headers],[label]:[url]],NodesJSON[[#This Row],[label]:[url]])&amp;"}"</f>
        <v>,{"label":"Verifiable Claim","id":"nBAB37068_1EF4_414F_B40B_EB8997E19974","url":"https://open-measure.atlassian.net/wiki/spaces/DIC/pages/140673653"}</v>
      </c>
      <c r="E460" s="2"/>
    </row>
    <row r="461" spans="1:5" ht="13.9" thickTop="1" thickBot="1" x14ac:dyDescent="0.4">
      <c r="A461" s="3" t="str">
        <f>NodesData[[#This Row],[Common Name]]</f>
        <v>Verification</v>
      </c>
      <c r="B461" s="23" t="str">
        <f>NodesData[[#This Row],[Node ID]]</f>
        <v>nB3A3E0DE_D501_4C64_92EE_6EED35F0E8F7</v>
      </c>
      <c r="C461" s="10" t="s">
        <v>1240</v>
      </c>
      <c r="D461" s="26" t="str" cm="1">
        <f t="array" ref="D461">IF(ROW(NodesJSON[[#This Row],[label]])&gt;ROW(NodesJSON[[#Headers],[JSON]])+1,",","") &amp;"{"&amp;twoRangesToJSON(NodesJSON[[#Headers],[label]:[url]],NodesJSON[[#This Row],[label]:[url]])&amp;"}"</f>
        <v>,{"label":"Verification","id":"nB3A3E0DE_D501_4C64_92EE_6EED35F0E8F7","url":"https://open-measure.atlassian.net/wiki/spaces/DIC/pages/140771901"}</v>
      </c>
      <c r="E461" s="2"/>
    </row>
    <row r="462" spans="1:5" ht="13.9" thickTop="1" thickBot="1" x14ac:dyDescent="0.4">
      <c r="A462" s="3" t="str">
        <f>NodesData[[#This Row],[Common Name]]</f>
        <v>Virtual Directory</v>
      </c>
      <c r="B462" s="23" t="str">
        <f>NodesData[[#This Row],[Node ID]]</f>
        <v>n1AA5AE61_B346_43B1_87DF_35A927EA0AED</v>
      </c>
      <c r="C462" s="10" t="s">
        <v>1242</v>
      </c>
      <c r="D462" s="26" t="str" cm="1">
        <f t="array" ref="D462">IF(ROW(NodesJSON[[#This Row],[label]])&gt;ROW(NodesJSON[[#Headers],[JSON]])+1,",","") &amp;"{"&amp;twoRangesToJSON(NodesJSON[[#Headers],[label]:[url]],NodesJSON[[#This Row],[label]:[url]])&amp;"}"</f>
        <v>,{"label":"Virtual Directory","id":"n1AA5AE61_B346_43B1_87DF_35A927EA0AED","url":"https://open-measure.atlassian.net/wiki/spaces/DIC/pages/140772047"}</v>
      </c>
      <c r="E462" s="2"/>
    </row>
    <row r="463" spans="1:5" ht="13.9" thickTop="1" thickBot="1" x14ac:dyDescent="0.4">
      <c r="A463" s="3" t="str">
        <f>NodesData[[#This Row],[Common Name]]</f>
        <v>Virtual Private Network</v>
      </c>
      <c r="B463" s="23" t="str">
        <f>NodesData[[#This Row],[Node ID]]</f>
        <v>nF173E0D3_8348_4DCB_B1D7_16C85C1013B0</v>
      </c>
      <c r="C463" s="10" t="s">
        <v>1244</v>
      </c>
      <c r="D463" s="26" t="str" cm="1">
        <f t="array" ref="D463">IF(ROW(NodesJSON[[#This Row],[label]])&gt;ROW(NodesJSON[[#Headers],[JSON]])+1,",","") &amp;"{"&amp;twoRangesToJSON(NodesJSON[[#Headers],[label]:[url]],NodesJSON[[#This Row],[label]:[url]])&amp;"}"</f>
        <v>,{"label":"Virtual Private Network","id":"nF173E0D3_8348_4DCB_B1D7_16C85C1013B0","url":"https://open-measure.atlassian.net/wiki/spaces/DIC/pages/140739277"}</v>
      </c>
      <c r="E463" s="2"/>
    </row>
    <row r="464" spans="1:5" ht="13.9" thickTop="1" thickBot="1" x14ac:dyDescent="0.4">
      <c r="A464" s="3" t="str">
        <f>NodesData[[#This Row],[Common Name]]</f>
        <v>Virtual Risk and Security Site Review</v>
      </c>
      <c r="B464" s="23" t="str">
        <f>NodesData[[#This Row],[Node ID]]</f>
        <v>n5EF5EB18_F868_43E0_BC5D_FB928B82CC59</v>
      </c>
      <c r="C464" s="10" t="s">
        <v>1246</v>
      </c>
      <c r="D464" s="26" t="str" cm="1">
        <f t="array" ref="D464">IF(ROW(NodesJSON[[#This Row],[label]])&gt;ROW(NodesJSON[[#Headers],[JSON]])+1,",","") &amp;"{"&amp;twoRangesToJSON(NodesJSON[[#Headers],[label]:[url]],NodesJSON[[#This Row],[label]:[url]])&amp;"}"</f>
        <v>,{"label":"Virtual Risk and Security Site Review","id":"n5EF5EB18_F868_43E0_BC5D_FB928B82CC59","url":"https://open-measure.atlassian.net/wiki/spaces/DIC/pages/140673818"}</v>
      </c>
      <c r="E464" s="2"/>
    </row>
    <row r="465" spans="1:5" ht="13.9" thickTop="1" thickBot="1" x14ac:dyDescent="0.4">
      <c r="A465" s="3" t="str">
        <f>NodesData[[#This Row],[Common Name]]</f>
        <v>Voice OTP</v>
      </c>
      <c r="B465" s="23" t="str">
        <f>NodesData[[#This Row],[Node ID]]</f>
        <v>nC0D8C0B5_1A70_4CB1_9F83_D00B0375C928</v>
      </c>
      <c r="C465" s="10" t="s">
        <v>1248</v>
      </c>
      <c r="D465" s="26" t="str" cm="1">
        <f t="array" ref="D465">IF(ROW(NodesJSON[[#This Row],[label]])&gt;ROW(NodesJSON[[#Headers],[JSON]])+1,",","") &amp;"{"&amp;twoRangesToJSON(NodesJSON[[#Headers],[label]:[url]],NodesJSON[[#This Row],[label]:[url]])&amp;"}"</f>
        <v>,{"label":"Voice OTP","id":"nC0D8C0B5_1A70_4CB1_9F83_D00B0375C928","url":"https://open-measure.atlassian.net/wiki/spaces/DIC/pages/140772011"}</v>
      </c>
      <c r="E465" s="2"/>
    </row>
    <row r="466" spans="1:5" ht="13.9" thickTop="1" thickBot="1" x14ac:dyDescent="0.4">
      <c r="A466" s="3" t="str">
        <f>NodesData[[#This Row],[Common Name]]</f>
        <v>Voice Recognition Authentication</v>
      </c>
      <c r="B466" s="23" t="str">
        <f>NodesData[[#This Row],[Node ID]]</f>
        <v>nC196E133_4263_4398_B44A_B3053AC5D0E8</v>
      </c>
      <c r="C466" s="10" t="s">
        <v>1250</v>
      </c>
      <c r="D466" s="26" t="str" cm="1">
        <f t="array" ref="D466">IF(ROW(NodesJSON[[#This Row],[label]])&gt;ROW(NodesJSON[[#Headers],[JSON]])+1,",","") &amp;"{"&amp;twoRangesToJSON(NodesJSON[[#Headers],[label]:[url]],NodesJSON[[#This Row],[label]:[url]])&amp;"}"</f>
        <v>,{"label":"Voice Recognition Authentication","id":"nC196E133_4263_4398_B44A_B3053AC5D0E8","url":"https://open-measure.atlassian.net/wiki/spaces/DIC/pages/140706624"}</v>
      </c>
      <c r="E466" s="2"/>
    </row>
    <row r="467" spans="1:5" ht="13.9" thickTop="1" thickBot="1" x14ac:dyDescent="0.4">
      <c r="A467" s="3" t="str">
        <f>NodesData[[#This Row],[Common Name]]</f>
        <v>VPN</v>
      </c>
      <c r="B467" s="23" t="str">
        <f>NodesData[[#This Row],[Node ID]]</f>
        <v>n792AF52F_202C_4B84_9837_C86A7BE5C6D4</v>
      </c>
      <c r="C467" s="10" t="s">
        <v>1252</v>
      </c>
      <c r="D467" s="26" t="str" cm="1">
        <f t="array" ref="D467">IF(ROW(NodesJSON[[#This Row],[label]])&gt;ROW(NodesJSON[[#Headers],[JSON]])+1,",","") &amp;"{"&amp;twoRangesToJSON(NodesJSON[[#Headers],[label]:[url]],NodesJSON[[#This Row],[label]:[url]])&amp;"}"</f>
        <v>,{"label":"VPN","id":"n792AF52F_202C_4B84_9837_C86A7BE5C6D4","url":"https://open-measure.atlassian.net/wiki/spaces/DIC/pages/140706700"}</v>
      </c>
      <c r="E467" s="2"/>
    </row>
    <row r="468" spans="1:5" ht="13.9" thickTop="1" thickBot="1" x14ac:dyDescent="0.4">
      <c r="A468" s="3" t="str">
        <f>NodesData[[#This Row],[Common Name]]</f>
        <v>Weak Authentication</v>
      </c>
      <c r="B468" s="23" t="str">
        <f>NodesData[[#This Row],[Node ID]]</f>
        <v>n20C6E76A_E99F_4AC3_B579_997897697AA6</v>
      </c>
      <c r="C468" s="10" t="s">
        <v>1254</v>
      </c>
      <c r="D468" s="26" t="str" cm="1">
        <f t="array" ref="D468">IF(ROW(NodesJSON[[#This Row],[label]])&gt;ROW(NodesJSON[[#Headers],[JSON]])+1,",","") &amp;"{"&amp;twoRangesToJSON(NodesJSON[[#Headers],[label]:[url]],NodesJSON[[#This Row],[label]:[url]])&amp;"}"</f>
        <v>,{"label":"Weak Authentication","id":"n20C6E76A_E99F_4AC3_B579_997897697AA6","url":"https://open-measure.atlassian.net/wiki/spaces/DIC/pages/855638141"}</v>
      </c>
      <c r="E468" s="2"/>
    </row>
    <row r="469" spans="1:5" ht="13.9" thickTop="1" thickBot="1" x14ac:dyDescent="0.4">
      <c r="A469" s="3" t="str">
        <f>NodesData[[#This Row],[Common Name]]</f>
        <v>Weak Tranquility Property</v>
      </c>
      <c r="B469" s="23" t="str">
        <f>NodesData[[#This Row],[Node ID]]</f>
        <v>nE5CAB332_46E5_4872_9347_07D71C60B1DD</v>
      </c>
      <c r="C469" s="10" t="s">
        <v>1256</v>
      </c>
      <c r="D469" s="26" t="str" cm="1">
        <f t="array" ref="D469">IF(ROW(NodesJSON[[#This Row],[label]])&gt;ROW(NodesJSON[[#Headers],[JSON]])+1,",","") &amp;"{"&amp;twoRangesToJSON(NodesJSON[[#Headers],[label]:[url]],NodesJSON[[#This Row],[label]:[url]])&amp;"}"</f>
        <v>,{"label":"Weak Tranquility Property","id":"nE5CAB332_46E5_4872_9347_07D71C60B1DD","url":"https://open-measure.atlassian.net/wiki/spaces/DIC/pages/814448722"}</v>
      </c>
      <c r="E469" s="2"/>
    </row>
    <row r="470" spans="1:5" ht="13.9" thickTop="1" thickBot="1" x14ac:dyDescent="0.4">
      <c r="A470" s="3" t="str">
        <f>NodesData[[#This Row],[Common Name]]</f>
        <v>Web-based Single Sign-On</v>
      </c>
      <c r="B470" s="23" t="str">
        <f>NodesData[[#This Row],[Node ID]]</f>
        <v>nA714C34F_E109_4195_A309_62764B001097</v>
      </c>
      <c r="C470" s="10" t="s">
        <v>1258</v>
      </c>
      <c r="D470" s="26" t="str" cm="1">
        <f t="array" ref="D470">IF(ROW(NodesJSON[[#This Row],[label]])&gt;ROW(NodesJSON[[#Headers],[JSON]])+1,",","") &amp;"{"&amp;twoRangesToJSON(NodesJSON[[#Headers],[label]:[url]],NodesJSON[[#This Row],[label]:[url]])&amp;"}"</f>
        <v>,{"label":"Web-based Single Sign-On","id":"nA714C34F_E109_4195_A309_62764B001097","url":"https://open-measure.atlassian.net/wiki/spaces/DIC/pages/852492409"}</v>
      </c>
      <c r="E470" s="2"/>
    </row>
    <row r="471" spans="1:5" ht="13.9" thickTop="1" thickBot="1" x14ac:dyDescent="0.4">
      <c r="A471" s="3" t="str">
        <f>NodesData[[#This Row],[Common Name]]</f>
        <v>Windows (Non-Default) Local User Account</v>
      </c>
      <c r="B471" s="23" t="str">
        <f>NodesData[[#This Row],[Node ID]]</f>
        <v>nAF6BA4B5_C4EC_4B28_8369_799EADD91BB8</v>
      </c>
      <c r="C471" s="10" t="s">
        <v>1260</v>
      </c>
      <c r="D471" s="26" t="str" cm="1">
        <f t="array" ref="D471">IF(ROW(NodesJSON[[#This Row],[label]])&gt;ROW(NodesJSON[[#Headers],[JSON]])+1,",","") &amp;"{"&amp;twoRangesToJSON(NodesJSON[[#Headers],[label]:[url]],NodesJSON[[#This Row],[label]:[url]])&amp;"}"</f>
        <v>,{"label":"Windows (Non-Default) Local User Account","id":"nAF6BA4B5_C4EC_4B28_8369_799EADD91BB8","url":"https://open-measure.atlassian.net/wiki/spaces/DIC/pages/1122631791"}</v>
      </c>
      <c r="E471" s="2"/>
    </row>
    <row r="472" spans="1:5" ht="13.9" thickTop="1" thickBot="1" x14ac:dyDescent="0.4">
      <c r="A472" s="3" t="str">
        <f>NodesData[[#This Row],[Common Name]]</f>
        <v>Windows Default Local System Account</v>
      </c>
      <c r="B472" s="23" t="str">
        <f>NodesData[[#This Row],[Node ID]]</f>
        <v>n30C769A5_3901_4FE2_A484_26752443F078</v>
      </c>
      <c r="C472" s="10" t="s">
        <v>1261</v>
      </c>
      <c r="D472" s="26" t="str" cm="1">
        <f t="array" ref="D472">IF(ROW(NodesJSON[[#This Row],[label]])&gt;ROW(NodesJSON[[#Headers],[JSON]])+1,",","") &amp;"{"&amp;twoRangesToJSON(NodesJSON[[#Headers],[label]:[url]],NodesJSON[[#This Row],[label]:[url]])&amp;"}"</f>
        <v>,{"label":"Windows Default Local System Account","id":"n30C769A5_3901_4FE2_A484_26752443F078","url":"https://open-measure.atlassian.net/wiki/spaces/DIC/pages/234356891/Zero-Trust+Access"}</v>
      </c>
      <c r="E472" s="2"/>
    </row>
    <row r="473" spans="1:5" ht="13.9" thickTop="1" thickBot="1" x14ac:dyDescent="0.4">
      <c r="A473" s="3" t="str">
        <f>NodesData[[#This Row],[Common Name]]</f>
        <v>Windows Default Local User Account</v>
      </c>
      <c r="B473" s="23" t="str">
        <f>NodesData[[#This Row],[Node ID]]</f>
        <v>n57652DD2_8622_4048_95C6_3D1CA71B338F</v>
      </c>
      <c r="C473" s="10" t="s">
        <v>1262</v>
      </c>
      <c r="D473" s="26" t="str" cm="1">
        <f t="array" ref="D473">IF(ROW(NodesJSON[[#This Row],[label]])&gt;ROW(NodesJSON[[#Headers],[JSON]])+1,",","") &amp;"{"&amp;twoRangesToJSON(NodesJSON[[#Headers],[label]:[url]],NodesJSON[[#This Row],[label]:[url]])&amp;"}"</f>
        <v>,{"label":"Windows Default Local User Account","id":"n57652DD2_8622_4048_95C6_3D1CA71B338F","url":"https://open-measure.atlassian.net/wiki/spaces/DIC/pages/782893195/Zombie+Account"}</v>
      </c>
      <c r="E473" s="2"/>
    </row>
    <row r="474" spans="1:5" ht="13.9" thickTop="1" thickBot="1" x14ac:dyDescent="0.4">
      <c r="A474" s="3" t="str">
        <f>NodesData[[#This Row],[Common Name]]</f>
        <v>Windows DefaultAccount Account</v>
      </c>
      <c r="B474" s="23" t="str">
        <f>NodesData[[#This Row],[Node ID]]</f>
        <v>nDB980524_D5B2_4D4E_A6E4_3725625E9ED0</v>
      </c>
      <c r="C474" s="10" t="s">
        <v>1263</v>
      </c>
      <c r="D474" s="26" t="str" cm="1">
        <f t="array" ref="D474">IF(ROW(NodesJSON[[#This Row],[label]])&gt;ROW(NodesJSON[[#Headers],[JSON]])+1,",","") &amp;"{"&amp;twoRangesToJSON(NodesJSON[[#Headers],[label]:[url]],NodesJSON[[#This Row],[label]:[url]])&amp;"}"</f>
        <v>,{"label":"Windows DefaultAccount Account","id":"nDB980524_D5B2_4D4E_A6E4_3725625E9ED0","url":"https://open-measure.atlassian.net/wiki/spaces/DIC/pages/234389671/ZTA"}</v>
      </c>
      <c r="E474" s="2"/>
    </row>
    <row r="475" spans="1:5" ht="13.9" thickTop="1" thickBot="1" x14ac:dyDescent="0.4">
      <c r="A475" s="3" t="str">
        <f>NodesData[[#This Row],[Common Name]]</f>
        <v>Windows Guest Account</v>
      </c>
      <c r="B475" s="23" t="str">
        <f>NodesData[[#This Row],[Node ID]]</f>
        <v>n7B6F5266_C940_417B_9FB2_8373338B3D43</v>
      </c>
      <c r="C475" s="10" t="s">
        <v>1224</v>
      </c>
      <c r="D475" s="26" t="str" cm="1">
        <f t="array" ref="D475">IF(ROW(NodesJSON[[#This Row],[label]])&gt;ROW(NodesJSON[[#Headers],[JSON]])+1,",","") &amp;"{"&amp;twoRangesToJSON(NodesJSON[[#Headers],[label]:[url]],NodesJSON[[#This Row],[label]:[url]])&amp;"}"</f>
        <v>,{"label":"Windows Guest Account","id":"n7B6F5266_C940_417B_9FB2_8373338B3D43","url":"https://open-measure.atlassian.net/wiki/spaces/DIC/pages/81068120"}</v>
      </c>
      <c r="E475" s="2"/>
    </row>
    <row r="476" spans="1:5" ht="13.5" thickTop="1" thickBot="1" x14ac:dyDescent="0.4">
      <c r="A476" s="8" t="str">
        <f>NodesData[[#This Row],[Common Name]]</f>
        <v>Windows HelpAssistant Account</v>
      </c>
      <c r="B476" s="28" t="str">
        <f>NodesData[[#This Row],[Node ID]]</f>
        <v>n6E36BCF4_0D2E_423E_A7F2_1859C5F43F22</v>
      </c>
      <c r="C476" s="8"/>
      <c r="D476" s="29" t="e" cm="1">
        <f t="array" ref="D476">IF(ROW(#REF!)&gt;ROW(NodesJSON[[#Headers],[JSON]])+1,",","") &amp;"{"&amp;twoRangesToJSON(#REF!,#REF!)&amp;"}"</f>
        <v>#REF!</v>
      </c>
    </row>
    <row r="477" spans="1:5" ht="13.5" thickTop="1" thickBot="1" x14ac:dyDescent="0.4">
      <c r="A477" s="8" t="str">
        <f>NodesData[[#This Row],[Common Name]]</f>
        <v>Windows Local Account</v>
      </c>
      <c r="B477" s="28" t="str">
        <f>NodesData[[#This Row],[Node ID]]</f>
        <v>n3B7CBF53_A57C_44ED_AD36_C72517D3DEF6</v>
      </c>
      <c r="C477" s="8"/>
      <c r="D477" s="29" t="e" cm="1">
        <f t="array" ref="D477">IF(ROW(#REF!)&gt;ROW(NodesJSON[[#Headers],[JSON]])+1,",","") &amp;"{"&amp;twoRangesToJSON(#REF!,#REF!)&amp;"}"</f>
        <v>#REF!</v>
      </c>
    </row>
    <row r="478" spans="1:5" ht="13.5" thickTop="1" thickBot="1" x14ac:dyDescent="0.4">
      <c r="A478" s="8" t="str">
        <f>NodesData[[#This Row],[Common Name]]</f>
        <v>Windows Local Administrator Account</v>
      </c>
      <c r="B478" s="28" t="str">
        <f>NodesData[[#This Row],[Node ID]]</f>
        <v>nCDE26EDC_0440_4B98_9517_E35E3F6BE7DF</v>
      </c>
      <c r="C478" s="8"/>
      <c r="D478" s="29" t="e" cm="1">
        <f t="array" ref="D478">IF(ROW(#REF!)&gt;ROW(NodesJSON[[#Headers],[JSON]])+1,",","") &amp;"{"&amp;twoRangesToJSON(#REF!,#REF!)&amp;"}"</f>
        <v>#REF!</v>
      </c>
    </row>
    <row r="479" spans="1:5" ht="13.5" thickTop="1" thickBot="1" x14ac:dyDescent="0.4">
      <c r="A479" s="8" t="str">
        <f>NodesData[[#This Row],[Common Name]]</f>
        <v>Windows LOCAL SERVICE Account</v>
      </c>
      <c r="B479" s="28" t="str">
        <f>NodesData[[#This Row],[Node ID]]</f>
        <v>nBFD644BE_EADE_44D5_BDAE_64B1E095A11B</v>
      </c>
      <c r="C479" s="8"/>
      <c r="D479" s="29" t="e" cm="1">
        <f t="array" ref="D479">IF(ROW(#REF!)&gt;ROW(NodesJSON[[#Headers],[JSON]])+1,",","") &amp;"{"&amp;twoRangesToJSON(#REF!,#REF!)&amp;"}"</f>
        <v>#REF!</v>
      </c>
    </row>
    <row r="480" spans="1:5" ht="13.5" thickTop="1" thickBot="1" x14ac:dyDescent="0.4">
      <c r="A480" s="8" t="str">
        <f>NodesData[[#This Row],[Common Name]]</f>
        <v>Windows NETWORK SERVICE Account</v>
      </c>
      <c r="B480" s="28" t="str">
        <f>NodesData[[#This Row],[Node ID]]</f>
        <v>n24EDEEBB_184D_4CD9_AF97_8ED49C048AC4</v>
      </c>
      <c r="C480" s="8"/>
      <c r="D480" s="29" t="e" cm="1">
        <f t="array" ref="D480">IF(ROW(#REF!)&gt;ROW(NodesJSON[[#Headers],[JSON]])+1,",","") &amp;"{"&amp;twoRangesToJSON(#REF!,#REF!)&amp;"}"</f>
        <v>#REF!</v>
      </c>
    </row>
    <row r="481" spans="1:4" ht="13.5" thickTop="1" thickBot="1" x14ac:dyDescent="0.4">
      <c r="A481" s="8" t="str">
        <f>NodesData[[#This Row],[Common Name]]</f>
        <v>Windows Security Identifier</v>
      </c>
      <c r="B481" s="28" t="str">
        <f>NodesData[[#This Row],[Node ID]]</f>
        <v>n4442B948_CB96_4FB1_B197_0CB8512232F5</v>
      </c>
      <c r="C481" s="8"/>
      <c r="D481" s="29" t="e" cm="1">
        <f t="array" ref="D481">IF(ROW(#REF!)&gt;ROW(NodesJSON[[#Headers],[JSON]])+1,",","") &amp;"{"&amp;twoRangesToJSON(#REF!,#REF!)&amp;"}"</f>
        <v>#REF!</v>
      </c>
    </row>
    <row r="482" spans="1:4" ht="13.5" thickTop="1" thickBot="1" x14ac:dyDescent="0.4">
      <c r="A482" s="8" t="str">
        <f>NodesData[[#This Row],[Common Name]]</f>
        <v>Windows SYSTEM Account</v>
      </c>
      <c r="B482" s="28" t="str">
        <f>NodesData[[#This Row],[Node ID]]</f>
        <v>n3B05549C_D612_4F93_B225_856E09571963</v>
      </c>
      <c r="C482" s="8"/>
      <c r="D482" s="29" t="e" cm="1">
        <f t="array" ref="D482">IF(ROW(#REF!)&gt;ROW(NodesJSON[[#Headers],[JSON]])+1,",","") &amp;"{"&amp;twoRangesToJSON(#REF!,#REF!)&amp;"}"</f>
        <v>#REF!</v>
      </c>
    </row>
    <row r="483" spans="1:4" ht="13.5" thickTop="1" thickBot="1" x14ac:dyDescent="0.4">
      <c r="A483" s="8" t="str">
        <f>NodesData[[#This Row],[Common Name]]</f>
        <v>Worker</v>
      </c>
      <c r="B483" s="28" t="str">
        <f>NodesData[[#This Row],[Node ID]]</f>
        <v>nA88BF1ED_4AE8_4B89_B290_4D73E6D0E99B</v>
      </c>
      <c r="C483" s="8"/>
      <c r="D483" s="29" t="e" cm="1">
        <f t="array" ref="D483">IF(ROW(#REF!)&gt;ROW(NodesJSON[[#Headers],[JSON]])+1,",","") &amp;"{"&amp;twoRangesToJSON(#REF!,#REF!)&amp;"}"</f>
        <v>#REF!</v>
      </c>
    </row>
    <row r="484" spans="1:4" ht="13.5" thickTop="1" thickBot="1" x14ac:dyDescent="0.4">
      <c r="A484" s="8" t="str">
        <f>NodesData[[#This Row],[Common Name]]</f>
        <v>Workflow-Sensitive Access Control</v>
      </c>
      <c r="B484" s="28" t="str">
        <f>NodesData[[#This Row],[Node ID]]</f>
        <v>nFAD010FC_681A_4C15_94C3_71AEB684C44D</v>
      </c>
      <c r="C484" s="8"/>
      <c r="D484" s="29" t="e" cm="1">
        <f t="array" ref="D484">IF(ROW(#REF!)&gt;ROW(NodesJSON[[#Headers],[JSON]])+1,",","") &amp;"{"&amp;twoRangesToJSON(#REF!,#REF!)&amp;"}"</f>
        <v>#REF!</v>
      </c>
    </row>
    <row r="485" spans="1:4" ht="13.5" thickTop="1" thickBot="1" x14ac:dyDescent="0.4">
      <c r="A485" s="8" t="str">
        <f>NodesData[[#This Row],[Common Name]]</f>
        <v>Workforce</v>
      </c>
      <c r="B485" s="28" t="str">
        <f>NodesData[[#This Row],[Node ID]]</f>
        <v>nCC381DA1_CA00_4281_80DE_4480AA826170</v>
      </c>
      <c r="C485" s="8"/>
      <c r="D485" s="29" t="e" cm="1">
        <f t="array" ref="D485">IF(ROW(#REF!)&gt;ROW(NodesJSON[[#Headers],[JSON]])+1,",","") &amp;"{"&amp;twoRangesToJSON(#REF!,#REF!)&amp;"}"</f>
        <v>#REF!</v>
      </c>
    </row>
    <row r="486" spans="1:4" ht="13.5" thickTop="1" thickBot="1" x14ac:dyDescent="0.4">
      <c r="A486" s="8" t="str">
        <f>NodesData[[#This Row],[Common Name]]</f>
        <v>XACML</v>
      </c>
      <c r="B486" s="28" t="str">
        <f>NodesData[[#This Row],[Node ID]]</f>
        <v>n3EE5AC73_62B3_4719_B4EA_AF76F43BF4D4</v>
      </c>
      <c r="C486" s="8"/>
      <c r="D486" s="29" t="e" cm="1">
        <f t="array" ref="D486">IF(ROW(#REF!)&gt;ROW(NodesJSON[[#Headers],[JSON]])+1,",","") &amp;"{"&amp;twoRangesToJSON(#REF!,#REF!)&amp;"}"</f>
        <v>#REF!</v>
      </c>
    </row>
    <row r="487" spans="1:4" ht="13.5" thickTop="1" thickBot="1" x14ac:dyDescent="0.4">
      <c r="A487" s="8" t="str">
        <f>NodesData[[#This Row],[Common Name]]</f>
        <v>Zero-Trust Access</v>
      </c>
      <c r="B487" s="28" t="str">
        <f>NodesData[[#This Row],[Node ID]]</f>
        <v>nA083172A_2D30_45C1_A7AA_C0950BF75AF5</v>
      </c>
      <c r="C487" s="8"/>
      <c r="D487" s="29" t="e" cm="1">
        <f t="array" ref="D487">IF(ROW(#REF!)&gt;ROW(NodesJSON[[#Headers],[JSON]])+1,",","") &amp;"{"&amp;twoRangesToJSON(#REF!,#REF!)&amp;"}"</f>
        <v>#REF!</v>
      </c>
    </row>
    <row r="488" spans="1:4" ht="13.5" thickTop="1" thickBot="1" x14ac:dyDescent="0.4">
      <c r="A488" s="8" t="str">
        <f>NodesData[[#This Row],[Common Name]]</f>
        <v>Zombie Account</v>
      </c>
      <c r="B488" s="28" t="str">
        <f>NodesData[[#This Row],[Node ID]]</f>
        <v>n32F8B5A2_2FF3_46A6_92A0_A0A74C77207C</v>
      </c>
      <c r="C488" s="8"/>
      <c r="D488" s="29" t="e" cm="1">
        <f t="array" ref="D488">IF(ROW(#REF!)&gt;ROW(NodesJSON[[#Headers],[JSON]])+1,",","") &amp;"{"&amp;twoRangesToJSON(#REF!,#REF!)&amp;"}"</f>
        <v>#REF!</v>
      </c>
    </row>
    <row r="489" spans="1:4" ht="13.15" thickTop="1" x14ac:dyDescent="0.35">
      <c r="A489" s="8" t="str">
        <f>NodesData[[#This Row],[Common Name]]</f>
        <v>ZTA</v>
      </c>
      <c r="B489" s="28" t="str">
        <f>NodesData[[#This Row],[Node ID]]</f>
        <v>n0BF6DF94_3689_4DC6_A2E2_4E916F963D9A</v>
      </c>
      <c r="C489" s="8"/>
      <c r="D489" s="29" t="e" cm="1">
        <f t="array" ref="D489">IF(ROW(#REF!)&gt;ROW(NodesJSON[[#Headers],[JSON]])+1,",","") &amp;"{"&amp;twoRangesToJSON(#REF!,#REF!)&amp;"}"</f>
        <v>#REF!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2824163</xdr:colOff>
                <xdr:row>1</xdr:row>
                <xdr:rowOff>28575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70"/>
  <sheetViews>
    <sheetView topLeftCell="A43" zoomScale="120" zoomScaleNormal="120" workbookViewId="0">
      <selection activeCell="A53" sqref="A53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9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1911</v>
      </c>
      <c r="B1" s="9"/>
      <c r="C1" s="9"/>
      <c r="D1" s="24"/>
    </row>
    <row r="2" spans="1:5" s="13" customFormat="1" ht="15" thickTop="1" thickBot="1" x14ac:dyDescent="0.5">
      <c r="A2" s="16" t="s">
        <v>1334</v>
      </c>
      <c r="B2" s="16" t="s">
        <v>1353</v>
      </c>
      <c r="C2" s="16" t="s">
        <v>1354</v>
      </c>
      <c r="D2" s="16" t="s">
        <v>1335</v>
      </c>
      <c r="E2" s="25" t="s">
        <v>1333</v>
      </c>
    </row>
    <row r="3" spans="1:5" ht="13.9" thickTop="1" thickBot="1" x14ac:dyDescent="0.4">
      <c r="A3" s="22" t="str">
        <f>EdgesData[[#This Row],[Edge ID]]</f>
        <v>nC9236704_329A_41A4_ABC5_340A92CC3765</v>
      </c>
      <c r="B3" s="22" t="str">
        <f>EdgesData[[#This Row],[Node A ID]]</f>
        <v>nB3F90AFA_FC46_4122_9901_4FF284E9E7EC</v>
      </c>
      <c r="C3" s="22" t="str">
        <f>EdgesData[[#This Row],[Node B ID]]</f>
        <v>nE49F9EAF_3DC5_47FA_9722_CDE0190EAD09</v>
      </c>
      <c r="D3" s="3" t="str">
        <f>EdgesData[[#This Row],[Rel]]</f>
        <v>acronym for</v>
      </c>
      <c r="E3" s="26" t="str" cm="1">
        <f t="array" ref="E3">IF(ROW(EdgesJSON[[#This Row],[id]])&gt;ROW(EdgesJSON[[#Headers],[JSON]])+1,",","") &amp;"{"&amp;twoRangesToJSON(EdgesJSON[[#Headers],[id]:[label]],EdgesJSON[[#This Row],[id]:[label]])&amp;"}"</f>
        <v>{"id":"nC9236704_329A_41A4_ABC5_340A92CC3765","from":"nB3F90AFA_FC46_4122_9901_4FF284E9E7EC","to":"nE49F9EAF_3DC5_47FA_9722_CDE0190EAD09","label":"acronym for"}</v>
      </c>
    </row>
    <row r="4" spans="1:5" ht="13.9" thickTop="1" thickBot="1" x14ac:dyDescent="0.4">
      <c r="A4" s="22" t="str">
        <f>EdgesData[[#This Row],[Edge ID]]</f>
        <v>n96BD0C0B_9A7F_45ED_9519_30416CA253CB</v>
      </c>
      <c r="B4" s="22" t="str">
        <f>EdgesData[[#This Row],[Node A ID]]</f>
        <v>nAC688165_B606_4D82_A016_0263D701EDF2</v>
      </c>
      <c r="C4" s="22" t="str">
        <f>EdgesData[[#This Row],[Node B ID]]</f>
        <v>n53877DB9_77FA_44E9_974A_BE3344133398</v>
      </c>
      <c r="D4" s="3" t="str">
        <f>EdgesData[[#This Row],[Rel]]</f>
        <v>is</v>
      </c>
      <c r="E4" s="26" t="str" cm="1">
        <f t="array" ref="E4">IF(ROW(EdgesJSON[[#This Row],[id]])&gt;ROW(EdgesJSON[[#Headers],[JSON]])+1,",","") &amp;"{"&amp;twoRangesToJSON(EdgesJSON[[#Headers],[id]:[label]],EdgesJSON[[#This Row],[id]:[label]])&amp;"}"</f>
        <v>,{"id":"n96BD0C0B_9A7F_45ED_9519_30416CA253CB","from":"nAC688165_B606_4D82_A016_0263D701EDF2","to":"n53877DB9_77FA_44E9_974A_BE3344133398","label":"is"}</v>
      </c>
    </row>
    <row r="5" spans="1:5" ht="13.9" thickTop="1" thickBot="1" x14ac:dyDescent="0.4">
      <c r="A5" s="22" t="str">
        <f>EdgesData[[#This Row],[Edge ID]]</f>
        <v>nCFA197D3_9344_415D_9209_905E09487E5F</v>
      </c>
      <c r="B5" s="22" t="str">
        <f>EdgesData[[#This Row],[Node A ID]]</f>
        <v>n8B61F4C7_8FA2_43DC_B58C_AB2C5C0A8877</v>
      </c>
      <c r="C5" s="22" t="str">
        <f>EdgesData[[#This Row],[Node B ID]]</f>
        <v>nCEEB6DF9_D56B_4A1B_9B36_35674D25F038</v>
      </c>
      <c r="D5" s="3" t="str">
        <f>EdgesData[[#This Row],[Rel]]</f>
        <v>is</v>
      </c>
      <c r="E5" s="26" t="str" cm="1">
        <f t="array" ref="E5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6" spans="1:5" ht="13.9" thickTop="1" thickBot="1" x14ac:dyDescent="0.4">
      <c r="A6" s="22" t="str">
        <f>EdgesData[[#This Row],[Edge ID]]</f>
        <v>n185B7D84_8C31_44D8_907D_0EEC1E5DC38A</v>
      </c>
      <c r="B6" s="22" t="str">
        <f>EdgesData[[#This Row],[Node A ID]]</f>
        <v>n8B61F4C7_8FA2_43DC_B58C_AB2C5C0A8877</v>
      </c>
      <c r="C6" s="22" t="str">
        <f>EdgesData[[#This Row],[Node B ID]]</f>
        <v>nFC4AFBE3_7D71_456A_AFC1_16F1F34558F5</v>
      </c>
      <c r="D6" s="3" t="str">
        <f>EdgesData[[#This Row],[Rel]]</f>
        <v>protects</v>
      </c>
      <c r="E6" s="26" t="str" cm="1">
        <f t="array" ref="E6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7" spans="1:5" ht="13.9" thickTop="1" thickBot="1" x14ac:dyDescent="0.4">
      <c r="A7" s="22" t="str">
        <f>EdgesData[[#This Row],[Edge ID]]</f>
        <v>n6EA23684_7375_433D_8170_212A6AB58564</v>
      </c>
      <c r="B7" s="22" t="str">
        <f>EdgesData[[#This Row],[Node A ID]]</f>
        <v>n8B61F4C7_8FA2_43DC_B58C_AB2C5C0A8877</v>
      </c>
      <c r="C7" s="22" t="str">
        <f>EdgesData[[#This Row],[Node B ID]]</f>
        <v>n1546AAB1_79BC_427B_AC2C_31B1E8FA4616</v>
      </c>
      <c r="D7" s="3" t="str">
        <f>EdgesData[[#This Row],[Rel]]</f>
        <v>protects from</v>
      </c>
      <c r="E7" s="26" t="str" cm="1">
        <f t="array" ref="E7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8" spans="1:5" ht="13.9" thickTop="1" thickBot="1" x14ac:dyDescent="0.4">
      <c r="A8" s="22" t="str">
        <f>EdgesData[[#This Row],[Edge ID]]</f>
        <v>n7CFCDE36_D268_40C8_9818_5F762B04D5C3</v>
      </c>
      <c r="B8" s="22" t="str">
        <f>EdgesData[[#This Row],[Node A ID]]</f>
        <v>n45A95ED6_6BE9_42DC_8F8E_4940542AA763</v>
      </c>
      <c r="C8" s="22" t="str">
        <f>EdgesData[[#This Row],[Node B ID]]</f>
        <v>n53877DB9_77FA_44E9_974A_BE3344133398</v>
      </c>
      <c r="D8" s="3" t="str">
        <f>EdgesData[[#This Row],[Rel]]</f>
        <v>is</v>
      </c>
      <c r="E8" s="26" t="str" cm="1">
        <f t="array" ref="E8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9" spans="1:5" ht="13.9" thickTop="1" thickBot="1" x14ac:dyDescent="0.4">
      <c r="A9" s="22" t="str">
        <f>EdgesData[[#This Row],[Edge ID]]</f>
        <v>n9E30E2ED_A60B_4197_A894_F66D9251EA8D</v>
      </c>
      <c r="B9" s="22" t="str">
        <f>EdgesData[[#This Row],[Node A ID]]</f>
        <v>n45A95ED6_6BE9_42DC_8F8E_4940542AA763</v>
      </c>
      <c r="C9" s="22" t="str">
        <f>EdgesData[[#This Row],[Node B ID]]</f>
        <v>nAC688165_B606_4D82_A016_0263D701EDF2</v>
      </c>
      <c r="D9" s="3" t="str">
        <f>EdgesData[[#This Row],[Rel]]</f>
        <v>is</v>
      </c>
      <c r="E9" s="26" t="str" cm="1">
        <f t="array" ref="E9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10" spans="1:5" ht="13.9" thickTop="1" thickBot="1" x14ac:dyDescent="0.4">
      <c r="A10" s="22" t="str">
        <f>EdgesData[[#This Row],[Edge ID]]</f>
        <v>n0FA15067_803F_459E_A370_46E2E4164F90</v>
      </c>
      <c r="B10" s="22" t="str">
        <f>EdgesData[[#This Row],[Node A ID]]</f>
        <v>n09E1C4DC_8D91_4A66_9C50_11DCDC2042FD</v>
      </c>
      <c r="C10" s="22" t="str">
        <f>EdgesData[[#This Row],[Node B ID]]</f>
        <v>n80310A12_2F48_48B9_A9C3_E6FADD4B55C9</v>
      </c>
      <c r="D10" s="3" t="str">
        <f>EdgesData[[#This Row],[Rel]]</f>
        <v>is</v>
      </c>
      <c r="E10" s="26" t="str" cm="1">
        <f t="array" ref="E10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1" spans="1:5" ht="13.9" thickTop="1" thickBot="1" x14ac:dyDescent="0.4">
      <c r="A11" s="22" t="str">
        <f>EdgesData[[#This Row],[Edge ID]]</f>
        <v>n16067629_26D5_42A1_BDB2_97473A56EAB7</v>
      </c>
      <c r="B11" s="22" t="str">
        <f>EdgesData[[#This Row],[Node A ID]]</f>
        <v>nEE342468_B7F3_4FB0_BA73_C88BBEA8F59E</v>
      </c>
      <c r="C11" s="22" t="str">
        <f>EdgesData[[#This Row],[Node B ID]]</f>
        <v>n80310A12_2F48_48B9_A9C3_E6FADD4B55C9</v>
      </c>
      <c r="D11" s="3" t="str">
        <f>EdgesData[[#This Row],[Rel]]</f>
        <v>is</v>
      </c>
      <c r="E11" s="26" t="str" cm="1">
        <f t="array" ref="E11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2" spans="1:5" ht="13.9" thickTop="1" thickBot="1" x14ac:dyDescent="0.4">
      <c r="A12" s="22" t="str">
        <f>EdgesData[[#This Row],[Edge ID]]</f>
        <v>n79C52E10_73FE_4CAF_A156_854467FC67DC</v>
      </c>
      <c r="B12" s="22" t="str">
        <f>EdgesData[[#This Row],[Node A ID]]</f>
        <v>n1546AAB1_79BC_427B_AC2C_31B1E8FA4616</v>
      </c>
      <c r="C12" s="22" t="str">
        <f>EdgesData[[#This Row],[Node B ID]]</f>
        <v>n385B2A02_580E_49B6_8C97_A00DC541C516</v>
      </c>
      <c r="D12" s="3" t="str">
        <f>EdgesData[[#This Row],[Rel]]</f>
        <v>is</v>
      </c>
      <c r="E12" s="26" t="str" cm="1">
        <f t="array" ref="E12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3" spans="1:5" ht="13.9" thickTop="1" thickBot="1" x14ac:dyDescent="0.4">
      <c r="A13" s="22" t="str">
        <f>EdgesData[[#This Row],[Edge ID]]</f>
        <v>n74EDF48C_1856_4E54_BBD1_44DC4A97ABCE</v>
      </c>
      <c r="B13" s="22" t="str">
        <f>EdgesData[[#This Row],[Node A ID]]</f>
        <v>nA4759A9D_95C0_47CA_B519_8CEF217B2F74</v>
      </c>
      <c r="C13" s="22" t="str">
        <f>EdgesData[[#This Row],[Node B ID]]</f>
        <v>n53877DB9_77FA_44E9_974A_BE3344133398</v>
      </c>
      <c r="D13" s="3" t="str">
        <f>EdgesData[[#This Row],[Rel]]</f>
        <v>is</v>
      </c>
      <c r="E13" s="26" t="str" cm="1">
        <f t="array" ref="E13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4" spans="1:5" ht="13.9" thickTop="1" thickBot="1" x14ac:dyDescent="0.4">
      <c r="A14" s="22" t="str">
        <f>EdgesData[[#This Row],[Edge ID]]</f>
        <v>n433C0CE8_199B_41A4_BBC0_39E1F2549476</v>
      </c>
      <c r="B14" s="22" t="str">
        <f>EdgesData[[#This Row],[Node A ID]]</f>
        <v>nA4759A9D_95C0_47CA_B519_8CEF217B2F74</v>
      </c>
      <c r="C14" s="22" t="str">
        <f>EdgesData[[#This Row],[Node B ID]]</f>
        <v>nAC688165_B606_4D82_A016_0263D701EDF2</v>
      </c>
      <c r="D14" s="3" t="str">
        <f>EdgesData[[#This Row],[Rel]]</f>
        <v>is</v>
      </c>
      <c r="E14" s="26" t="str" cm="1">
        <f t="array" ref="E14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5" spans="1:5" ht="13.9" thickTop="1" thickBot="1" x14ac:dyDescent="0.4">
      <c r="A15" s="22" t="str">
        <f>EdgesData[[#This Row],[Edge ID]]</f>
        <v>n0C9CFDC8_E9C2_4E79_8947_C460FAB26FA9</v>
      </c>
      <c r="B15" s="22" t="str">
        <f>EdgesData[[#This Row],[Node A ID]]</f>
        <v>nAACCE65E_6554_4FBD_B4D7_A3BA8E3BDB92</v>
      </c>
      <c r="C15" s="22" t="str">
        <f>EdgesData[[#This Row],[Node B ID]]</f>
        <v>n53877DB9_77FA_44E9_974A_BE3344133398</v>
      </c>
      <c r="D15" s="3" t="str">
        <f>EdgesData[[#This Row],[Rel]]</f>
        <v>is</v>
      </c>
      <c r="E15" s="26" t="str" cm="1">
        <f t="array" ref="E15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6" spans="1:5" ht="13.9" thickTop="1" thickBot="1" x14ac:dyDescent="0.4">
      <c r="A16" s="22" t="str">
        <f>EdgesData[[#This Row],[Edge ID]]</f>
        <v>n4AB9C546_49D0_4EA2_8498_0D2C04578B1D</v>
      </c>
      <c r="B16" s="22" t="str">
        <f>EdgesData[[#This Row],[Node A ID]]</f>
        <v>nAACCE65E_6554_4FBD_B4D7_A3BA8E3BDB92</v>
      </c>
      <c r="C16" s="22" t="str">
        <f>EdgesData[[#This Row],[Node B ID]]</f>
        <v>nAC688165_B606_4D82_A016_0263D701EDF2</v>
      </c>
      <c r="D16" s="3" t="str">
        <f>EdgesData[[#This Row],[Rel]]</f>
        <v>is</v>
      </c>
      <c r="E16" s="26" t="str" cm="1">
        <f t="array" ref="E16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7" spans="1:5" ht="13.9" thickTop="1" thickBot="1" x14ac:dyDescent="0.4">
      <c r="A17" s="22" t="str">
        <f>EdgesData[[#This Row],[Edge ID]]</f>
        <v>n1774DB80_05C1_4022_AD00_69849ED81D66</v>
      </c>
      <c r="B17" s="22" t="str">
        <f>EdgesData[[#This Row],[Node A ID]]</f>
        <v>nF5B3A52F_6645_4E18_BE53_3CA330AAEC4A</v>
      </c>
      <c r="C17" s="22" t="str">
        <f>EdgesData[[#This Row],[Node B ID]]</f>
        <v>n53877DB9_77FA_44E9_974A_BE3344133398</v>
      </c>
      <c r="D17" s="3" t="str">
        <f>EdgesData[[#This Row],[Rel]]</f>
        <v>is</v>
      </c>
      <c r="E17" s="26" t="str" cm="1">
        <f t="array" ref="E17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8" spans="1:5" ht="13.9" thickTop="1" thickBot="1" x14ac:dyDescent="0.4">
      <c r="A18" s="22" t="str">
        <f>EdgesData[[#This Row],[Edge ID]]</f>
        <v>n5FE7C068_1E39_497D_A95C_9B7E7A82CB68</v>
      </c>
      <c r="B18" s="22" t="str">
        <f>EdgesData[[#This Row],[Node A ID]]</f>
        <v>nF5B3A52F_6645_4E18_BE53_3CA330AAEC4A</v>
      </c>
      <c r="C18" s="22" t="str">
        <f>EdgesData[[#This Row],[Node B ID]]</f>
        <v>nAC688165_B606_4D82_A016_0263D701EDF2</v>
      </c>
      <c r="D18" s="3" t="str">
        <f>EdgesData[[#This Row],[Rel]]</f>
        <v>is</v>
      </c>
      <c r="E18" s="26" t="str" cm="1">
        <f t="array" ref="E18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9" spans="1:5" ht="13.9" thickTop="1" thickBot="1" x14ac:dyDescent="0.4">
      <c r="A19" s="22" t="str">
        <f>EdgesData[[#This Row],[Edge ID]]</f>
        <v>n1590C804_C1D3_45D7_9BD1_A699E03C4480</v>
      </c>
      <c r="B19" s="22" t="str">
        <f>EdgesData[[#This Row],[Node A ID]]</f>
        <v>nE75296C8_9CA1_417E_B05B_CC1BDF26F9C3</v>
      </c>
      <c r="C19" s="22" t="str">
        <f>EdgesData[[#This Row],[Node B ID]]</f>
        <v>n53877DB9_77FA_44E9_974A_BE3344133398</v>
      </c>
      <c r="D19" s="3" t="str">
        <f>EdgesData[[#This Row],[Rel]]</f>
        <v>is</v>
      </c>
      <c r="E19" s="26" t="str" cm="1">
        <f t="array" ref="E19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20" spans="1:5" ht="13.9" thickTop="1" thickBot="1" x14ac:dyDescent="0.4">
      <c r="A20" s="22" t="str">
        <f>EdgesData[[#This Row],[Edge ID]]</f>
        <v>n1C84502F_9CE4_45AD_8152_4C28CF43CC7A</v>
      </c>
      <c r="B20" s="22" t="str">
        <f>EdgesData[[#This Row],[Node A ID]]</f>
        <v>nE75296C8_9CA1_417E_B05B_CC1BDF26F9C3</v>
      </c>
      <c r="C20" s="22" t="str">
        <f>EdgesData[[#This Row],[Node B ID]]</f>
        <v>nAC688165_B606_4D82_A016_0263D701EDF2</v>
      </c>
      <c r="D20" s="3" t="str">
        <f>EdgesData[[#This Row],[Rel]]</f>
        <v>is</v>
      </c>
      <c r="E20" s="26" t="str" cm="1">
        <f t="array" ref="E20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1" spans="1:5" ht="13.9" thickTop="1" thickBot="1" x14ac:dyDescent="0.4">
      <c r="A21" s="22" t="str">
        <f>EdgesData[[#This Row],[Edge ID]]</f>
        <v>n58FF34AB_C0AD_4329_B54F_8DA88A1CEA2B</v>
      </c>
      <c r="B21" s="22" t="str">
        <f>EdgesData[[#This Row],[Node A ID]]</f>
        <v>n3E35442D_91A0_4B21_B0FC_31EF1D8BC55F</v>
      </c>
      <c r="C21" s="22" t="str">
        <f>EdgesData[[#This Row],[Node B ID]]</f>
        <v>n53877DB9_77FA_44E9_974A_BE3344133398</v>
      </c>
      <c r="D21" s="3" t="str">
        <f>EdgesData[[#This Row],[Rel]]</f>
        <v>is</v>
      </c>
      <c r="E21" s="26" t="str" cm="1">
        <f t="array" ref="E21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2" spans="1:5" ht="13.9" thickTop="1" thickBot="1" x14ac:dyDescent="0.4">
      <c r="A22" s="22" t="str">
        <f>EdgesData[[#This Row],[Edge ID]]</f>
        <v>nC04D4E4C_23D6_4E6A_B5A4_713BF692C4A9</v>
      </c>
      <c r="B22" s="22" t="str">
        <f>EdgesData[[#This Row],[Node A ID]]</f>
        <v>n3E35442D_91A0_4B21_B0FC_31EF1D8BC55F</v>
      </c>
      <c r="C22" s="22" t="str">
        <f>EdgesData[[#This Row],[Node B ID]]</f>
        <v>nAC688165_B606_4D82_A016_0263D701EDF2</v>
      </c>
      <c r="D22" s="3" t="str">
        <f>EdgesData[[#This Row],[Rel]]</f>
        <v>is</v>
      </c>
      <c r="E22" s="26" t="str" cm="1">
        <f t="array" ref="E22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3" spans="1:5" ht="13.9" thickTop="1" thickBot="1" x14ac:dyDescent="0.4">
      <c r="A23" s="22" t="str">
        <f>EdgesData[[#This Row],[Edge ID]]</f>
        <v>nA91494B0_E4BA_4773_AE36_FBC723F16E58</v>
      </c>
      <c r="B23" s="22" t="str">
        <f>EdgesData[[#This Row],[Node A ID]]</f>
        <v>n99E2EC41_CA7B_41FD_8304_3926884533F9</v>
      </c>
      <c r="C23" s="22" t="str">
        <f>EdgesData[[#This Row],[Node B ID]]</f>
        <v>n67C132A3_290E_4750_90DE_11E7C1778537</v>
      </c>
      <c r="D23" s="3" t="str">
        <f>EdgesData[[#This Row],[Rel]]</f>
        <v>is</v>
      </c>
      <c r="E23" s="26" t="str" cm="1">
        <f t="array" ref="E23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4" spans="1:5" ht="13.9" thickTop="1" thickBot="1" x14ac:dyDescent="0.4">
      <c r="A24" s="22" t="str">
        <f>EdgesData[[#This Row],[Edge ID]]</f>
        <v>n2A19C71F_AFEB_4CB7_ABBC_B7834D29F28C</v>
      </c>
      <c r="B24" s="22" t="str">
        <f>EdgesData[[#This Row],[Node A ID]]</f>
        <v>nFF2EA87E_84ED_44A7_83DE_4A3C4C0F01DF</v>
      </c>
      <c r="C24" s="22" t="str">
        <f>EdgesData[[#This Row],[Node B ID]]</f>
        <v>n53877DB9_77FA_44E9_974A_BE3344133398</v>
      </c>
      <c r="D24" s="3" t="str">
        <f>EdgesData[[#This Row],[Rel]]</f>
        <v>is</v>
      </c>
      <c r="E24" s="26" t="str" cm="1">
        <f t="array" ref="E24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5" spans="1:5" ht="13.9" thickTop="1" thickBot="1" x14ac:dyDescent="0.4">
      <c r="A25" s="22" t="str">
        <f>EdgesData[[#This Row],[Edge ID]]</f>
        <v>nD0C6BF06_6975_4E42_948E_4BA9B597C722</v>
      </c>
      <c r="B25" s="22" t="str">
        <f>EdgesData[[#This Row],[Node A ID]]</f>
        <v>nFF2EA87E_84ED_44A7_83DE_4A3C4C0F01DF</v>
      </c>
      <c r="C25" s="22" t="str">
        <f>EdgesData[[#This Row],[Node B ID]]</f>
        <v>nAC688165_B606_4D82_A016_0263D701EDF2</v>
      </c>
      <c r="D25" s="3" t="str">
        <f>EdgesData[[#This Row],[Rel]]</f>
        <v>is</v>
      </c>
      <c r="E25" s="26" t="str" cm="1">
        <f t="array" ref="E25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6" spans="1:5" ht="13.9" thickTop="1" thickBot="1" x14ac:dyDescent="0.4">
      <c r="A26" s="22" t="str">
        <f>EdgesData[[#This Row],[Edge ID]]</f>
        <v>n65CE68B0_0066_483B_B881_3572D2E95D0A</v>
      </c>
      <c r="B26" s="22" t="str">
        <f>EdgesData[[#This Row],[Node A ID]]</f>
        <v>n940256DD_635E_4F4B_91EA_B3366D40E947</v>
      </c>
      <c r="C26" s="22" t="str">
        <f>EdgesData[[#This Row],[Node B ID]]</f>
        <v>n80310A12_2F48_48B9_A9C3_E6FADD4B55C9</v>
      </c>
      <c r="D26" s="3" t="str">
        <f>EdgesData[[#This Row],[Rel]]</f>
        <v>is</v>
      </c>
      <c r="E26" s="26" t="str" cm="1">
        <f t="array" ref="E26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7" spans="1:5" ht="13.9" thickTop="1" thickBot="1" x14ac:dyDescent="0.4">
      <c r="A27" s="22" t="str">
        <f>EdgesData[[#This Row],[Edge ID]]</f>
        <v>nF451769F_A5E2_475A_89F0_5DCF08D27D4F</v>
      </c>
      <c r="B27" s="22" t="str">
        <f>EdgesData[[#This Row],[Node A ID]]</f>
        <v>nBB725018_7327_49FB_A48A_74839D0C04F9</v>
      </c>
      <c r="C27" s="22" t="str">
        <f>EdgesData[[#This Row],[Node B ID]]</f>
        <v>n80310A12_2F48_48B9_A9C3_E6FADD4B55C9</v>
      </c>
      <c r="D27" s="3" t="str">
        <f>EdgesData[[#This Row],[Rel]]</f>
        <v>is</v>
      </c>
      <c r="E27" s="26" t="str" cm="1">
        <f t="array" ref="E27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8" spans="1:5" ht="13.9" thickTop="1" thickBot="1" x14ac:dyDescent="0.4">
      <c r="A28" s="22" t="str">
        <f>EdgesData[[#This Row],[Edge ID]]</f>
        <v>n73EBE6B5_2ED2_404F_A9CE_C06A461A9CF9</v>
      </c>
      <c r="B28" s="22" t="str">
        <f>EdgesData[[#This Row],[Node A ID]]</f>
        <v>nC607594D_D597_4C8E_9605_EED87566C2FD</v>
      </c>
      <c r="C28" s="22" t="str">
        <f>EdgesData[[#This Row],[Node B ID]]</f>
        <v>n80310A12_2F48_48B9_A9C3_E6FADD4B55C9</v>
      </c>
      <c r="D28" s="3" t="str">
        <f>EdgesData[[#This Row],[Rel]]</f>
        <v>composed of</v>
      </c>
      <c r="E28" s="26" t="str" cm="1">
        <f t="array" ref="E28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9" spans="1:5" ht="13.9" thickTop="1" thickBot="1" x14ac:dyDescent="0.4">
      <c r="A29" s="22" t="str">
        <f>EdgesData[[#This Row],[Edge ID]]</f>
        <v>n9CA40070_6FEB_4067_8535_532D52F5CC18</v>
      </c>
      <c r="B29" s="22" t="str">
        <f>EdgesData[[#This Row],[Node A ID]]</f>
        <v>nC607594D_D597_4C8E_9605_EED87566C2FD</v>
      </c>
      <c r="C29" s="22" t="str">
        <f>EdgesData[[#This Row],[Node B ID]]</f>
        <v>nFB32F479_4EF7_409C_900B_EE48AA0DE846</v>
      </c>
      <c r="D29" s="3" t="str">
        <f>EdgesData[[#This Row],[Rel]]</f>
        <v>may have</v>
      </c>
      <c r="E29" s="26" t="str" cm="1">
        <f t="array" ref="E29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30" spans="1:5" ht="13.9" thickTop="1" thickBot="1" x14ac:dyDescent="0.4">
      <c r="A30" s="22" t="str">
        <f>EdgesData[[#This Row],[Edge ID]]</f>
        <v>n87E71156_879E_4B20_B1C3_DA6DCBD5E697</v>
      </c>
      <c r="B30" s="22" t="str">
        <f>EdgesData[[#This Row],[Node A ID]]</f>
        <v>nC607594D_D597_4C8E_9605_EED87566C2FD</v>
      </c>
      <c r="C30" s="22" t="str">
        <f>EdgesData[[#This Row],[Node B ID]]</f>
        <v>nFA6C8A63_7071_4E20_BB02_F78403869E0B</v>
      </c>
      <c r="D30" s="3" t="str">
        <f>EdgesData[[#This Row],[Rel]]</f>
        <v>may have</v>
      </c>
      <c r="E30" s="26" t="str" cm="1">
        <f t="array" ref="E30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1" spans="1:5" ht="13.9" thickTop="1" thickBot="1" x14ac:dyDescent="0.4">
      <c r="A31" s="22" t="str">
        <f>EdgesData[[#This Row],[Edge ID]]</f>
        <v>n27C3DAA7_18CE_4679_BFDF_AE332BA90AF5</v>
      </c>
      <c r="B31" s="22" t="str">
        <f>EdgesData[[#This Row],[Node A ID]]</f>
        <v>nC607594D_D597_4C8E_9605_EED87566C2FD</v>
      </c>
      <c r="C31" s="22" t="str">
        <f>EdgesData[[#This Row],[Node B ID]]</f>
        <v>nAC062A15_C72B_42D8_BBDF_C7EB64B35F26</v>
      </c>
      <c r="D31" s="3" t="str">
        <f>EdgesData[[#This Row],[Rel]]</f>
        <v>may have</v>
      </c>
      <c r="E31" s="26" t="str" cm="1">
        <f t="array" ref="E31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2" spans="1:5" ht="13.9" thickTop="1" thickBot="1" x14ac:dyDescent="0.4">
      <c r="A32" s="22" t="str">
        <f>EdgesData[[#This Row],[Edge ID]]</f>
        <v>n0CBC93F4_6EAE_4195_8F35_23C763EA6BED</v>
      </c>
      <c r="B32" s="22" t="str">
        <f>EdgesData[[#This Row],[Node A ID]]</f>
        <v>nC607594D_D597_4C8E_9605_EED87566C2FD</v>
      </c>
      <c r="C32" s="22" t="str">
        <f>EdgesData[[#This Row],[Node B ID]]</f>
        <v>nF3A221C8_C126_458E_818C_DAE6B57CD442</v>
      </c>
      <c r="D32" s="3" t="str">
        <f>EdgesData[[#This Row],[Rel]]</f>
        <v>may have</v>
      </c>
      <c r="E32" s="26" t="str" cm="1">
        <f t="array" ref="E32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3" spans="1:5" ht="13.9" thickTop="1" thickBot="1" x14ac:dyDescent="0.4">
      <c r="A33" s="22" t="str">
        <f>EdgesData[[#This Row],[Edge ID]]</f>
        <v>nD167F915_A861_4436_9497_FFE4AB13F611</v>
      </c>
      <c r="B33" s="22" t="str">
        <f>EdgesData[[#This Row],[Node A ID]]</f>
        <v>nC607594D_D597_4C8E_9605_EED87566C2FD</v>
      </c>
      <c r="C33" s="22" t="str">
        <f>EdgesData[[#This Row],[Node B ID]]</f>
        <v>n2E4A35A7_53BB_4F4B_8554_B6584F77D71D</v>
      </c>
      <c r="D33" s="3" t="str">
        <f>EdgesData[[#This Row],[Rel]]</f>
        <v>regarded as</v>
      </c>
      <c r="E33" s="26" t="str" cm="1">
        <f t="array" ref="E33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4" spans="1:5" ht="13.9" thickTop="1" thickBot="1" x14ac:dyDescent="0.4">
      <c r="A34" s="22" t="str">
        <f>EdgesData[[#This Row],[Edge ID]]</f>
        <v>nD1A0D0FD_3118_45AC_BAD3_26E89DBD57DC</v>
      </c>
      <c r="B34" s="22" t="str">
        <f>EdgesData[[#This Row],[Node A ID]]</f>
        <v>n35F5759D_AAFF_439C_A04E_623AA07EE4D9</v>
      </c>
      <c r="C34" s="22" t="str">
        <f>EdgesData[[#This Row],[Node B ID]]</f>
        <v>n2F27DDAD_459D_4B06_9152_168BDF5063F5</v>
      </c>
      <c r="D34" s="3" t="str">
        <f>EdgesData[[#This Row],[Rel]]</f>
        <v>synonym for</v>
      </c>
      <c r="E34" s="26" t="str" cm="1">
        <f t="array" ref="E34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5" spans="1:5" ht="13.9" thickTop="1" thickBot="1" x14ac:dyDescent="0.4">
      <c r="A35" s="22" t="str">
        <f>EdgesData[[#This Row],[Edge ID]]</f>
        <v>n2B5ADEF6_C211_4176_ACE9_EC6BB881B4B9</v>
      </c>
      <c r="B35" s="22" t="str">
        <f>EdgesData[[#This Row],[Node A ID]]</f>
        <v>n35F5759D_AAFF_439C_A04E_623AA07EE4D9</v>
      </c>
      <c r="C35" s="22" t="str">
        <f>EdgesData[[#This Row],[Node B ID]]</f>
        <v>n53877DB9_77FA_44E9_974A_BE3344133398</v>
      </c>
      <c r="D35" s="3" t="str">
        <f>EdgesData[[#This Row],[Rel]]</f>
        <v>is</v>
      </c>
      <c r="E35" s="26" t="str" cm="1">
        <f t="array" ref="E35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6" spans="1:5" ht="13.9" thickTop="1" thickBot="1" x14ac:dyDescent="0.4">
      <c r="A36" s="22" t="str">
        <f>EdgesData[[#This Row],[Edge ID]]</f>
        <v>n11F85AC2_D11B_452F_BF41_FAA417F534DE</v>
      </c>
      <c r="B36" s="22" t="str">
        <f>EdgesData[[#This Row],[Node A ID]]</f>
        <v>n35F5759D_AAFF_439C_A04E_623AA07EE4D9</v>
      </c>
      <c r="C36" s="22" t="str">
        <f>EdgesData[[#This Row],[Node B ID]]</f>
        <v>nAC688165_B606_4D82_A016_0263D701EDF2</v>
      </c>
      <c r="D36" s="3" t="str">
        <f>EdgesData[[#This Row],[Rel]]</f>
        <v>is</v>
      </c>
      <c r="E36" s="26" t="str" cm="1">
        <f t="array" ref="E36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7" spans="1:5" ht="13.9" thickTop="1" thickBot="1" x14ac:dyDescent="0.4">
      <c r="A37" s="22" t="str">
        <f>EdgesData[[#This Row],[Edge ID]]</f>
        <v>n001F8278_2466_4E46_AF78_4E1474840B61</v>
      </c>
      <c r="B37" s="22" t="str">
        <f>EdgesData[[#This Row],[Node A ID]]</f>
        <v>n63EDDBAD_A168_4974_B9D5_9B90FB3F688E</v>
      </c>
      <c r="C37" s="22" t="str">
        <f>EdgesData[[#This Row],[Node B ID]]</f>
        <v>n67C132A3_290E_4750_90DE_11E7C1778537</v>
      </c>
      <c r="D37" s="3" t="str">
        <f>EdgesData[[#This Row],[Rel]]</f>
        <v>is</v>
      </c>
      <c r="E37" s="26" t="str" cm="1">
        <f t="array" ref="E37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8" spans="1:5" ht="13.9" thickTop="1" thickBot="1" x14ac:dyDescent="0.4">
      <c r="A38" s="22" t="str">
        <f>EdgesData[[#This Row],[Edge ID]]</f>
        <v>nEDB85302_2B45_41AE_A687_7FC6755CC78A</v>
      </c>
      <c r="B38" s="22" t="str">
        <f>EdgesData[[#This Row],[Node A ID]]</f>
        <v>nC63D5B91_5DF9_4B35_856B_670E59CF1CA0</v>
      </c>
      <c r="C38" s="22" t="str">
        <f>EdgesData[[#This Row],[Node B ID]]</f>
        <v>n53877DB9_77FA_44E9_974A_BE3344133398</v>
      </c>
      <c r="D38" s="3" t="str">
        <f>EdgesData[[#This Row],[Rel]]</f>
        <v>is</v>
      </c>
      <c r="E38" s="26" t="str" cm="1">
        <f t="array" ref="E38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9" spans="1:5" ht="13.9" thickTop="1" thickBot="1" x14ac:dyDescent="0.4">
      <c r="A39" s="22" t="str">
        <f>EdgesData[[#This Row],[Edge ID]]</f>
        <v>n70FF5999_70A6_4341_A798_FF05730D05E4</v>
      </c>
      <c r="B39" s="22" t="str">
        <f>EdgesData[[#This Row],[Node A ID]]</f>
        <v>nC63D5B91_5DF9_4B35_856B_670E59CF1CA0</v>
      </c>
      <c r="C39" s="22" t="str">
        <f>EdgesData[[#This Row],[Node B ID]]</f>
        <v>nAC688165_B606_4D82_A016_0263D701EDF2</v>
      </c>
      <c r="D39" s="3" t="str">
        <f>EdgesData[[#This Row],[Rel]]</f>
        <v>is</v>
      </c>
      <c r="E39" s="26" t="str" cm="1">
        <f t="array" ref="E39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40" spans="1:5" ht="13.9" thickTop="1" thickBot="1" x14ac:dyDescent="0.4">
      <c r="A40" s="22" t="str">
        <f>EdgesData[[#This Row],[Edge ID]]</f>
        <v>n15F3F73F_656D_4BBB_9AC3_F84EFC304F9B</v>
      </c>
      <c r="B40" s="22" t="str">
        <f>EdgesData[[#This Row],[Node A ID]]</f>
        <v>nE61E61F3_D210_49D4_9FB5_8E7744490C9D</v>
      </c>
      <c r="C40" s="22" t="str">
        <f>EdgesData[[#This Row],[Node B ID]]</f>
        <v>n67C132A3_290E_4750_90DE_11E7C1778537</v>
      </c>
      <c r="D40" s="3" t="str">
        <f>EdgesData[[#This Row],[Rel]]</f>
        <v>is</v>
      </c>
      <c r="E40" s="26" t="str" cm="1">
        <f t="array" ref="E40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1" spans="1:5" ht="13.9" thickTop="1" thickBot="1" x14ac:dyDescent="0.4">
      <c r="A41" s="22" t="str">
        <f>EdgesData[[#This Row],[Edge ID]]</f>
        <v>nFD6CE81D_6B06_469F_A64B_3ECF2578FB31</v>
      </c>
      <c r="B41" s="22" t="str">
        <f>EdgesData[[#This Row],[Node A ID]]</f>
        <v>nF4329B4E_89AE_4B13_8BA2_B6BEFB931A12</v>
      </c>
      <c r="C41" s="22" t="str">
        <f>EdgesData[[#This Row],[Node B ID]]</f>
        <v>n53877DB9_77FA_44E9_974A_BE3344133398</v>
      </c>
      <c r="D41" s="3" t="str">
        <f>EdgesData[[#This Row],[Rel]]</f>
        <v>is</v>
      </c>
      <c r="E41" s="26" t="str" cm="1">
        <f t="array" ref="E41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2" spans="1:5" ht="13.9" thickTop="1" thickBot="1" x14ac:dyDescent="0.4">
      <c r="A42" s="22" t="str">
        <f>EdgesData[[#This Row],[Edge ID]]</f>
        <v>n6D604365_C71A_4947_B0C6_C3C723101DA5</v>
      </c>
      <c r="B42" s="22" t="str">
        <f>EdgesData[[#This Row],[Node A ID]]</f>
        <v>nF4329B4E_89AE_4B13_8BA2_B6BEFB931A12</v>
      </c>
      <c r="C42" s="22" t="str">
        <f>EdgesData[[#This Row],[Node B ID]]</f>
        <v>nAC688165_B606_4D82_A016_0263D701EDF2</v>
      </c>
      <c r="D42" s="3" t="str">
        <f>EdgesData[[#This Row],[Rel]]</f>
        <v>is</v>
      </c>
      <c r="E42" s="26" t="str" cm="1">
        <f t="array" ref="E42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3" spans="1:5" ht="13.9" thickTop="1" thickBot="1" x14ac:dyDescent="0.4">
      <c r="A43" s="22" t="str">
        <f>EdgesData[[#This Row],[Edge ID]]</f>
        <v>n4884F8ED_EB06_4C77_8CB8_03E3BD0B0DF6</v>
      </c>
      <c r="B43" s="22" t="str">
        <f>EdgesData[[#This Row],[Node A ID]]</f>
        <v>nD67337C3_82D6_4A00_9312_77ECF955E4EE</v>
      </c>
      <c r="C43" s="22" t="str">
        <f>EdgesData[[#This Row],[Node B ID]]</f>
        <v>n53877DB9_77FA_44E9_974A_BE3344133398</v>
      </c>
      <c r="D43" s="3" t="str">
        <f>EdgesData[[#This Row],[Rel]]</f>
        <v>is</v>
      </c>
      <c r="E43" s="26" t="str" cm="1">
        <f t="array" ref="E43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4" spans="1:5" ht="13.9" thickTop="1" thickBot="1" x14ac:dyDescent="0.4">
      <c r="A44" s="22" t="str">
        <f>EdgesData[[#This Row],[Edge ID]]</f>
        <v>n59BAA06D_2BF6_4A51_B53B_A8361236B480</v>
      </c>
      <c r="B44" s="22" t="str">
        <f>EdgesData[[#This Row],[Node A ID]]</f>
        <v>nD67337C3_82D6_4A00_9312_77ECF955E4EE</v>
      </c>
      <c r="C44" s="22" t="str">
        <f>EdgesData[[#This Row],[Node B ID]]</f>
        <v>nAC688165_B606_4D82_A016_0263D701EDF2</v>
      </c>
      <c r="D44" s="3" t="str">
        <f>EdgesData[[#This Row],[Rel]]</f>
        <v>is</v>
      </c>
      <c r="E44" s="26" t="str" cm="1">
        <f t="array" ref="E44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5" spans="1:5" ht="13.9" thickTop="1" thickBot="1" x14ac:dyDescent="0.4">
      <c r="A45" s="22" t="str">
        <f>EdgesData[[#This Row],[Edge ID]]</f>
        <v>n1077CFA1_7D9B_4396_844D_B149B6ABF35D</v>
      </c>
      <c r="B45" s="22" t="str">
        <f>EdgesData[[#This Row],[Node A ID]]</f>
        <v>n8B4BB7FC_2E2A_4C1A_8657_58EEC2DF8A9A</v>
      </c>
      <c r="C45" s="22" t="str">
        <f>EdgesData[[#This Row],[Node B ID]]</f>
        <v>n67C132A3_290E_4750_90DE_11E7C1778537</v>
      </c>
      <c r="D45" s="3" t="str">
        <f>EdgesData[[#This Row],[Rel]]</f>
        <v>is</v>
      </c>
      <c r="E45" s="26" t="str" cm="1">
        <f t="array" ref="E45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6" spans="1:5" ht="13.9" thickTop="1" thickBot="1" x14ac:dyDescent="0.4">
      <c r="A46" s="22" t="str">
        <f>EdgesData[[#This Row],[Edge ID]]</f>
        <v>nE94E97D6_EDA3_48F8_B3A2_FF2D38612803</v>
      </c>
      <c r="B46" s="22" t="str">
        <f>EdgesData[[#This Row],[Node A ID]]</f>
        <v>nF44C30A8_A797_4F0C_9C18_D87E7D5A8B88</v>
      </c>
      <c r="C46" s="22" t="str">
        <f>EdgesData[[#This Row],[Node B ID]]</f>
        <v>n67C132A3_290E_4750_90DE_11E7C1778537</v>
      </c>
      <c r="D46" s="3" t="str">
        <f>EdgesData[[#This Row],[Rel]]</f>
        <v>is</v>
      </c>
      <c r="E46" s="26" t="str" cm="1">
        <f t="array" ref="E46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7" spans="1:5" ht="13.9" thickTop="1" thickBot="1" x14ac:dyDescent="0.4">
      <c r="A47" s="22" t="str">
        <f>EdgesData[[#This Row],[Edge ID]]</f>
        <v>n54777CBB_23A1_4D88_9399_8132024209B6</v>
      </c>
      <c r="B47" s="22" t="str">
        <f>EdgesData[[#This Row],[Node A ID]]</f>
        <v>n2F27DDAD_459D_4B06_9152_168BDF5063F5</v>
      </c>
      <c r="C47" s="22" t="str">
        <f>EdgesData[[#This Row],[Node B ID]]</f>
        <v>n53877DB9_77FA_44E9_974A_BE3344133398</v>
      </c>
      <c r="D47" s="3" t="str">
        <f>EdgesData[[#This Row],[Rel]]</f>
        <v>is</v>
      </c>
      <c r="E47" s="26" t="str" cm="1">
        <f t="array" ref="E47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8" spans="1:5" ht="13.9" thickTop="1" thickBot="1" x14ac:dyDescent="0.4">
      <c r="A48" s="22" t="str">
        <f>EdgesData[[#This Row],[Edge ID]]</f>
        <v>n08F36C07_95CB_4A9F_8AF7_DA92D0D85FAD</v>
      </c>
      <c r="B48" s="22" t="str">
        <f>EdgesData[[#This Row],[Node A ID]]</f>
        <v>n2F27DDAD_459D_4B06_9152_168BDF5063F5</v>
      </c>
      <c r="C48" s="22" t="str">
        <f>EdgesData[[#This Row],[Node B ID]]</f>
        <v>nAC688165_B606_4D82_A016_0263D701EDF2</v>
      </c>
      <c r="D48" s="3" t="str">
        <f>EdgesData[[#This Row],[Rel]]</f>
        <v>is</v>
      </c>
      <c r="E48" s="26" t="str" cm="1">
        <f t="array" ref="E48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9" spans="1:5" ht="13.9" thickTop="1" thickBot="1" x14ac:dyDescent="0.4">
      <c r="A49" s="22" t="str">
        <f>EdgesData[[#This Row],[Edge ID]]</f>
        <v>nA8B2A66F_C080_41DF_B473_E0485D490580</v>
      </c>
      <c r="B49" s="22" t="str">
        <f>EdgesData[[#This Row],[Node A ID]]</f>
        <v>nC196E133_4263_4398_B44A_B3053AC5D0E8</v>
      </c>
      <c r="C49" s="22" t="str">
        <f>EdgesData[[#This Row],[Node B ID]]</f>
        <v>n53877DB9_77FA_44E9_974A_BE3344133398</v>
      </c>
      <c r="D49" s="3" t="str">
        <f>EdgesData[[#This Row],[Rel]]</f>
        <v>is</v>
      </c>
      <c r="E49" s="26" t="str" cm="1">
        <f t="array" ref="E49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50" spans="1:5" ht="13.9" thickTop="1" thickBot="1" x14ac:dyDescent="0.4">
      <c r="A50" s="22" t="str">
        <f>EdgesData[[#This Row],[Edge ID]]</f>
        <v>nE1568646_8A29_4498_8C6C_7219DE88E7DA</v>
      </c>
      <c r="B50" s="22" t="str">
        <f>EdgesData[[#This Row],[Node A ID]]</f>
        <v>nC196E133_4263_4398_B44A_B3053AC5D0E8</v>
      </c>
      <c r="C50" s="22" t="str">
        <f>EdgesData[[#This Row],[Node B ID]]</f>
        <v>nAC688165_B606_4D82_A016_0263D701EDF2</v>
      </c>
      <c r="D50" s="3" t="str">
        <f>EdgesData[[#This Row],[Rel]]</f>
        <v>is</v>
      </c>
      <c r="E50" s="26" t="str" cm="1">
        <f t="array" ref="E50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1" spans="1:5" ht="13.9" thickTop="1" thickBot="1" x14ac:dyDescent="0.4">
      <c r="A51" s="28" t="str">
        <f>EdgesData[[#This Row],[Edge ID]]</f>
        <v>n0A451CF0_22E0_44D3_AB03_3E608F7531FA</v>
      </c>
      <c r="B51" s="28" t="str">
        <f>EdgesData[[#This Row],[Node A ID]]</f>
        <v>nE9C9661B_8C28_413E_A8E3_A720E03C04B7</v>
      </c>
      <c r="C51" s="28" t="str">
        <f>EdgesData[[#This Row],[Node B ID]]</f>
        <v>n23656C0A_A156_405F_9FF8_7AE62FD6FB07</v>
      </c>
      <c r="D51" s="4" t="str">
        <f>EdgesData[[#This Row],[Rel]]</f>
        <v>is</v>
      </c>
      <c r="E51" s="26" t="str" cm="1">
        <f t="array" ref="E51">IF(ROW(EdgesJSON[[#This Row],[id]])&gt;ROW(EdgesJSON[[#Headers],[JSON]])+1,",","") &amp;"{"&amp;twoRangesToJSON(EdgesJSON[[#Headers],[id]:[label]],EdgesJSON[[#This Row],[id]:[label]])&amp;"}"</f>
        <v>,{"id":"n0A451CF0_22E0_44D3_AB03_3E608F7531FA","from":"nE9C9661B_8C28_413E_A8E3_A720E03C04B7","to":"n23656C0A_A156_405F_9FF8_7AE62FD6FB07","label":"is"}</v>
      </c>
    </row>
    <row r="52" spans="1:5" ht="13.9" thickTop="1" thickBot="1" x14ac:dyDescent="0.4">
      <c r="A52" s="28" t="str">
        <f>EdgesData[[#This Row],[Edge ID]]</f>
        <v>nE8DE4BFE_8184_4CDB_AB2B_F5BBB01DDEC9</v>
      </c>
      <c r="B52" s="28" t="str">
        <f>EdgesData[[#This Row],[Node A ID]]</f>
        <v>n23656C0A_A156_405F_9FF8_7AE62FD6FB07</v>
      </c>
      <c r="C52" s="28" t="str">
        <f>EdgesData[[#This Row],[Node B ID]]</f>
        <v>nBC613B66_5F94_4F48_91BD_5F6BBA766E79</v>
      </c>
      <c r="D52" s="4" t="str">
        <f>EdgesData[[#This Row],[Rel]]</f>
        <v>is</v>
      </c>
      <c r="E52" s="26" t="str" cm="1">
        <f t="array" ref="E52">IF(ROW(EdgesJSON[[#This Row],[id]])&gt;ROW(EdgesJSON[[#Headers],[JSON]])+1,",","") &amp;"{"&amp;twoRangesToJSON(EdgesJSON[[#Headers],[id]:[label]],EdgesJSON[[#This Row],[id]:[label]])&amp;"}"</f>
        <v>,{"id":"nE8DE4BFE_8184_4CDB_AB2B_F5BBB01DDEC9","from":"n23656C0A_A156_405F_9FF8_7AE62FD6FB07","to":"nBC613B66_5F94_4F48_91BD_5F6BBA766E79","label":"is"}</v>
      </c>
    </row>
    <row r="53" spans="1:5" ht="13.9" thickTop="1" thickBot="1" x14ac:dyDescent="0.4">
      <c r="A53" s="28" t="str">
        <f>EdgesData[[#This Row],[Edge ID]]</f>
        <v>n4DCA1FCE_1B55_469F_A7BE_191D25CCF3FD</v>
      </c>
      <c r="B53" s="28" t="str">
        <f>EdgesData[[#This Row],[Node A ID]]</f>
        <v>nE9C9661B_8C28_413E_A8E3_A720E03C04B7</v>
      </c>
      <c r="C53" s="28" t="str">
        <f>EdgesData[[#This Row],[Node B ID]]</f>
        <v>n02B81E29_1266_4611_897E_FD90C5DD5788</v>
      </c>
      <c r="D53" s="4" t="str">
        <f>EdgesData[[#This Row],[Rel]]</f>
        <v>committed by</v>
      </c>
      <c r="E53" s="26" t="str" cm="1">
        <f t="array" ref="E53">IF(ROW(EdgesJSON[[#This Row],[id]])&gt;ROW(EdgesJSON[[#Headers],[JSON]])+1,",","") &amp;"{"&amp;twoRangesToJSON(EdgesJSON[[#Headers],[id]:[label]],EdgesJSON[[#This Row],[id]:[label]])&amp;"}"</f>
        <v>,{"id":"n4DCA1FCE_1B55_469F_A7BE_191D25CCF3FD","from":"nE9C9661B_8C28_413E_A8E3_A720E03C04B7","to":"n02B81E29_1266_4611_897E_FD90C5DD5788","label":"committed by"}</v>
      </c>
    </row>
    <row r="54" spans="1:5" ht="13.9" thickTop="1" thickBot="1" x14ac:dyDescent="0.4">
      <c r="A54" s="28" t="str">
        <f>EdgesData[[#This Row],[Edge ID]]</f>
        <v>n13EF72AA_08CA_410B_B24C_89AAA3D27701</v>
      </c>
      <c r="B54" s="28" t="str">
        <f>EdgesData[[#This Row],[Node A ID]]</f>
        <v>nE9C9661B_8C28_413E_A8E3_A720E03C04B7</v>
      </c>
      <c r="C54" s="28" t="str">
        <f>EdgesData[[#This Row],[Node B ID]]</f>
        <v>n89FBB4A6_DF18_465F_9DA3_BD367759F09E</v>
      </c>
      <c r="D54" s="4" t="str">
        <f>EdgesData[[#This Row],[Rel]]</f>
        <v>victimize</v>
      </c>
      <c r="E54" s="26" t="str" cm="1">
        <f t="array" ref="E54">IF(ROW(EdgesJSON[[#This Row],[id]])&gt;ROW(EdgesJSON[[#Headers],[JSON]])+1,",","") &amp;"{"&amp;twoRangesToJSON(EdgesJSON[[#Headers],[id]:[label]],EdgesJSON[[#This Row],[id]:[label]])&amp;"}"</f>
        <v>,{"id":"n13EF72AA_08CA_410B_B24C_89AAA3D27701","from":"nE9C9661B_8C28_413E_A8E3_A720E03C04B7","to":"n89FBB4A6_DF18_465F_9DA3_BD367759F09E","label":"victimize"}</v>
      </c>
    </row>
    <row r="55" spans="1:5" ht="13.9" thickTop="1" thickBot="1" x14ac:dyDescent="0.4">
      <c r="A55" s="28" t="str">
        <f>EdgesData[[#This Row],[Edge ID]]</f>
        <v>nB26195B6_F9CB_4615_844F_03A801F54319</v>
      </c>
      <c r="B55" s="28" t="str">
        <f>EdgesData[[#This Row],[Node A ID]]</f>
        <v>n02B81E29_1266_4611_897E_FD90C5DD5788</v>
      </c>
      <c r="C55" s="28" t="str">
        <f>EdgesData[[#This Row],[Node B ID]]</f>
        <v>nF28EF766_A810_4024_A03F_F62A899E2EE6</v>
      </c>
      <c r="D55" s="4" t="str">
        <f>EdgesData[[#This Row],[Rel]]</f>
        <v>control</v>
      </c>
      <c r="E55" s="26" t="str" cm="1">
        <f t="array" ref="E55">IF(ROW(EdgesJSON[[#This Row],[id]])&gt;ROW(EdgesJSON[[#Headers],[JSON]])+1,",","") &amp;"{"&amp;twoRangesToJSON(EdgesJSON[[#Headers],[id]:[label]],EdgesJSON[[#This Row],[id]:[label]])&amp;"}"</f>
        <v>,{"id":"nB26195B6_F9CB_4615_844F_03A801F54319","from":"n02B81E29_1266_4611_897E_FD90C5DD5788","to":"nF28EF766_A810_4024_A03F_F62A899E2EE6","label":"control"}</v>
      </c>
    </row>
    <row r="56" spans="1:5" ht="13.9" thickTop="1" thickBot="1" x14ac:dyDescent="0.4">
      <c r="A56" s="28" t="str">
        <f>EdgesData[[#This Row],[Edge ID]]</f>
        <v>n7E6F3531_1C90_4207_87E3_03DC75297CD1</v>
      </c>
      <c r="B56" s="28" t="str">
        <f>EdgesData[[#This Row],[Node A ID]]</f>
        <v>n89FBB4A6_DF18_465F_9DA3_BD367759F09E</v>
      </c>
      <c r="C56" s="28" t="str">
        <f>EdgesData[[#This Row],[Node B ID]]</f>
        <v>nF28EF766_A810_4024_A03F_F62A899E2EE6</v>
      </c>
      <c r="D56" s="4" t="str">
        <f>EdgesData[[#This Row],[Rel]]</f>
        <v>owns</v>
      </c>
      <c r="E56" s="26" t="str" cm="1">
        <f t="array" ref="E56">IF(ROW(EdgesJSON[[#This Row],[id]])&gt;ROW(EdgesJSON[[#Headers],[JSON]])+1,",","") &amp;"{"&amp;twoRangesToJSON(EdgesJSON[[#Headers],[id]:[label]],EdgesJSON[[#This Row],[id]:[label]])&amp;"}"</f>
        <v>,{"id":"n7E6F3531_1C90_4207_87E3_03DC75297CD1","from":"n89FBB4A6_DF18_465F_9DA3_BD367759F09E","to":"nF28EF766_A810_4024_A03F_F62A899E2EE6","label":"owns"}</v>
      </c>
    </row>
    <row r="57" spans="1:5" ht="13.9" thickTop="1" thickBot="1" x14ac:dyDescent="0.4">
      <c r="A57" s="28" t="str">
        <f>EdgesData[[#This Row],[Edge ID]]</f>
        <v>n486B9FB2_ED32_4106_B93F_8269064F6641</v>
      </c>
      <c r="B57" s="28" t="str">
        <f>EdgesData[[#This Row],[Node A ID]]</f>
        <v>n02B81E29_1266_4611_897E_FD90C5DD5788</v>
      </c>
      <c r="C57" s="28" t="str">
        <f>EdgesData[[#This Row],[Node B ID]]</f>
        <v>n89FBB4A6_DF18_465F_9DA3_BD367759F09E</v>
      </c>
      <c r="D57" s="4" t="str">
        <f>EdgesData[[#This Row],[Rel]]</f>
        <v>distinct from</v>
      </c>
      <c r="E57" s="26" t="str" cm="1">
        <f t="array" ref="E57">IF(ROW(EdgesJSON[[#This Row],[id]])&gt;ROW(EdgesJSON[[#Headers],[JSON]])+1,",","") &amp;"{"&amp;twoRangesToJSON(EdgesJSON[[#Headers],[id]:[label]],EdgesJSON[[#This Row],[id]:[label]])&amp;"}"</f>
        <v>,{"id":"n486B9FB2_ED32_4106_B93F_8269064F6641","from":"n02B81E29_1266_4611_897E_FD90C5DD5788","to":"n89FBB4A6_DF18_465F_9DA3_BD367759F09E","label":"distinct from"}</v>
      </c>
    </row>
    <row r="58" spans="1:5" ht="13.9" thickTop="1" thickBot="1" x14ac:dyDescent="0.4">
      <c r="A58" s="28" t="str">
        <f>EdgesData[[#This Row],[Edge ID]]</f>
        <v>nB02D7F5B_26E1_4631_97FB_9B92CB3DD9A1</v>
      </c>
      <c r="B58" s="28" t="str">
        <f>EdgesData[[#This Row],[Node A ID]]</f>
        <v>n02B81E29_1266_4611_897E_FD90C5DD5788</v>
      </c>
      <c r="C58" s="28" t="str">
        <f>EdgesData[[#This Row],[Node B ID]]</f>
        <v>n52564682_5FAD_48CB_A320_6CFE17950D03</v>
      </c>
      <c r="D58" s="4" t="str">
        <f>EdgesData[[#This Row],[Rel]]</f>
        <v>may be motivated by</v>
      </c>
      <c r="E58" s="26" t="str" cm="1">
        <f t="array" ref="E58">IF(ROW(EdgesJSON[[#This Row],[id]])&gt;ROW(EdgesJSON[[#Headers],[JSON]])+1,",","") &amp;"{"&amp;twoRangesToJSON(EdgesJSON[[#Headers],[id]:[label]],EdgesJSON[[#This Row],[id]:[label]])&amp;"}"</f>
        <v>,{"id":"nB02D7F5B_26E1_4631_97FB_9B92CB3DD9A1","from":"n02B81E29_1266_4611_897E_FD90C5DD5788","to":"n52564682_5FAD_48CB_A320_6CFE17950D03","label":"may be motivated by"}</v>
      </c>
    </row>
    <row r="59" spans="1:5" ht="13.9" thickTop="1" thickBot="1" x14ac:dyDescent="0.4">
      <c r="A59" s="28" t="str">
        <f>EdgesData[[#This Row],[Edge ID]]</f>
        <v>nD595CAD7_ED6F_44F0_86BB_0C88B965A46D</v>
      </c>
      <c r="B59" s="28" t="str">
        <f>EdgesData[[#This Row],[Node A ID]]</f>
        <v>n02B81E29_1266_4611_897E_FD90C5DD5788</v>
      </c>
      <c r="C59" s="28" t="str">
        <f>EdgesData[[#This Row],[Node B ID]]</f>
        <v>nA59D49F8_3819_4341_A310_19C77AB08AAB</v>
      </c>
      <c r="D59" s="4" t="str">
        <f>EdgesData[[#This Row],[Rel]]</f>
        <v>may be motivated by</v>
      </c>
      <c r="E59" s="26" t="str" cm="1">
        <f t="array" ref="E59">IF(ROW(EdgesJSON[[#This Row],[id]])&gt;ROW(EdgesJSON[[#Headers],[JSON]])+1,",","") &amp;"{"&amp;twoRangesToJSON(EdgesJSON[[#Headers],[id]:[label]],EdgesJSON[[#This Row],[id]:[label]])&amp;"}"</f>
        <v>,{"id":"nD595CAD7_ED6F_44F0_86BB_0C88B965A46D","from":"n02B81E29_1266_4611_897E_FD90C5DD5788","to":"nA59D49F8_3819_4341_A310_19C77AB08AAB","label":"may be motivated by"}</v>
      </c>
    </row>
    <row r="60" spans="1:5" ht="13.9" thickTop="1" thickBot="1" x14ac:dyDescent="0.4">
      <c r="A60" s="28" t="str">
        <f>EdgesData[[#This Row],[Edge ID]]</f>
        <v>n0D36835E_CF22_467A_933C_A4A55A23D57C</v>
      </c>
      <c r="B60" s="28" t="str">
        <f>EdgesData[[#This Row],[Node A ID]]</f>
        <v>n02B81E29_1266_4611_897E_FD90C5DD5788</v>
      </c>
      <c r="C60" s="28" t="str">
        <f>EdgesData[[#This Row],[Node B ID]]</f>
        <v>nC0AF8721_A868_4A4D_9F85_3A6D9B88B489</v>
      </c>
      <c r="D60" s="4" t="str">
        <f>EdgesData[[#This Row],[Rel]]</f>
        <v>may be motivated by</v>
      </c>
      <c r="E60" s="26" t="str" cm="1">
        <f t="array" ref="E60">IF(ROW(EdgesJSON[[#This Row],[id]])&gt;ROW(EdgesJSON[[#Headers],[JSON]])+1,",","") &amp;"{"&amp;twoRangesToJSON(EdgesJSON[[#Headers],[id]:[label]],EdgesJSON[[#This Row],[id]:[label]])&amp;"}"</f>
        <v>,{"id":"n0D36835E_CF22_467A_933C_A4A55A23D57C","from":"n02B81E29_1266_4611_897E_FD90C5DD5788","to":"nC0AF8721_A868_4A4D_9F85_3A6D9B88B489","label":"may be motivated by"}</v>
      </c>
    </row>
    <row r="61" spans="1:5" ht="13.9" thickTop="1" thickBot="1" x14ac:dyDescent="0.4">
      <c r="A61" s="28" t="str">
        <f>EdgesData[[#This Row],[Edge ID]]</f>
        <v>nCB175E38_E6C9_499C_9540_9A5CB69E8E36</v>
      </c>
      <c r="B61" s="28" t="str">
        <f>EdgesData[[#This Row],[Node A ID]]</f>
        <v>n02B81E29_1266_4611_897E_FD90C5DD5788</v>
      </c>
      <c r="C61" s="28" t="str">
        <f>EdgesData[[#This Row],[Node B ID]]</f>
        <v>n4E7B27FA_8562_4EC8_869A_378A5937334A</v>
      </c>
      <c r="D61" s="4" t="str">
        <f>EdgesData[[#This Row],[Rel]]</f>
        <v>has not</v>
      </c>
      <c r="E61" s="26" t="str" cm="1">
        <f t="array" ref="E61">IF(ROW(EdgesJSON[[#This Row],[id]])&gt;ROW(EdgesJSON[[#Headers],[JSON]])+1,",","") &amp;"{"&amp;twoRangesToJSON(EdgesJSON[[#Headers],[id]:[label]],EdgesJSON[[#This Row],[id]:[label]])&amp;"}"</f>
        <v>,{"id":"nCB175E38_E6C9_499C_9540_9A5CB69E8E36","from":"n02B81E29_1266_4611_897E_FD90C5DD5788","to":"n4E7B27FA_8562_4EC8_869A_378A5937334A","label":"has not"}</v>
      </c>
    </row>
    <row r="62" spans="1:5" ht="13.9" thickTop="1" thickBot="1" x14ac:dyDescent="0.4">
      <c r="A62" s="28" t="str">
        <f>EdgesData[[#This Row],[Edge ID]]</f>
        <v>n17260B5F_F54A_4609_A340_8AF19FDCD912</v>
      </c>
      <c r="B62" s="28" t="str">
        <f>EdgesData[[#This Row],[Node A ID]]</f>
        <v>n89FBB4A6_DF18_465F_9DA3_BD367759F09E</v>
      </c>
      <c r="C62" s="28" t="str">
        <f>EdgesData[[#This Row],[Node B ID]]</f>
        <v>n4E7B27FA_8562_4EC8_869A_378A5937334A</v>
      </c>
      <c r="D62" s="4" t="str">
        <f>EdgesData[[#This Row],[Rel]]</f>
        <v>has not</v>
      </c>
      <c r="E62" s="26" t="str" cm="1">
        <f t="array" ref="E62">IF(ROW(EdgesJSON[[#This Row],[id]])&gt;ROW(EdgesJSON[[#Headers],[JSON]])+1,",","") &amp;"{"&amp;twoRangesToJSON(EdgesJSON[[#Headers],[id]:[label]],EdgesJSON[[#This Row],[id]:[label]])&amp;"}"</f>
        <v>,{"id":"n17260B5F_F54A_4609_A340_8AF19FDCD912","from":"n89FBB4A6_DF18_465F_9DA3_BD367759F09E","to":"n4E7B27FA_8562_4EC8_869A_378A5937334A","label":"has not"}</v>
      </c>
    </row>
    <row r="63" spans="1:5" ht="13.9" thickTop="1" thickBot="1" x14ac:dyDescent="0.4">
      <c r="A63" s="28" t="str">
        <f>EdgesData[[#This Row],[Edge ID]]</f>
        <v>n0C8BC5FF_37C2_4FD1_990A_A9B822774FB2</v>
      </c>
      <c r="B63" s="28" t="str">
        <f>EdgesData[[#This Row],[Node A ID]]</f>
        <v>nE9C9661B_8C28_413E_A8E3_A720E03C04B7</v>
      </c>
      <c r="C63" s="28" t="str">
        <f>EdgesData[[#This Row],[Node B ID]]</f>
        <v>nE0352234_7814_467F_8B8B_EF900BACC357</v>
      </c>
      <c r="D63" s="4" t="str">
        <f>EdgesData[[#This Row],[Rel]]</f>
        <v>is</v>
      </c>
      <c r="E63" s="26" t="str" cm="1">
        <f t="array" ref="E63">IF(ROW(EdgesJSON[[#This Row],[id]])&gt;ROW(EdgesJSON[[#Headers],[JSON]])+1,",","") &amp;"{"&amp;twoRangesToJSON(EdgesJSON[[#Headers],[id]:[label]],EdgesJSON[[#This Row],[id]:[label]])&amp;"}"</f>
        <v>,{"id":"n0C8BC5FF_37C2_4FD1_990A_A9B822774FB2","from":"nE9C9661B_8C28_413E_A8E3_A720E03C04B7","to":"nE0352234_7814_467F_8B8B_EF900BACC357","label":"is"}</v>
      </c>
    </row>
    <row r="64" spans="1:5" ht="13.9" thickTop="1" thickBot="1" x14ac:dyDescent="0.4">
      <c r="A64" s="28" t="e">
        <f>EdgesData[[#This Row],[Edge ID]]</f>
        <v>#VALUE!</v>
      </c>
      <c r="B64" s="28" t="e">
        <f>EdgesData[[#This Row],[Node A ID]]</f>
        <v>#VALUE!</v>
      </c>
      <c r="C64" s="28" t="e">
        <f>EdgesData[[#This Row],[Node B ID]]</f>
        <v>#VALUE!</v>
      </c>
      <c r="D64" s="4" t="e">
        <f>EdgesData[[#This Row],[Rel]]</f>
        <v>#VALUE!</v>
      </c>
      <c r="E64" s="26" t="str" cm="1">
        <f t="array" ref="E64">IF(ROW(EdgesJSON[[#This Row],[id]])&gt;ROW(EdgesJSON[[#Headers],[JSON]])+1,",","") &amp;"{"&amp;twoRangesToJSON(EdgesJSON[[#Headers],[id]:[label]],EdgesJSON[[#This Row],[id]:[label]])&amp;"}"</f>
        <v>,{"id":"","from":"","to":"","label":""}</v>
      </c>
    </row>
    <row r="65" spans="1:5" ht="13.9" thickTop="1" thickBot="1" x14ac:dyDescent="0.4">
      <c r="A65" s="28" t="e">
        <f>EdgesData[[#This Row],[Edge ID]]</f>
        <v>#VALUE!</v>
      </c>
      <c r="B65" s="28" t="e">
        <f>EdgesData[[#This Row],[Node A ID]]</f>
        <v>#VALUE!</v>
      </c>
      <c r="C65" s="28" t="e">
        <f>EdgesData[[#This Row],[Node B ID]]</f>
        <v>#VALUE!</v>
      </c>
      <c r="D65" s="4" t="e">
        <f>EdgesData[[#This Row],[Rel]]</f>
        <v>#VALUE!</v>
      </c>
      <c r="E65" s="26" t="str" cm="1">
        <f t="array" ref="E65">IF(ROW(EdgesJSON[[#This Row],[id]])&gt;ROW(EdgesJSON[[#Headers],[JSON]])+1,",","") &amp;"{"&amp;twoRangesToJSON(EdgesJSON[[#Headers],[id]:[label]],EdgesJSON[[#This Row],[id]:[label]])&amp;"}"</f>
        <v>,{"id":"","from":"","to":"","label":""}</v>
      </c>
    </row>
    <row r="66" spans="1:5" ht="13.9" thickTop="1" thickBot="1" x14ac:dyDescent="0.4">
      <c r="A66" s="28" t="e">
        <f>EdgesData[[#This Row],[Edge ID]]</f>
        <v>#VALUE!</v>
      </c>
      <c r="B66" s="28" t="e">
        <f>EdgesData[[#This Row],[Node A ID]]</f>
        <v>#VALUE!</v>
      </c>
      <c r="C66" s="28" t="e">
        <f>EdgesData[[#This Row],[Node B ID]]</f>
        <v>#VALUE!</v>
      </c>
      <c r="D66" s="4" t="e">
        <f>EdgesData[[#This Row],[Rel]]</f>
        <v>#VALUE!</v>
      </c>
      <c r="E66" s="26" t="str" cm="1">
        <f t="array" ref="E66">IF(ROW(EdgesJSON[[#This Row],[id]])&gt;ROW(EdgesJSON[[#Headers],[JSON]])+1,",","") &amp;"{"&amp;twoRangesToJSON(EdgesJSON[[#Headers],[id]:[label]],EdgesJSON[[#This Row],[id]:[label]])&amp;"}"</f>
        <v>,{"id":"","from":"","to":"","label":""}</v>
      </c>
    </row>
    <row r="67" spans="1:5" ht="13.9" thickTop="1" thickBot="1" x14ac:dyDescent="0.4">
      <c r="A67" s="28" t="e">
        <f>EdgesData[[#This Row],[Edge ID]]</f>
        <v>#VALUE!</v>
      </c>
      <c r="B67" s="28" t="e">
        <f>EdgesData[[#This Row],[Node A ID]]</f>
        <v>#VALUE!</v>
      </c>
      <c r="C67" s="28" t="e">
        <f>EdgesData[[#This Row],[Node B ID]]</f>
        <v>#VALUE!</v>
      </c>
      <c r="D67" s="4" t="e">
        <f>EdgesData[[#This Row],[Rel]]</f>
        <v>#VALUE!</v>
      </c>
      <c r="E67" s="26" t="str" cm="1">
        <f t="array" ref="E67">IF(ROW(EdgesJSON[[#This Row],[id]])&gt;ROW(EdgesJSON[[#Headers],[JSON]])+1,",","") &amp;"{"&amp;twoRangesToJSON(EdgesJSON[[#Headers],[id]:[label]],EdgesJSON[[#This Row],[id]:[label]])&amp;"}"</f>
        <v>,{"id":"","from":"","to":"","label":""}</v>
      </c>
    </row>
    <row r="68" spans="1:5" ht="13.9" thickTop="1" thickBot="1" x14ac:dyDescent="0.4">
      <c r="A68" s="28" t="e">
        <f>EdgesData[[#This Row],[Edge ID]]</f>
        <v>#VALUE!</v>
      </c>
      <c r="B68" s="28" t="e">
        <f>EdgesData[[#This Row],[Node A ID]]</f>
        <v>#VALUE!</v>
      </c>
      <c r="C68" s="28" t="e">
        <f>EdgesData[[#This Row],[Node B ID]]</f>
        <v>#VALUE!</v>
      </c>
      <c r="D68" s="4" t="e">
        <f>EdgesData[[#This Row],[Rel]]</f>
        <v>#VALUE!</v>
      </c>
      <c r="E68" s="26" t="str" cm="1">
        <f t="array" ref="E68">IF(ROW(EdgesJSON[[#This Row],[id]])&gt;ROW(EdgesJSON[[#Headers],[JSON]])+1,",","") &amp;"{"&amp;twoRangesToJSON(EdgesJSON[[#Headers],[id]:[label]],EdgesJSON[[#This Row],[id]:[label]])&amp;"}"</f>
        <v>,{"id":"","from":"","to":"","label":""}</v>
      </c>
    </row>
    <row r="69" spans="1:5" ht="13.9" thickTop="1" thickBot="1" x14ac:dyDescent="0.4">
      <c r="A69" s="28" t="e">
        <f>EdgesData[[#This Row],[Edge ID]]</f>
        <v>#VALUE!</v>
      </c>
      <c r="B69" s="28" t="e">
        <f>EdgesData[[#This Row],[Node A ID]]</f>
        <v>#VALUE!</v>
      </c>
      <c r="C69" s="28" t="e">
        <f>EdgesData[[#This Row],[Node B ID]]</f>
        <v>#VALUE!</v>
      </c>
      <c r="D69" s="4" t="e">
        <f>EdgesData[[#This Row],[Rel]]</f>
        <v>#VALUE!</v>
      </c>
      <c r="E69" s="26" t="str" cm="1">
        <f t="array" ref="E69">IF(ROW(EdgesJSON[[#This Row],[id]])&gt;ROW(EdgesJSON[[#Headers],[JSON]])+1,",","") &amp;"{"&amp;twoRangesToJSON(EdgesJSON[[#Headers],[id]:[label]],EdgesJSON[[#This Row],[id]:[label]])&amp;"}"</f>
        <v>,{"id":"","from":"","to":"","label":""}</v>
      </c>
    </row>
    <row r="70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2021-07-10T16:29:05Z</dcterms:modified>
</cp:coreProperties>
</file>