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9B0A85BF-9960-4A5E-BE02-9B9E9DDBBD3C}" xr6:coauthVersionLast="47" xr6:coauthVersionMax="47" xr10:uidLastSave="{00000000-0000-0000-0000-000000000000}"/>
  <bookViews>
    <workbookView xWindow="-98" yWindow="-98" windowWidth="20715" windowHeight="13276" activeTab="4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6" i="14" l="1"/>
  <c r="B66" i="14"/>
  <c r="C66" i="14"/>
  <c r="D66" i="14"/>
  <c r="B66" i="13"/>
  <c r="G66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9" i="3"/>
  <c r="A65" i="14"/>
  <c r="D65" i="14"/>
  <c r="A64" i="14"/>
  <c r="D64" i="14"/>
  <c r="A499" i="12"/>
  <c r="B499" i="12"/>
  <c r="C499" i="12"/>
  <c r="A498" i="12"/>
  <c r="B498" i="12"/>
  <c r="C498" i="12"/>
  <c r="A497" i="12"/>
  <c r="B497" i="12"/>
  <c r="C497" i="12"/>
  <c r="A496" i="12"/>
  <c r="B496" i="12"/>
  <c r="C496" i="12"/>
  <c r="A495" i="12"/>
  <c r="B495" i="12"/>
  <c r="C495" i="12"/>
  <c r="A494" i="12"/>
  <c r="B494" i="12"/>
  <c r="C494" i="12"/>
  <c r="A493" i="12"/>
  <c r="B493" i="12"/>
  <c r="C493" i="12"/>
  <c r="A492" i="12"/>
  <c r="B492" i="12"/>
  <c r="C492" i="12"/>
  <c r="A491" i="12"/>
  <c r="B491" i="12"/>
  <c r="C491" i="12"/>
  <c r="E23" i="3"/>
  <c r="A490" i="12"/>
  <c r="B490" i="12"/>
  <c r="C490" i="12"/>
  <c r="E140" i="3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E25" i="3"/>
  <c r="E41" i="3"/>
  <c r="E84" i="3"/>
  <c r="E176" i="3"/>
  <c r="E214" i="3"/>
  <c r="E226" i="3"/>
  <c r="E21" i="3"/>
  <c r="E231" i="3"/>
  <c r="E24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E100" i="3"/>
  <c r="E83" i="3"/>
  <c r="E82" i="3"/>
  <c r="E81" i="3"/>
  <c r="E80" i="3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E105" i="3"/>
  <c r="E442" i="3"/>
  <c r="E130" i="3"/>
  <c r="E256" i="3"/>
  <c r="E257" i="3"/>
  <c r="E167" i="3"/>
  <c r="E125" i="3"/>
  <c r="E255" i="3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E2" i="3"/>
  <c r="E478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6" i="3"/>
  <c r="E477" i="3"/>
  <c r="E459" i="3"/>
  <c r="E475" i="3"/>
  <c r="E474" i="3"/>
  <c r="E473" i="3"/>
  <c r="E472" i="3"/>
  <c r="E471" i="3"/>
  <c r="E470" i="3"/>
  <c r="E469" i="3"/>
  <c r="E467" i="3"/>
  <c r="E466" i="3"/>
  <c r="E465" i="3"/>
  <c r="E464" i="3"/>
  <c r="E468" i="3"/>
  <c r="E463" i="3"/>
  <c r="E462" i="3"/>
  <c r="E461" i="3"/>
  <c r="E460" i="3"/>
  <c r="E445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4" i="3"/>
  <c r="E441" i="3"/>
  <c r="E443" i="3"/>
  <c r="E427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4" i="3"/>
  <c r="E426" i="3"/>
  <c r="E425" i="3"/>
  <c r="E411" i="3"/>
  <c r="E423" i="3"/>
  <c r="E422" i="3"/>
  <c r="E420" i="3"/>
  <c r="E421" i="3"/>
  <c r="E419" i="3"/>
  <c r="E418" i="3"/>
  <c r="E417" i="3"/>
  <c r="E416" i="3"/>
  <c r="E415" i="3"/>
  <c r="E414" i="3"/>
  <c r="E413" i="3"/>
  <c r="E412" i="3"/>
  <c r="E406" i="3"/>
  <c r="E410" i="3"/>
  <c r="E409" i="3"/>
  <c r="E408" i="3"/>
  <c r="E407" i="3"/>
  <c r="E399" i="3"/>
  <c r="E405" i="3"/>
  <c r="E404" i="3"/>
  <c r="E403" i="3"/>
  <c r="E402" i="3"/>
  <c r="E401" i="3"/>
  <c r="E400" i="3"/>
  <c r="E372" i="3"/>
  <c r="E398" i="3"/>
  <c r="E397" i="3"/>
  <c r="E396" i="3"/>
  <c r="E395" i="3"/>
  <c r="E394" i="3"/>
  <c r="E393" i="3"/>
  <c r="E392" i="3"/>
  <c r="E391" i="3"/>
  <c r="E390" i="3"/>
  <c r="E389" i="3"/>
  <c r="E388" i="3"/>
  <c r="E386" i="3"/>
  <c r="E385" i="3"/>
  <c r="E384" i="3"/>
  <c r="E387" i="3"/>
  <c r="E383" i="3"/>
  <c r="E382" i="3"/>
  <c r="E381" i="3"/>
  <c r="E379" i="3"/>
  <c r="E378" i="3"/>
  <c r="E377" i="3"/>
  <c r="E376" i="3"/>
  <c r="E375" i="3"/>
  <c r="E374" i="3"/>
  <c r="E380" i="3"/>
  <c r="E373" i="3"/>
  <c r="E363" i="3"/>
  <c r="E371" i="3"/>
  <c r="E370" i="3"/>
  <c r="E369" i="3"/>
  <c r="E368" i="3"/>
  <c r="E367" i="3"/>
  <c r="E366" i="3"/>
  <c r="E365" i="3"/>
  <c r="E364" i="3"/>
  <c r="E360" i="3"/>
  <c r="E362" i="3"/>
  <c r="E361" i="3"/>
  <c r="E355" i="3"/>
  <c r="E359" i="3"/>
  <c r="E358" i="3"/>
  <c r="E357" i="3"/>
  <c r="E356" i="3"/>
  <c r="E334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0" i="3"/>
  <c r="E333" i="3"/>
  <c r="E332" i="3"/>
  <c r="E331" i="3"/>
  <c r="E329" i="3"/>
  <c r="E328" i="3"/>
  <c r="E327" i="3"/>
  <c r="E326" i="3"/>
  <c r="E325" i="3"/>
  <c r="E323" i="3"/>
  <c r="E324" i="3"/>
  <c r="E321" i="3"/>
  <c r="E322" i="3"/>
  <c r="E304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1" i="3"/>
  <c r="E303" i="3"/>
  <c r="E302" i="3"/>
  <c r="E295" i="3"/>
  <c r="E300" i="3"/>
  <c r="E299" i="3"/>
  <c r="E298" i="3"/>
  <c r="E297" i="3"/>
  <c r="E296" i="3"/>
  <c r="E293" i="3"/>
  <c r="E294" i="3"/>
  <c r="E292" i="3"/>
  <c r="E291" i="3"/>
  <c r="E270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1" i="3"/>
  <c r="E272" i="3"/>
  <c r="E268" i="3"/>
  <c r="E269" i="3"/>
  <c r="E252" i="3"/>
  <c r="E267" i="3"/>
  <c r="E266" i="3"/>
  <c r="E265" i="3"/>
  <c r="E264" i="3"/>
  <c r="E263" i="3"/>
  <c r="E262" i="3"/>
  <c r="E261" i="3"/>
  <c r="E260" i="3"/>
  <c r="E259" i="3"/>
  <c r="E258" i="3"/>
  <c r="E254" i="3"/>
  <c r="E253" i="3"/>
  <c r="E234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193" i="3"/>
  <c r="E233" i="3"/>
  <c r="E232" i="3"/>
  <c r="E230" i="3"/>
  <c r="E229" i="3"/>
  <c r="E225" i="3"/>
  <c r="E224" i="3"/>
  <c r="E223" i="3"/>
  <c r="E222" i="3"/>
  <c r="E221" i="3"/>
  <c r="E220" i="3"/>
  <c r="E219" i="3"/>
  <c r="E218" i="3"/>
  <c r="E217" i="3"/>
  <c r="E216" i="3"/>
  <c r="E215" i="3"/>
  <c r="E228" i="3"/>
  <c r="E213" i="3"/>
  <c r="E212" i="3"/>
  <c r="E227" i="3"/>
  <c r="E211" i="3"/>
  <c r="E210" i="3"/>
  <c r="E209" i="3"/>
  <c r="E208" i="3"/>
  <c r="E207" i="3"/>
  <c r="E206" i="3"/>
  <c r="E205" i="3"/>
  <c r="E204" i="3"/>
  <c r="E203" i="3"/>
  <c r="E202" i="3"/>
  <c r="E201" i="3"/>
  <c r="E199" i="3"/>
  <c r="E198" i="3"/>
  <c r="E200" i="3"/>
  <c r="E197" i="3"/>
  <c r="E196" i="3"/>
  <c r="E195" i="3"/>
  <c r="E194" i="3"/>
  <c r="E192" i="3"/>
  <c r="E190" i="3"/>
  <c r="E191" i="3"/>
  <c r="E189" i="3"/>
  <c r="E188" i="3"/>
  <c r="E185" i="3"/>
  <c r="E187" i="3"/>
  <c r="E186" i="3"/>
  <c r="E178" i="3"/>
  <c r="E184" i="3"/>
  <c r="E183" i="3"/>
  <c r="E182" i="3"/>
  <c r="E181" i="3"/>
  <c r="E180" i="3"/>
  <c r="E179" i="3"/>
  <c r="E168" i="3"/>
  <c r="E177" i="3"/>
  <c r="E175" i="3"/>
  <c r="E174" i="3"/>
  <c r="E173" i="3"/>
  <c r="E172" i="3"/>
  <c r="E171" i="3"/>
  <c r="E170" i="3"/>
  <c r="E169" i="3"/>
  <c r="E146" i="3"/>
  <c r="E166" i="3"/>
  <c r="E165" i="3"/>
  <c r="E164" i="3"/>
  <c r="E163" i="3"/>
  <c r="E162" i="3"/>
  <c r="E161" i="3"/>
  <c r="E160" i="3"/>
  <c r="E158" i="3"/>
  <c r="E157" i="3"/>
  <c r="E156" i="3"/>
  <c r="E159" i="3"/>
  <c r="E155" i="3"/>
  <c r="E154" i="3"/>
  <c r="E153" i="3"/>
  <c r="E152" i="3"/>
  <c r="E151" i="3"/>
  <c r="E150" i="3"/>
  <c r="E149" i="3"/>
  <c r="E147" i="3"/>
  <c r="E148" i="3"/>
  <c r="E141" i="3"/>
  <c r="E145" i="3"/>
  <c r="E144" i="3"/>
  <c r="E143" i="3"/>
  <c r="E142" i="3"/>
  <c r="E104" i="3"/>
  <c r="E22" i="3"/>
  <c r="E139" i="3"/>
  <c r="E138" i="3"/>
  <c r="E137" i="3"/>
  <c r="E136" i="3"/>
  <c r="E134" i="3"/>
  <c r="E133" i="3"/>
  <c r="E135" i="3"/>
  <c r="E131" i="3"/>
  <c r="E129" i="3"/>
  <c r="E128" i="3"/>
  <c r="E132" i="3"/>
  <c r="E127" i="3"/>
  <c r="E126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94" i="3"/>
  <c r="E103" i="3"/>
  <c r="E102" i="3"/>
  <c r="E101" i="3"/>
  <c r="E99" i="3"/>
  <c r="E98" i="3"/>
  <c r="E97" i="3"/>
  <c r="E96" i="3"/>
  <c r="E95" i="3"/>
  <c r="E87" i="3"/>
  <c r="E93" i="3"/>
  <c r="E92" i="3"/>
  <c r="E91" i="3"/>
  <c r="E90" i="3"/>
  <c r="E89" i="3"/>
  <c r="E88" i="3"/>
  <c r="E74" i="3"/>
  <c r="E86" i="3"/>
  <c r="E85" i="3"/>
  <c r="E79" i="3"/>
  <c r="E78" i="3"/>
  <c r="E77" i="3"/>
  <c r="E76" i="3"/>
  <c r="E75" i="3"/>
  <c r="E68" i="3"/>
  <c r="E73" i="3"/>
  <c r="E72" i="3"/>
  <c r="E71" i="3"/>
  <c r="E70" i="3"/>
  <c r="E69" i="3"/>
  <c r="E66" i="3"/>
  <c r="E67" i="3"/>
  <c r="E63" i="3"/>
  <c r="E65" i="3"/>
  <c r="E64" i="3"/>
  <c r="E52" i="3"/>
  <c r="E61" i="3"/>
  <c r="E60" i="3"/>
  <c r="E59" i="3"/>
  <c r="E58" i="3"/>
  <c r="E57" i="3"/>
  <c r="E56" i="3"/>
  <c r="E62" i="3"/>
  <c r="E55" i="3"/>
  <c r="E54" i="3"/>
  <c r="E53" i="3"/>
  <c r="E51" i="3"/>
  <c r="E50" i="3"/>
  <c r="E49" i="3"/>
  <c r="E48" i="3"/>
  <c r="E47" i="3"/>
  <c r="E46" i="3"/>
  <c r="E45" i="3"/>
  <c r="E44" i="3"/>
  <c r="E43" i="3"/>
  <c r="E42" i="3"/>
  <c r="E40" i="3"/>
  <c r="E39" i="3"/>
  <c r="E38" i="3"/>
  <c r="E36" i="3"/>
  <c r="E35" i="3"/>
  <c r="E34" i="3"/>
  <c r="E37" i="3"/>
  <c r="E33" i="3"/>
  <c r="E32" i="3"/>
  <c r="E31" i="3"/>
  <c r="E30" i="3"/>
  <c r="E29" i="3"/>
  <c r="E28" i="3"/>
  <c r="E27" i="3"/>
  <c r="E26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E66" i="14" a="1"/>
  <c r="H66" i="13" a="1"/>
  <c r="E498" i="12" a="1"/>
  <c r="E499" i="12" a="1"/>
  <c r="E496" i="12" a="1"/>
  <c r="E492" i="12" a="1"/>
  <c r="E493" i="12" a="1"/>
  <c r="E495" i="12" a="1"/>
  <c r="E491" i="12" a="1"/>
  <c r="E494" i="12" a="1"/>
  <c r="E497" i="12" a="1"/>
  <c r="H23" i="3" a="1"/>
  <c r="E490" i="12" a="1"/>
  <c r="H65" i="13" a="1"/>
  <c r="H15" i="13" a="1"/>
  <c r="H2" i="13" a="1"/>
  <c r="H41" i="13" a="1"/>
  <c r="H35" i="13" a="1"/>
  <c r="H19" i="13" a="1"/>
  <c r="H31" i="13" a="1"/>
  <c r="H45" i="13" a="1"/>
  <c r="H21" i="13" a="1"/>
  <c r="H6" i="13" a="1"/>
  <c r="H27" i="13" a="1"/>
  <c r="H42" i="13" a="1"/>
  <c r="H43" i="13" a="1"/>
  <c r="H60" i="13" a="1"/>
  <c r="H56" i="13" a="1"/>
  <c r="H52" i="13" a="1"/>
  <c r="H23" i="13" a="1"/>
  <c r="H33" i="13" a="1"/>
  <c r="H49" i="13" a="1"/>
  <c r="H9" i="13" a="1"/>
  <c r="H36" i="13" a="1"/>
  <c r="H12" i="13" a="1"/>
  <c r="H25" i="13" a="1"/>
  <c r="H38" i="13" a="1"/>
  <c r="H14" i="13" a="1"/>
  <c r="H3" i="13" a="1"/>
  <c r="H4" i="13" a="1"/>
  <c r="H47" i="13" a="1"/>
  <c r="H59" i="13" a="1"/>
  <c r="H55" i="13" a="1"/>
  <c r="H51" i="13" a="1"/>
  <c r="H58" i="13" a="1"/>
  <c r="H48" i="13" a="1"/>
  <c r="H24" i="13" a="1"/>
  <c r="H8" i="13" a="1"/>
  <c r="H37" i="13" a="1"/>
  <c r="H26" i="13" a="1"/>
  <c r="H34" i="13" a="1"/>
  <c r="H61" i="13" a="1"/>
  <c r="H53" i="13" a="1"/>
  <c r="H11" i="13" a="1"/>
  <c r="H40" i="13" a="1"/>
  <c r="H16" i="13" a="1"/>
  <c r="H28" i="13" a="1"/>
  <c r="H30" i="13" a="1"/>
  <c r="H44" i="13" a="1"/>
  <c r="H20" i="13" a="1"/>
  <c r="H5" i="13" a="1"/>
  <c r="H46" i="13" a="1"/>
  <c r="H22" i="13" a="1"/>
  <c r="H17" i="13" a="1"/>
  <c r="H7" i="13" a="1"/>
  <c r="H62" i="13" a="1"/>
  <c r="H54" i="13" a="1"/>
  <c r="H50" i="13" a="1"/>
  <c r="H32" i="13" a="1"/>
  <c r="H29" i="13" a="1"/>
  <c r="H10" i="13" a="1"/>
  <c r="H13" i="13" a="1"/>
  <c r="H39" i="13" a="1"/>
  <c r="H18" i="13" a="1"/>
  <c r="H57" i="13" a="1"/>
  <c r="H63" i="13" a="1"/>
  <c r="H64" i="13" a="1"/>
  <c r="H140" i="3" a="1"/>
  <c r="H80" i="3" a="1"/>
  <c r="H39" i="3" a="1"/>
  <c r="H112" i="3" a="1"/>
  <c r="H180" i="3" a="1"/>
  <c r="H216" i="3" a="1"/>
  <c r="H234" i="3" a="1"/>
  <c r="H287" i="3" a="1"/>
  <c r="H319" i="3" a="1"/>
  <c r="H351" i="3" a="1"/>
  <c r="H45" i="3" a="1"/>
  <c r="H117" i="3" a="1"/>
  <c r="H178" i="3" a="1"/>
  <c r="H67" i="3" a="1"/>
  <c r="H22" i="3" a="1"/>
  <c r="H200" i="3" a="1"/>
  <c r="H233" i="3" a="1"/>
  <c r="H252" i="3" a="1"/>
  <c r="H300" i="3" a="1"/>
  <c r="H332" i="3" a="1"/>
  <c r="H364" i="3" a="1"/>
  <c r="H85" i="3" a="1"/>
  <c r="H383" i="3" a="1"/>
  <c r="H415" i="3" a="1"/>
  <c r="H370" i="3" a="1"/>
  <c r="H460" i="3" a="1"/>
  <c r="H379" i="3" a="1"/>
  <c r="H464" i="3" a="1"/>
  <c r="H398" i="3" a="1"/>
  <c r="H474" i="3" a="1"/>
  <c r="H422" i="3" a="1"/>
  <c r="H488" i="3" a="1"/>
  <c r="H100" i="3" a="1"/>
  <c r="H257" i="3" a="1"/>
  <c r="H60" i="3" a="1"/>
  <c r="H133" i="3" a="1"/>
  <c r="H195" i="3" a="1"/>
  <c r="H229" i="3" a="1"/>
  <c r="H265" i="3" a="1"/>
  <c r="H297" i="3" a="1"/>
  <c r="H328" i="3" a="1"/>
  <c r="H361" i="3" a="1"/>
  <c r="H63" i="3" a="1"/>
  <c r="H139" i="3" a="1"/>
  <c r="H16" i="3" a="1"/>
  <c r="H92" i="3" a="1"/>
  <c r="H160" i="3" a="1"/>
  <c r="H208" i="3" a="1"/>
  <c r="H243" i="3" a="1"/>
  <c r="H278" i="3" a="1"/>
  <c r="H310" i="3" a="1"/>
  <c r="H342" i="3" a="1"/>
  <c r="H76" i="3" a="1"/>
  <c r="H170" i="3" a="1"/>
  <c r="H393" i="3" a="1"/>
  <c r="H51" i="3" a="1"/>
  <c r="H410" i="3" a="1"/>
  <c r="H476" i="3" a="1"/>
  <c r="H421" i="3" a="1"/>
  <c r="H484" i="3" a="1"/>
  <c r="H429" i="3" a="1"/>
  <c r="H495" i="3" a="1"/>
  <c r="H443" i="3" a="1"/>
  <c r="H84" i="3" a="1"/>
  <c r="H256" i="3" a="1"/>
  <c r="H124" i="3" a="1"/>
  <c r="H222" i="3" a="1"/>
  <c r="H292" i="3" a="1"/>
  <c r="H357" i="3" a="1"/>
  <c r="H129" i="3" a="1"/>
  <c r="H79" i="3" a="1"/>
  <c r="H204" i="3" a="1"/>
  <c r="H274" i="3" a="1"/>
  <c r="H338" i="3" a="1"/>
  <c r="H137" i="3" a="1"/>
  <c r="H13" i="3" a="1"/>
  <c r="H472" i="3" a="1"/>
  <c r="H459" i="3" a="1"/>
  <c r="H487" i="3" a="1"/>
  <c r="H255" i="3" a="1"/>
  <c r="H220" i="3" a="1"/>
  <c r="H91" i="3" a="1"/>
  <c r="H288" i="3" a="1"/>
  <c r="H499" i="3" a="1"/>
  <c r="H176" i="3" a="1"/>
  <c r="H103" i="3" a="1"/>
  <c r="H212" i="3" a="1"/>
  <c r="H283" i="3" a="1"/>
  <c r="H347" i="3" a="1"/>
  <c r="H109" i="3" a="1"/>
  <c r="H58" i="3" a="1"/>
  <c r="H194" i="3" a="1"/>
  <c r="H264" i="3" a="1"/>
  <c r="H327" i="3" a="1"/>
  <c r="H47" i="3" a="1"/>
  <c r="H406" i="3" a="1"/>
  <c r="H452" i="3" a="1"/>
  <c r="H457" i="3" a="1"/>
  <c r="H465" i="3" a="1"/>
  <c r="H480" i="3" a="1"/>
  <c r="H259" i="3" a="1"/>
  <c r="H42" i="3" a="1"/>
  <c r="H301" i="3" a="1"/>
  <c r="H435" i="3" a="1"/>
  <c r="H430" i="3" a="1"/>
  <c r="H108" i="3" a="1"/>
  <c r="H228" i="3" a="1"/>
  <c r="H285" i="3" a="1"/>
  <c r="H349" i="3" a="1"/>
  <c r="H113" i="3" a="1"/>
  <c r="H52" i="3" a="1"/>
  <c r="H196" i="3" a="1"/>
  <c r="H266" i="3" a="1"/>
  <c r="H329" i="3" a="1"/>
  <c r="H64" i="3" a="1"/>
  <c r="H413" i="3" a="1"/>
  <c r="H456" i="3" a="1"/>
  <c r="H461" i="3" a="1"/>
  <c r="H470" i="3" a="1"/>
  <c r="H485" i="3" a="1"/>
  <c r="H205" i="3" a="1"/>
  <c r="H54" i="3" a="1"/>
  <c r="H237" i="3" a="1"/>
  <c r="H165" i="3" a="1"/>
  <c r="H467" i="3" a="1"/>
  <c r="H463" i="3" a="1"/>
  <c r="H130" i="3" a="1"/>
  <c r="H56" i="3" a="1"/>
  <c r="H18" i="3" a="1"/>
  <c r="H141" i="3" a="1"/>
  <c r="H209" i="3" a="1"/>
  <c r="H263" i="3" a="1"/>
  <c r="H303" i="3" a="1"/>
  <c r="H343" i="3" a="1"/>
  <c r="H61" i="3" a="1"/>
  <c r="H151" i="3" a="1"/>
  <c r="H50" i="3" a="1"/>
  <c r="H159" i="3" a="1"/>
  <c r="H213" i="3" a="1"/>
  <c r="H260" i="3" a="1"/>
  <c r="H308" i="3" a="1"/>
  <c r="H348" i="3" a="1"/>
  <c r="H9" i="3" a="1"/>
  <c r="H391" i="3" a="1"/>
  <c r="H107" i="3" a="1"/>
  <c r="H441" i="3" a="1"/>
  <c r="H412" i="3" a="1"/>
  <c r="H497" i="3" a="1"/>
  <c r="H458" i="3" a="1"/>
  <c r="H438" i="3" a="1"/>
  <c r="H81" i="3" a="1"/>
  <c r="H77" i="3" a="1"/>
  <c r="H166" i="3" a="1"/>
  <c r="H218" i="3" a="1"/>
  <c r="H273" i="3" a="1"/>
  <c r="H313" i="3" a="1"/>
  <c r="H353" i="3" a="1"/>
  <c r="H74" i="3" a="1"/>
  <c r="H172" i="3" a="1"/>
  <c r="H71" i="3" a="1"/>
  <c r="H168" i="3" a="1"/>
  <c r="H223" i="3" a="1"/>
  <c r="H268" i="3" a="1"/>
  <c r="H318" i="3" a="1"/>
  <c r="H358" i="3" a="1"/>
  <c r="H102" i="3" a="1"/>
  <c r="H401" i="3" a="1"/>
  <c r="H17" i="3" a="1"/>
  <c r="H468" i="3" a="1"/>
  <c r="H436" i="3" a="1"/>
  <c r="H380" i="3" a="1"/>
  <c r="H479" i="3" a="1"/>
  <c r="H445" i="3" a="1"/>
  <c r="H24" i="3" a="1"/>
  <c r="H90" i="3" a="1"/>
  <c r="H242" i="3" a="1"/>
  <c r="H323" i="3" a="1"/>
  <c r="H95" i="3" a="1"/>
  <c r="H118" i="3" a="1"/>
  <c r="H239" i="3" a="1"/>
  <c r="H322" i="3" a="1"/>
  <c r="H373" i="3" a="1"/>
  <c r="H394" i="3" a="1"/>
  <c r="H444" i="3" a="1"/>
  <c r="H387" i="3" a="1"/>
  <c r="H86" i="3" a="1"/>
  <c r="H334" i="3" a="1"/>
  <c r="H26" i="3" a="1"/>
  <c r="H482" i="3" a="1"/>
  <c r="H65" i="3" a="1"/>
  <c r="H232" i="3" a="1"/>
  <c r="H315" i="3" a="1"/>
  <c r="H70" i="3" a="1"/>
  <c r="H96" i="3" a="1"/>
  <c r="H225" i="3" a="1"/>
  <c r="H312" i="3" a="1"/>
  <c r="H187" i="3" a="1"/>
  <c r="H93" i="3" a="1"/>
  <c r="H411" i="3" a="1"/>
  <c r="H498" i="3" a="1"/>
  <c r="H167" i="3" a="1"/>
  <c r="H126" i="3" a="1"/>
  <c r="H352" i="3" a="1"/>
  <c r="H473" i="3" a="1"/>
  <c r="H69" i="3" a="1"/>
  <c r="H193" i="3" a="1"/>
  <c r="H317" i="3" a="1"/>
  <c r="H68" i="3" a="1"/>
  <c r="H101" i="3" a="1"/>
  <c r="H230" i="3" a="1"/>
  <c r="H314" i="3" a="1"/>
  <c r="H365" i="3" a="1"/>
  <c r="H161" i="3" a="1"/>
  <c r="H428" i="3" a="1"/>
  <c r="H72" i="3" a="1"/>
  <c r="H48" i="3" a="1"/>
  <c r="H339" i="3" a="1"/>
  <c r="H271" i="3" a="1"/>
  <c r="H403" i="3" a="1"/>
  <c r="H375" i="3" a="1"/>
  <c r="H73" i="3" a="1"/>
  <c r="H162" i="3" a="1"/>
  <c r="H224" i="3" a="1"/>
  <c r="H272" i="3" a="1"/>
  <c r="H311" i="3" a="1"/>
  <c r="H359" i="3" a="1"/>
  <c r="H78" i="3" a="1"/>
  <c r="H146" i="3" a="1"/>
  <c r="H88" i="3" a="1"/>
  <c r="H173" i="3" a="1"/>
  <c r="H221" i="3" a="1"/>
  <c r="H276" i="3" a="1"/>
  <c r="H316" i="3" a="1"/>
  <c r="H356" i="3" a="1"/>
  <c r="H153" i="3" a="1"/>
  <c r="H372" i="3" a="1"/>
  <c r="H174" i="3" a="1"/>
  <c r="H475" i="3" a="1"/>
  <c r="H432" i="3" a="1"/>
  <c r="H366" i="3" a="1"/>
  <c r="H490" i="3" a="1"/>
  <c r="H455" i="3" a="1"/>
  <c r="H231" i="3" a="1"/>
  <c r="H6" i="3" a="1"/>
  <c r="H98" i="3" a="1"/>
  <c r="H184" i="3" a="1"/>
  <c r="H238" i="3" a="1"/>
  <c r="H281" i="3" a="1"/>
  <c r="H304" i="3" a="1"/>
  <c r="H11" i="3" a="1"/>
  <c r="H94" i="3" a="1"/>
  <c r="H188" i="3" a="1"/>
  <c r="H110" i="3" a="1"/>
  <c r="H190" i="3" a="1"/>
  <c r="H2" i="3" a="1"/>
  <c r="H201" i="3" a="1"/>
  <c r="H293" i="3" a="1"/>
  <c r="H28" i="3" a="1"/>
  <c r="H33" i="3" a="1"/>
  <c r="H206" i="3" a="1"/>
  <c r="H291" i="3" a="1"/>
  <c r="H135" i="3" a="1"/>
  <c r="H37" i="3" a="1"/>
  <c r="H38" i="3" a="1"/>
  <c r="H427" i="3" a="1"/>
  <c r="H25" i="3" a="1"/>
  <c r="H44" i="3" a="1"/>
  <c r="H211" i="3" a="1"/>
  <c r="H305" i="3" a="1"/>
  <c r="H49" i="3" a="1"/>
  <c r="H55" i="3" a="1"/>
  <c r="H215" i="3" a="1"/>
  <c r="H286" i="3" a="1"/>
  <c r="H330" i="3" a="1"/>
  <c r="H30" i="3" a="1"/>
  <c r="H409" i="3" a="1"/>
  <c r="H431" i="3" a="1"/>
  <c r="H388" i="3" a="1"/>
  <c r="H399" i="3" a="1"/>
  <c r="H400" i="3" a="1"/>
  <c r="H41" i="3" a="1"/>
  <c r="H157" i="3" a="1"/>
  <c r="H277" i="3" a="1"/>
  <c r="H57" i="3" a="1"/>
  <c r="H152" i="3" a="1"/>
  <c r="H290" i="3" a="1"/>
  <c r="H183" i="3" a="1"/>
  <c r="H439" i="3" a="1"/>
  <c r="H420" i="3" a="1"/>
  <c r="H226" i="3" a="1"/>
  <c r="H4" i="3" a="1"/>
  <c r="H104" i="3" a="1"/>
  <c r="H31" i="3" a="1"/>
  <c r="H248" i="3" a="1"/>
  <c r="H360" i="3" a="1"/>
  <c r="H20" i="3" a="1"/>
  <c r="H245" i="3" a="1"/>
  <c r="H355" i="3" a="1"/>
  <c r="H66" i="3" a="1"/>
  <c r="H489" i="3" a="1"/>
  <c r="H447" i="3" a="1"/>
  <c r="H15" i="3" a="1"/>
  <c r="H119" i="3" a="1"/>
  <c r="H105" i="3" a="1"/>
  <c r="H198" i="3" a="1"/>
  <c r="H333" i="3" a="1"/>
  <c r="H181" i="3" a="1"/>
  <c r="H227" i="3" a="1"/>
  <c r="H346" i="3" a="1"/>
  <c r="H397" i="3" a="1"/>
  <c r="H363" i="3" a="1"/>
  <c r="H416" i="3" a="1"/>
  <c r="H240" i="3" a="1"/>
  <c r="H182" i="3" a="1"/>
  <c r="H385" i="3" a="1"/>
  <c r="H62" i="3" a="1"/>
  <c r="H138" i="3" a="1"/>
  <c r="H267" i="3" a="1"/>
  <c r="H35" i="3" a="1"/>
  <c r="H131" i="3" a="1"/>
  <c r="H280" i="3" a="1"/>
  <c r="H97" i="3" a="1"/>
  <c r="H418" i="3" a="1"/>
  <c r="H382" i="3" a="1"/>
  <c r="H214" i="3" a="1"/>
  <c r="H147" i="3" a="1"/>
  <c r="H419" i="3" a="1"/>
  <c r="H34" i="3" a="1"/>
  <c r="H250" i="3" a="1"/>
  <c r="H3" i="3" a="1"/>
  <c r="H29" i="3" a="1"/>
  <c r="H247" i="3" a="1"/>
  <c r="H362" i="3" a="1"/>
  <c r="H492" i="3" a="1"/>
  <c r="H451" i="3" a="1"/>
  <c r="H270" i="3" a="1"/>
  <c r="H320" i="3" a="1"/>
  <c r="H440" i="3" a="1"/>
  <c r="H244" i="3" a="1"/>
  <c r="H335" i="3" a="1"/>
  <c r="H134" i="3" a="1"/>
  <c r="H122" i="3" a="1"/>
  <c r="H249" i="3" a="1"/>
  <c r="H374" i="3" a="1"/>
  <c r="H424" i="3" a="1"/>
  <c r="H392" i="3" a="1"/>
  <c r="H150" i="3" a="1"/>
  <c r="H345" i="3" a="1"/>
  <c r="H144" i="3" a="1"/>
  <c r="H302" i="3" a="1"/>
  <c r="H376" i="3" a="1"/>
  <c r="H494" i="3" a="1"/>
  <c r="H462" i="3" a="1"/>
  <c r="H14" i="3" a="1"/>
  <c r="H341" i="3" a="1"/>
  <c r="H219" i="3" a="1"/>
  <c r="H405" i="3" a="1"/>
  <c r="H434" i="3" a="1"/>
  <c r="H202" i="3" a="1"/>
  <c r="H171" i="3" a="1"/>
  <c r="H143" i="3" a="1"/>
  <c r="H296" i="3" a="1"/>
  <c r="H483" i="3" a="1"/>
  <c r="H185" i="3" a="1"/>
  <c r="H396" i="3" a="1"/>
  <c r="H269" i="3" a="1"/>
  <c r="H136" i="3" a="1"/>
  <c r="H115" i="3" a="1"/>
  <c r="H390" i="3" a="1"/>
  <c r="H158" i="3" a="1"/>
  <c r="H414" i="3" a="1"/>
  <c r="H7" i="3" a="1"/>
  <c r="H189" i="3" a="1"/>
  <c r="H59" i="3" a="1"/>
  <c r="H491" i="3" a="1"/>
  <c r="H471" i="3" a="1"/>
  <c r="H203" i="3" a="1"/>
  <c r="H32" i="3" a="1"/>
  <c r="H199" i="3" a="1"/>
  <c r="H325" i="3" a="1"/>
  <c r="H384" i="3" a="1"/>
  <c r="H111" i="3" a="1"/>
  <c r="H368" i="3" a="1"/>
  <c r="H53" i="3" a="1"/>
  <c r="H19" i="3" a="1"/>
  <c r="H258" i="3" a="1"/>
  <c r="H156" i="3" a="1"/>
  <c r="H466" i="3" a="1"/>
  <c r="H386" i="3" a="1"/>
  <c r="H197" i="3" a="1"/>
  <c r="H177" i="3" a="1"/>
  <c r="H344" i="3" a="1"/>
  <c r="H179" i="3" a="1"/>
  <c r="H321" i="3" a="1"/>
  <c r="H450" i="3" a="1"/>
  <c r="H295" i="3" a="1"/>
  <c r="H169" i="3" a="1"/>
  <c r="H381" i="3" a="1"/>
  <c r="H437" i="3" a="1"/>
  <c r="H75" i="3" a="1"/>
  <c r="H87" i="3" a="1"/>
  <c r="H236" i="3" a="1"/>
  <c r="H326" i="3" a="1"/>
  <c r="H99" i="3" a="1"/>
  <c r="H106" i="3" a="1"/>
  <c r="H241" i="3" a="1"/>
  <c r="H324" i="3" a="1"/>
  <c r="H367" i="3" a="1"/>
  <c r="H402" i="3" a="1"/>
  <c r="H449" i="3" a="1"/>
  <c r="H145" i="3" a="1"/>
  <c r="H10" i="3" a="1"/>
  <c r="H116" i="3" a="1"/>
  <c r="H246" i="3" a="1"/>
  <c r="H337" i="3" a="1"/>
  <c r="H121" i="3" a="1"/>
  <c r="H127" i="3" a="1"/>
  <c r="H235" i="3" a="1"/>
  <c r="H294" i="3" a="1"/>
  <c r="H350" i="3" a="1"/>
  <c r="H369" i="3" a="1"/>
  <c r="H417" i="3" a="1"/>
  <c r="H448" i="3" a="1"/>
  <c r="H453" i="3" a="1"/>
  <c r="H446" i="3" a="1"/>
  <c r="H426" i="3" a="1"/>
  <c r="H442" i="3" a="1"/>
  <c r="H191" i="3" a="1"/>
  <c r="H309" i="3" a="1"/>
  <c r="H163" i="3" a="1"/>
  <c r="H186" i="3" a="1"/>
  <c r="H306" i="3" a="1"/>
  <c r="H389" i="3" a="1"/>
  <c r="H125" i="3" a="1"/>
  <c r="H454" i="3" a="1"/>
  <c r="H154" i="3" a="1"/>
  <c r="H114" i="3" a="1"/>
  <c r="H89" i="3" a="1"/>
  <c r="H128" i="3" a="1"/>
  <c r="H340" i="3" a="1"/>
  <c r="H481" i="3" a="1"/>
  <c r="H83" i="3" a="1"/>
  <c r="H254" i="3" a="1"/>
  <c r="H155" i="3" a="1"/>
  <c r="H251" i="3" a="1"/>
  <c r="H5" i="3" a="1"/>
  <c r="H123" i="3" a="1"/>
  <c r="H469" i="3" a="1"/>
  <c r="H477" i="3" a="1"/>
  <c r="H207" i="3" a="1"/>
  <c r="H8" i="3" a="1"/>
  <c r="H354" i="3" a="1"/>
  <c r="H404" i="3" a="1"/>
  <c r="H275" i="3" a="1"/>
  <c r="H496" i="3" a="1"/>
  <c r="H299" i="3" a="1"/>
  <c r="H164" i="3" a="1"/>
  <c r="H378" i="3" a="1"/>
  <c r="H433" i="3" a="1"/>
  <c r="H217" i="3" a="1"/>
  <c r="H142" i="3" a="1"/>
  <c r="H40" i="3" a="1"/>
  <c r="H282" i="3" a="1"/>
  <c r="H423" i="3" a="1"/>
  <c r="H21" i="3" a="1"/>
  <c r="H336" i="3" a="1"/>
  <c r="H192" i="3" a="1"/>
  <c r="H279" i="3" a="1"/>
  <c r="H12" i="3" a="1"/>
  <c r="H284" i="3" a="1"/>
  <c r="H407" i="3" a="1"/>
  <c r="H425" i="3" a="1"/>
  <c r="H27" i="3" a="1"/>
  <c r="H289" i="3" a="1"/>
  <c r="H36" i="3" a="1"/>
  <c r="H262" i="3" a="1"/>
  <c r="H149" i="3" a="1"/>
  <c r="H377" i="3" a="1"/>
  <c r="H478" i="3" a="1"/>
  <c r="H493" i="3" a="1"/>
  <c r="H261" i="3" a="1"/>
  <c r="H46" i="3" a="1"/>
  <c r="H43" i="3" a="1"/>
  <c r="H132" i="3" a="1"/>
  <c r="H307" i="3" a="1"/>
  <c r="H82" i="3" a="1"/>
  <c r="H331" i="3" a="1"/>
  <c r="H210" i="3" a="1"/>
  <c r="H395" i="3" a="1"/>
  <c r="H408" i="3" a="1"/>
  <c r="H253" i="3" a="1"/>
  <c r="H175" i="3" a="1"/>
  <c r="H148" i="3" a="1"/>
  <c r="H298" i="3" a="1"/>
  <c r="H486" i="3" a="1"/>
  <c r="H120" i="3" a="1"/>
  <c r="H371" i="3" a="1"/>
  <c r="E66" i="14" l="1"/>
  <c r="H66" i="13"/>
  <c r="E499" i="12"/>
  <c r="E498" i="12"/>
  <c r="E497" i="12"/>
  <c r="E494" i="12"/>
  <c r="E491" i="12"/>
  <c r="E495" i="12"/>
  <c r="E493" i="12"/>
  <c r="E492" i="12"/>
  <c r="E496" i="12"/>
  <c r="C65" i="14"/>
  <c r="C64" i="14"/>
  <c r="H23" i="3"/>
  <c r="B65" i="14"/>
  <c r="B64" i="14"/>
  <c r="E490" i="12"/>
  <c r="H65" i="13"/>
  <c r="H64" i="13"/>
  <c r="C17" i="14"/>
  <c r="C16" i="14"/>
  <c r="C31" i="14"/>
  <c r="C51" i="14"/>
  <c r="C53" i="14"/>
  <c r="C55" i="14"/>
  <c r="C57" i="14"/>
  <c r="C63" i="14"/>
  <c r="B3" i="14"/>
  <c r="B14" i="14"/>
  <c r="B22" i="14"/>
  <c r="C38" i="14"/>
  <c r="C13" i="14"/>
  <c r="C5" i="14"/>
  <c r="B31" i="14"/>
  <c r="B16" i="14"/>
  <c r="B24" i="14"/>
  <c r="B37" i="14"/>
  <c r="C48" i="14"/>
  <c r="C44" i="14"/>
  <c r="C40" i="14"/>
  <c r="C36" i="14"/>
  <c r="C23" i="14"/>
  <c r="C19" i="14"/>
  <c r="C15" i="14"/>
  <c r="C8" i="14"/>
  <c r="C30" i="14"/>
  <c r="B59" i="14"/>
  <c r="B61" i="14"/>
  <c r="B63" i="14"/>
  <c r="H140" i="3"/>
  <c r="H63" i="13"/>
  <c r="H231" i="3"/>
  <c r="H226" i="3"/>
  <c r="H176" i="3"/>
  <c r="H41" i="3"/>
  <c r="H21" i="3"/>
  <c r="H214" i="3"/>
  <c r="H84" i="3"/>
  <c r="H25" i="3"/>
  <c r="H24" i="3"/>
  <c r="H62" i="13"/>
  <c r="H61" i="13"/>
  <c r="H59" i="13"/>
  <c r="H60" i="13"/>
  <c r="H58" i="13"/>
  <c r="H57" i="13"/>
  <c r="H56" i="13"/>
  <c r="H55" i="13"/>
  <c r="H54" i="13"/>
  <c r="H53" i="13"/>
  <c r="H52" i="13"/>
  <c r="H51" i="13"/>
  <c r="H50" i="13"/>
  <c r="H82" i="3"/>
  <c r="H100" i="3"/>
  <c r="H83" i="3"/>
  <c r="H81" i="3"/>
  <c r="H80" i="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12" i="13"/>
  <c r="H7" i="13"/>
  <c r="H33" i="13"/>
  <c r="H6" i="13"/>
  <c r="H31" i="13"/>
  <c r="H29" i="13"/>
  <c r="H2" i="13"/>
  <c r="H26" i="13"/>
  <c r="H10" i="13"/>
  <c r="H4" i="13"/>
  <c r="H48" i="13"/>
  <c r="H46" i="13"/>
  <c r="H44" i="13"/>
  <c r="H42" i="13"/>
  <c r="H40" i="13"/>
  <c r="H38" i="13"/>
  <c r="H36" i="13"/>
  <c r="H34" i="13"/>
  <c r="H23" i="13"/>
  <c r="H21" i="13"/>
  <c r="H19" i="13"/>
  <c r="H17" i="13"/>
  <c r="H15" i="13"/>
  <c r="H13" i="13"/>
  <c r="H8" i="13"/>
  <c r="H3" i="13"/>
  <c r="H32" i="13"/>
  <c r="H5" i="13"/>
  <c r="H30" i="13"/>
  <c r="H28" i="13"/>
  <c r="H11" i="13"/>
  <c r="H25" i="13"/>
  <c r="H9" i="13"/>
  <c r="H27" i="13"/>
  <c r="H105" i="3"/>
  <c r="H442" i="3"/>
  <c r="H167" i="3"/>
  <c r="H256" i="3"/>
  <c r="H257" i="3"/>
  <c r="H130" i="3"/>
  <c r="H255" i="3"/>
  <c r="H496" i="3"/>
  <c r="H493" i="3"/>
  <c r="H488" i="3"/>
  <c r="H485" i="3"/>
  <c r="H480" i="3"/>
  <c r="H477" i="3"/>
  <c r="H471" i="3"/>
  <c r="H466" i="3"/>
  <c r="H463" i="3"/>
  <c r="H445" i="3"/>
  <c r="H455" i="3"/>
  <c r="H451" i="3"/>
  <c r="H447" i="3"/>
  <c r="H443" i="3"/>
  <c r="H438" i="3"/>
  <c r="H434" i="3"/>
  <c r="H430" i="3"/>
  <c r="H426" i="3"/>
  <c r="H422" i="3"/>
  <c r="H416" i="3"/>
  <c r="H408" i="3"/>
  <c r="H400" i="3"/>
  <c r="H392" i="3"/>
  <c r="H387" i="3"/>
  <c r="H375" i="3"/>
  <c r="H368" i="3"/>
  <c r="H145" i="3"/>
  <c r="H72" i="3"/>
  <c r="H498" i="3"/>
  <c r="H495" i="3"/>
  <c r="H490" i="3"/>
  <c r="H487" i="3"/>
  <c r="H482" i="3"/>
  <c r="H479" i="3"/>
  <c r="H474" i="3"/>
  <c r="H470" i="3"/>
  <c r="H465" i="3"/>
  <c r="H462" i="3"/>
  <c r="H458" i="3"/>
  <c r="H454" i="3"/>
  <c r="H450" i="3"/>
  <c r="H446" i="3"/>
  <c r="H427" i="3"/>
  <c r="H437" i="3"/>
  <c r="H433" i="3"/>
  <c r="H429" i="3"/>
  <c r="H425" i="3"/>
  <c r="H420" i="3"/>
  <c r="H414" i="3"/>
  <c r="H399" i="3"/>
  <c r="H398" i="3"/>
  <c r="H390" i="3"/>
  <c r="H382" i="3"/>
  <c r="H380" i="3"/>
  <c r="H366" i="3"/>
  <c r="H132" i="3"/>
  <c r="H62" i="3"/>
  <c r="H478" i="3"/>
  <c r="H497" i="3"/>
  <c r="H492" i="3"/>
  <c r="H489" i="3"/>
  <c r="H484" i="3"/>
  <c r="H481" i="3"/>
  <c r="H459" i="3"/>
  <c r="H473" i="3"/>
  <c r="H469" i="3"/>
  <c r="H464" i="3"/>
  <c r="H461" i="3"/>
  <c r="H457" i="3"/>
  <c r="H453" i="3"/>
  <c r="H449" i="3"/>
  <c r="H444" i="3"/>
  <c r="H440" i="3"/>
  <c r="H436" i="3"/>
  <c r="H432" i="3"/>
  <c r="H428" i="3"/>
  <c r="H411" i="3"/>
  <c r="H421" i="3"/>
  <c r="H412" i="3"/>
  <c r="H404" i="3"/>
  <c r="H396" i="3"/>
  <c r="H388" i="3"/>
  <c r="H379" i="3"/>
  <c r="H363" i="3"/>
  <c r="H179" i="3"/>
  <c r="H111" i="3"/>
  <c r="H38" i="3"/>
  <c r="H125" i="3"/>
  <c r="H499" i="3"/>
  <c r="H494" i="3"/>
  <c r="H491" i="3"/>
  <c r="H486" i="3"/>
  <c r="H483" i="3"/>
  <c r="H476" i="3"/>
  <c r="H475" i="3"/>
  <c r="H472" i="3"/>
  <c r="H467" i="3"/>
  <c r="H468" i="3"/>
  <c r="H460" i="3"/>
  <c r="H456" i="3"/>
  <c r="H452" i="3"/>
  <c r="H448" i="3"/>
  <c r="H441" i="3"/>
  <c r="H439" i="3"/>
  <c r="H435" i="3"/>
  <c r="H431" i="3"/>
  <c r="H424" i="3"/>
  <c r="H423" i="3"/>
  <c r="H418" i="3"/>
  <c r="H410" i="3"/>
  <c r="H402" i="3"/>
  <c r="H394" i="3"/>
  <c r="H385" i="3"/>
  <c r="H377" i="3"/>
  <c r="H370" i="3"/>
  <c r="H161" i="3"/>
  <c r="H93" i="3"/>
  <c r="H17" i="3"/>
  <c r="H174" i="3"/>
  <c r="H156" i="3"/>
  <c r="H104" i="3"/>
  <c r="H123" i="3"/>
  <c r="H107" i="3"/>
  <c r="H89" i="3"/>
  <c r="H66" i="3"/>
  <c r="H51" i="3"/>
  <c r="H37" i="3"/>
  <c r="H13" i="3"/>
  <c r="H419" i="3"/>
  <c r="H417" i="3"/>
  <c r="H415" i="3"/>
  <c r="H413" i="3"/>
  <c r="H406" i="3"/>
  <c r="H409" i="3"/>
  <c r="H407" i="3"/>
  <c r="H405" i="3"/>
  <c r="H403" i="3"/>
  <c r="H401" i="3"/>
  <c r="H372" i="3"/>
  <c r="H397" i="3"/>
  <c r="H395" i="3"/>
  <c r="H393" i="3"/>
  <c r="H391" i="3"/>
  <c r="H389" i="3"/>
  <c r="H386" i="3"/>
  <c r="H384" i="3"/>
  <c r="H383" i="3"/>
  <c r="H381" i="3"/>
  <c r="H378" i="3"/>
  <c r="H376" i="3"/>
  <c r="H374" i="3"/>
  <c r="H373" i="3"/>
  <c r="H371" i="3"/>
  <c r="H369" i="3"/>
  <c r="H367" i="3"/>
  <c r="H365" i="3"/>
  <c r="H187" i="3"/>
  <c r="H170" i="3"/>
  <c r="H153" i="3"/>
  <c r="H137" i="3"/>
  <c r="H119" i="3"/>
  <c r="H102" i="3"/>
  <c r="H85" i="3"/>
  <c r="H64" i="3"/>
  <c r="H47" i="3"/>
  <c r="H30" i="3"/>
  <c r="H9" i="3"/>
  <c r="H183" i="3"/>
  <c r="H165" i="3"/>
  <c r="H149" i="3"/>
  <c r="H135" i="3"/>
  <c r="H115" i="3"/>
  <c r="H97" i="3"/>
  <c r="H76" i="3"/>
  <c r="H59" i="3"/>
  <c r="H43" i="3"/>
  <c r="H26" i="3"/>
  <c r="H5" i="3"/>
  <c r="H364" i="3"/>
  <c r="H362" i="3"/>
  <c r="H355" i="3"/>
  <c r="H358" i="3"/>
  <c r="H356" i="3"/>
  <c r="H354" i="3"/>
  <c r="H352" i="3"/>
  <c r="H350" i="3"/>
  <c r="H348" i="3"/>
  <c r="H346" i="3"/>
  <c r="H344" i="3"/>
  <c r="H342" i="3"/>
  <c r="H340" i="3"/>
  <c r="H338" i="3"/>
  <c r="H336" i="3"/>
  <c r="H330" i="3"/>
  <c r="H332" i="3"/>
  <c r="H329" i="3"/>
  <c r="H327" i="3"/>
  <c r="H325" i="3"/>
  <c r="H324" i="3"/>
  <c r="H322" i="3"/>
  <c r="H320" i="3"/>
  <c r="H318" i="3"/>
  <c r="H316" i="3"/>
  <c r="H314" i="3"/>
  <c r="H312" i="3"/>
  <c r="H310" i="3"/>
  <c r="H308" i="3"/>
  <c r="H306" i="3"/>
  <c r="H301" i="3"/>
  <c r="H302" i="3"/>
  <c r="H300" i="3"/>
  <c r="H298" i="3"/>
  <c r="H296" i="3"/>
  <c r="H294" i="3"/>
  <c r="H291" i="3"/>
  <c r="H290" i="3"/>
  <c r="H288" i="3"/>
  <c r="H286" i="3"/>
  <c r="H284" i="3"/>
  <c r="H282" i="3"/>
  <c r="H280" i="3"/>
  <c r="H278" i="3"/>
  <c r="H276" i="3"/>
  <c r="H274" i="3"/>
  <c r="H271" i="3"/>
  <c r="H268" i="3"/>
  <c r="H252" i="3"/>
  <c r="H266" i="3"/>
  <c r="H264" i="3"/>
  <c r="H262" i="3"/>
  <c r="H260" i="3"/>
  <c r="H258" i="3"/>
  <c r="H253" i="3"/>
  <c r="H251" i="3"/>
  <c r="H249" i="3"/>
  <c r="H247" i="3"/>
  <c r="H245" i="3"/>
  <c r="H243" i="3"/>
  <c r="H241" i="3"/>
  <c r="H239" i="3"/>
  <c r="H237" i="3"/>
  <c r="H235" i="3"/>
  <c r="H233" i="3"/>
  <c r="H230" i="3"/>
  <c r="H225" i="3"/>
  <c r="H223" i="3"/>
  <c r="H221" i="3"/>
  <c r="H219" i="3"/>
  <c r="H217" i="3"/>
  <c r="H215" i="3"/>
  <c r="H213" i="3"/>
  <c r="H227" i="3"/>
  <c r="H210" i="3"/>
  <c r="H208" i="3"/>
  <c r="H206" i="3"/>
  <c r="H204" i="3"/>
  <c r="H202" i="3"/>
  <c r="H199" i="3"/>
  <c r="H200" i="3"/>
  <c r="H196" i="3"/>
  <c r="H194" i="3"/>
  <c r="H190" i="3"/>
  <c r="H189" i="3"/>
  <c r="H186" i="3"/>
  <c r="H182" i="3"/>
  <c r="H168" i="3"/>
  <c r="H173" i="3"/>
  <c r="H169" i="3"/>
  <c r="H164" i="3"/>
  <c r="H160" i="3"/>
  <c r="H159" i="3"/>
  <c r="H152" i="3"/>
  <c r="H147" i="3"/>
  <c r="H144" i="3"/>
  <c r="H22" i="3"/>
  <c r="H136" i="3"/>
  <c r="H131" i="3"/>
  <c r="H127" i="3"/>
  <c r="H122" i="3"/>
  <c r="H118" i="3"/>
  <c r="H114" i="3"/>
  <c r="H110" i="3"/>
  <c r="H106" i="3"/>
  <c r="H101" i="3"/>
  <c r="H96" i="3"/>
  <c r="H92" i="3"/>
  <c r="H88" i="3"/>
  <c r="H79" i="3"/>
  <c r="H75" i="3"/>
  <c r="H71" i="3"/>
  <c r="H67" i="3"/>
  <c r="H52" i="3"/>
  <c r="H58" i="3"/>
  <c r="H55" i="3"/>
  <c r="H50" i="3"/>
  <c r="H46" i="3"/>
  <c r="H42" i="3"/>
  <c r="H36" i="3"/>
  <c r="H33" i="3"/>
  <c r="H29" i="3"/>
  <c r="H20" i="3"/>
  <c r="H16" i="3"/>
  <c r="H12" i="3"/>
  <c r="H8" i="3"/>
  <c r="H4" i="3"/>
  <c r="H188" i="3"/>
  <c r="H178" i="3"/>
  <c r="H181" i="3"/>
  <c r="H177" i="3"/>
  <c r="H172" i="3"/>
  <c r="H146" i="3"/>
  <c r="H163" i="3"/>
  <c r="H158" i="3"/>
  <c r="H155" i="3"/>
  <c r="H151" i="3"/>
  <c r="H148" i="3"/>
  <c r="H143" i="3"/>
  <c r="H139" i="3"/>
  <c r="H134" i="3"/>
  <c r="H129" i="3"/>
  <c r="H126" i="3"/>
  <c r="H121" i="3"/>
  <c r="H117" i="3"/>
  <c r="H113" i="3"/>
  <c r="H109" i="3"/>
  <c r="H94" i="3"/>
  <c r="H99" i="3"/>
  <c r="H95" i="3"/>
  <c r="H91" i="3"/>
  <c r="H74" i="3"/>
  <c r="H78" i="3"/>
  <c r="H68" i="3"/>
  <c r="H70" i="3"/>
  <c r="H63" i="3"/>
  <c r="H61" i="3"/>
  <c r="H57" i="3"/>
  <c r="H54" i="3"/>
  <c r="H49" i="3"/>
  <c r="H45" i="3"/>
  <c r="H40" i="3"/>
  <c r="H35" i="3"/>
  <c r="H32" i="3"/>
  <c r="H28" i="3"/>
  <c r="H19" i="3"/>
  <c r="H15" i="3"/>
  <c r="H11" i="3"/>
  <c r="H7" i="3"/>
  <c r="H3" i="3"/>
  <c r="H360" i="3"/>
  <c r="H361" i="3"/>
  <c r="H359" i="3"/>
  <c r="H357" i="3"/>
  <c r="H334" i="3"/>
  <c r="H353" i="3"/>
  <c r="H351" i="3"/>
  <c r="H349" i="3"/>
  <c r="H347" i="3"/>
  <c r="H345" i="3"/>
  <c r="H343" i="3"/>
  <c r="H341" i="3"/>
  <c r="H339" i="3"/>
  <c r="H337" i="3"/>
  <c r="H335" i="3"/>
  <c r="H333" i="3"/>
  <c r="H331" i="3"/>
  <c r="H328" i="3"/>
  <c r="H326" i="3"/>
  <c r="H323" i="3"/>
  <c r="H321" i="3"/>
  <c r="H304" i="3"/>
  <c r="H319" i="3"/>
  <c r="H317" i="3"/>
  <c r="H315" i="3"/>
  <c r="H313" i="3"/>
  <c r="H311" i="3"/>
  <c r="H309" i="3"/>
  <c r="H307" i="3"/>
  <c r="H305" i="3"/>
  <c r="H303" i="3"/>
  <c r="H295" i="3"/>
  <c r="H299" i="3"/>
  <c r="H297" i="3"/>
  <c r="H293" i="3"/>
  <c r="H292" i="3"/>
  <c r="H270" i="3"/>
  <c r="H289" i="3"/>
  <c r="H287" i="3"/>
  <c r="H285" i="3"/>
  <c r="H283" i="3"/>
  <c r="H281" i="3"/>
  <c r="H279" i="3"/>
  <c r="H277" i="3"/>
  <c r="H275" i="3"/>
  <c r="H273" i="3"/>
  <c r="H272" i="3"/>
  <c r="H269" i="3"/>
  <c r="H267" i="3"/>
  <c r="H265" i="3"/>
  <c r="H263" i="3"/>
  <c r="H261" i="3"/>
  <c r="H259" i="3"/>
  <c r="H254" i="3"/>
  <c r="H234" i="3"/>
  <c r="H250" i="3"/>
  <c r="H248" i="3"/>
  <c r="H246" i="3"/>
  <c r="H244" i="3"/>
  <c r="H242" i="3"/>
  <c r="H240" i="3"/>
  <c r="H238" i="3"/>
  <c r="H236" i="3"/>
  <c r="H193" i="3"/>
  <c r="H232" i="3"/>
  <c r="H229" i="3"/>
  <c r="H224" i="3"/>
  <c r="H222" i="3"/>
  <c r="H220" i="3"/>
  <c r="H218" i="3"/>
  <c r="H216" i="3"/>
  <c r="H228" i="3"/>
  <c r="H212" i="3"/>
  <c r="H211" i="3"/>
  <c r="H209" i="3"/>
  <c r="H207" i="3"/>
  <c r="H205" i="3"/>
  <c r="H203" i="3"/>
  <c r="H201" i="3"/>
  <c r="H198" i="3"/>
  <c r="H197" i="3"/>
  <c r="H195" i="3"/>
  <c r="H192" i="3"/>
  <c r="H191" i="3"/>
  <c r="H185" i="3"/>
  <c r="H184" i="3"/>
  <c r="H180" i="3"/>
  <c r="H175" i="3"/>
  <c r="H171" i="3"/>
  <c r="H166" i="3"/>
  <c r="H162" i="3"/>
  <c r="H157" i="3"/>
  <c r="H154" i="3"/>
  <c r="H150" i="3"/>
  <c r="H141" i="3"/>
  <c r="H142" i="3"/>
  <c r="H138" i="3"/>
  <c r="H133" i="3"/>
  <c r="H128" i="3"/>
  <c r="H124" i="3"/>
  <c r="H120" i="3"/>
  <c r="H116" i="3"/>
  <c r="H112" i="3"/>
  <c r="H108" i="3"/>
  <c r="H103" i="3"/>
  <c r="H98" i="3"/>
  <c r="H87" i="3"/>
  <c r="H90" i="3"/>
  <c r="H86" i="3"/>
  <c r="H77" i="3"/>
  <c r="H73" i="3"/>
  <c r="H69" i="3"/>
  <c r="H65" i="3"/>
  <c r="H60" i="3"/>
  <c r="H56" i="3"/>
  <c r="H53" i="3"/>
  <c r="H48" i="3"/>
  <c r="H44" i="3"/>
  <c r="H39" i="3"/>
  <c r="H34" i="3"/>
  <c r="H31" i="3"/>
  <c r="H27" i="3"/>
  <c r="H18" i="3"/>
  <c r="H14" i="3"/>
  <c r="H10" i="3"/>
  <c r="H6" i="3"/>
  <c r="H2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64" i="14" a="1"/>
  <c r="E65" i="14" a="1"/>
  <c r="E489" i="12" a="1"/>
  <c r="E476" i="12" a="1"/>
  <c r="E460" i="12" a="1"/>
  <c r="E444" i="12" a="1"/>
  <c r="E428" i="12" a="1"/>
  <c r="E412" i="12" a="1"/>
  <c r="E396" i="12" a="1"/>
  <c r="E380" i="12" a="1"/>
  <c r="E364" i="12" a="1"/>
  <c r="E348" i="12" a="1"/>
  <c r="E332" i="12" a="1"/>
  <c r="E318" i="12" a="1"/>
  <c r="E310" i="12" a="1"/>
  <c r="E302" i="12" a="1"/>
  <c r="E294" i="12" a="1"/>
  <c r="E286" i="12" a="1"/>
  <c r="E479" i="12" a="1"/>
  <c r="E463" i="12" a="1"/>
  <c r="E447" i="12" a="1"/>
  <c r="E431" i="12" a="1"/>
  <c r="E415" i="12" a="1"/>
  <c r="E399" i="12" a="1"/>
  <c r="E383" i="12" a="1"/>
  <c r="E367" i="12" a="1"/>
  <c r="E351" i="12" a="1"/>
  <c r="E335" i="12" a="1"/>
  <c r="E486" i="12" a="1"/>
  <c r="E470" i="12" a="1"/>
  <c r="E454" i="12" a="1"/>
  <c r="E438" i="12" a="1"/>
  <c r="E422" i="12" a="1"/>
  <c r="E406" i="12" a="1"/>
  <c r="E390" i="12" a="1"/>
  <c r="E374" i="12" a="1"/>
  <c r="E358" i="12" a="1"/>
  <c r="E342" i="12" a="1"/>
  <c r="E326" i="12" a="1"/>
  <c r="E315" i="12" a="1"/>
  <c r="E307" i="12" a="1"/>
  <c r="E299" i="12" a="1"/>
  <c r="E291" i="12" a="1"/>
  <c r="E283" i="12" a="1"/>
  <c r="E275" i="12" a="1"/>
  <c r="E469" i="12" a="1"/>
  <c r="E405" i="12" a="1"/>
  <c r="E341" i="12" a="1"/>
  <c r="E260" i="12" a="1"/>
  <c r="E244" i="12" a="1"/>
  <c r="E228" i="12" a="1"/>
  <c r="E212" i="12" a="1"/>
  <c r="E449" i="12" a="1"/>
  <c r="E385" i="12" a="1"/>
  <c r="E321" i="12" a="1"/>
  <c r="E270" i="12" a="1"/>
  <c r="E254" i="12" a="1"/>
  <c r="E238" i="12" a="1"/>
  <c r="E222" i="12" a="1"/>
  <c r="E206" i="12" a="1"/>
  <c r="E429" i="12" a="1"/>
  <c r="E365" i="12" a="1"/>
  <c r="E264" i="12" a="1"/>
  <c r="E248" i="12" a="1"/>
  <c r="E232" i="12" a="1"/>
  <c r="E216" i="12" a="1"/>
  <c r="E409" i="12" a="1"/>
  <c r="E242" i="12" a="1"/>
  <c r="E199" i="12" a="1"/>
  <c r="E182" i="12" a="1"/>
  <c r="E166" i="12" a="1"/>
  <c r="E150" i="12" a="1"/>
  <c r="E134" i="12" a="1"/>
  <c r="E118" i="12" a="1"/>
  <c r="E102" i="12" a="1"/>
  <c r="E94" i="12" a="1"/>
  <c r="E86" i="12" a="1"/>
  <c r="E78" i="12" a="1"/>
  <c r="E70" i="12" a="1"/>
  <c r="E329" i="12" a="1"/>
  <c r="E218" i="12" a="1"/>
  <c r="E194" i="12" a="1"/>
  <c r="E176" i="12" a="1"/>
  <c r="E160" i="12" a="1"/>
  <c r="E144" i="12" a="1"/>
  <c r="E128" i="12" a="1"/>
  <c r="E112" i="12" a="1"/>
  <c r="E377" i="12" a="1"/>
  <c r="E215" i="12" a="1"/>
  <c r="E193" i="12" a="1"/>
  <c r="E178" i="12" a="1"/>
  <c r="E162" i="12" a="1"/>
  <c r="E146" i="12" a="1"/>
  <c r="E130" i="12" a="1"/>
  <c r="E114" i="12" a="1"/>
  <c r="E101" i="12" a="1"/>
  <c r="E93" i="12" a="1"/>
  <c r="E425" i="12" a="1"/>
  <c r="E255" i="12" a="1"/>
  <c r="E200" i="12" a="1"/>
  <c r="E185" i="12" a="1"/>
  <c r="E169" i="12" a="1"/>
  <c r="E153" i="12" a="1"/>
  <c r="E137" i="12" a="1"/>
  <c r="E121" i="12" a="1"/>
  <c r="E105" i="12" a="1"/>
  <c r="E64" i="12" a="1"/>
  <c r="E48" i="12" a="1"/>
  <c r="E32" i="12" a="1"/>
  <c r="E16" i="12" a="1"/>
  <c r="E75" i="12" a="1"/>
  <c r="E55" i="12" a="1"/>
  <c r="E39" i="12" a="1"/>
  <c r="E23" i="12" a="1"/>
  <c r="E7" i="12" a="1"/>
  <c r="E62" i="12" a="1"/>
  <c r="E46" i="12" a="1"/>
  <c r="E30" i="12" a="1"/>
  <c r="E14" i="12" a="1"/>
  <c r="E71" i="12" a="1"/>
  <c r="E53" i="12" a="1"/>
  <c r="E37" i="12" a="1"/>
  <c r="E21" i="12" a="1"/>
  <c r="E5" i="12" a="1"/>
  <c r="E480" i="12" a="1"/>
  <c r="E464" i="12" a="1"/>
  <c r="E448" i="12" a="1"/>
  <c r="E432" i="12" a="1"/>
  <c r="E416" i="12" a="1"/>
  <c r="E400" i="12" a="1"/>
  <c r="E384" i="12" a="1"/>
  <c r="E368" i="12" a="1"/>
  <c r="E352" i="12" a="1"/>
  <c r="E336" i="12" a="1"/>
  <c r="E320" i="12" a="1"/>
  <c r="E312" i="12" a="1"/>
  <c r="E304" i="12" a="1"/>
  <c r="E296" i="12" a="1"/>
  <c r="E288" i="12" a="1"/>
  <c r="E483" i="12" a="1"/>
  <c r="E467" i="12" a="1"/>
  <c r="E451" i="12" a="1"/>
  <c r="E435" i="12" a="1"/>
  <c r="E419" i="12" a="1"/>
  <c r="E403" i="12" a="1"/>
  <c r="E387" i="12" a="1"/>
  <c r="E371" i="12" a="1"/>
  <c r="E355" i="12" a="1"/>
  <c r="E339" i="12" a="1"/>
  <c r="E323" i="12" a="1"/>
  <c r="E474" i="12" a="1"/>
  <c r="E458" i="12" a="1"/>
  <c r="E442" i="12" a="1"/>
  <c r="E426" i="12" a="1"/>
  <c r="E410" i="12" a="1"/>
  <c r="E394" i="12" a="1"/>
  <c r="E378" i="12" a="1"/>
  <c r="E362" i="12" a="1"/>
  <c r="E346" i="12" a="1"/>
  <c r="E330" i="12" a="1"/>
  <c r="E317" i="12" a="1"/>
  <c r="E309" i="12" a="1"/>
  <c r="E301" i="12" a="1"/>
  <c r="E293" i="12" a="1"/>
  <c r="E285" i="12" a="1"/>
  <c r="E277" i="12" a="1"/>
  <c r="E485" i="12" a="1"/>
  <c r="E421" i="12" a="1"/>
  <c r="E357" i="12" a="1"/>
  <c r="E265" i="12" a="1"/>
  <c r="E249" i="12" a="1"/>
  <c r="E233" i="12" a="1"/>
  <c r="E217" i="12" a="1"/>
  <c r="E465" i="12" a="1"/>
  <c r="E401" i="12" a="1"/>
  <c r="E337" i="12" a="1"/>
  <c r="E274" i="12" a="1"/>
  <c r="E259" i="12" a="1"/>
  <c r="E243" i="12" a="1"/>
  <c r="E227" i="12" a="1"/>
  <c r="E211" i="12" a="1"/>
  <c r="E445" i="12" a="1"/>
  <c r="E381" i="12" a="1"/>
  <c r="E269" i="12" a="1"/>
  <c r="E253" i="12" a="1"/>
  <c r="E237" i="12" a="1"/>
  <c r="E221" i="12" a="1"/>
  <c r="E473" i="12" a="1"/>
  <c r="E263" i="12" a="1"/>
  <c r="E203" i="12" a="1"/>
  <c r="E187" i="12" a="1"/>
  <c r="E171" i="12" a="1"/>
  <c r="E155" i="12" a="1"/>
  <c r="E139" i="12" a="1"/>
  <c r="E123" i="12" a="1"/>
  <c r="E107" i="12" a="1"/>
  <c r="E96" i="12" a="1"/>
  <c r="E88" i="12" a="1"/>
  <c r="E80" i="12" a="1"/>
  <c r="E290" i="12" a="1"/>
  <c r="E252" i="12" a="1"/>
  <c r="E472" i="12" a="1"/>
  <c r="E440" i="12" a="1"/>
  <c r="E408" i="12" a="1"/>
  <c r="E376" i="12" a="1"/>
  <c r="E344" i="12" a="1"/>
  <c r="E316" i="12" a="1"/>
  <c r="E300" i="12" a="1"/>
  <c r="E284" i="12" a="1"/>
  <c r="E459" i="12" a="1"/>
  <c r="E427" i="12" a="1"/>
  <c r="E395" i="12" a="1"/>
  <c r="E363" i="12" a="1"/>
  <c r="E331" i="12" a="1"/>
  <c r="E466" i="12" a="1"/>
  <c r="E434" i="12" a="1"/>
  <c r="E402" i="12" a="1"/>
  <c r="E370" i="12" a="1"/>
  <c r="E338" i="12" a="1"/>
  <c r="E313" i="12" a="1"/>
  <c r="E297" i="12" a="1"/>
  <c r="E281" i="12" a="1"/>
  <c r="E453" i="12" a="1"/>
  <c r="E325" i="12" a="1"/>
  <c r="E241" i="12" a="1"/>
  <c r="E209" i="12" a="1"/>
  <c r="E369" i="12" a="1"/>
  <c r="E267" i="12" a="1"/>
  <c r="E235" i="12" a="1"/>
  <c r="E477" i="12" a="1"/>
  <c r="E349" i="12" a="1"/>
  <c r="E245" i="12" a="1"/>
  <c r="E213" i="12" a="1"/>
  <c r="E231" i="12" a="1"/>
  <c r="E179" i="12" a="1"/>
  <c r="E147" i="12" a="1"/>
  <c r="E115" i="12" a="1"/>
  <c r="E92" i="12" a="1"/>
  <c r="E76" i="12" a="1"/>
  <c r="E457" i="12" a="1"/>
  <c r="E239" i="12" a="1"/>
  <c r="E190" i="12" a="1"/>
  <c r="E168" i="12" a="1"/>
  <c r="E149" i="12" a="1"/>
  <c r="E125" i="12" a="1"/>
  <c r="E104" i="12" a="1"/>
  <c r="E226" i="12" a="1"/>
  <c r="E189" i="12" a="1"/>
  <c r="E170" i="12" a="1"/>
  <c r="E151" i="12" a="1"/>
  <c r="E127" i="12" a="1"/>
  <c r="E106" i="12" a="1"/>
  <c r="E95" i="12" a="1"/>
  <c r="E361" i="12" a="1"/>
  <c r="E223" i="12" a="1"/>
  <c r="E188" i="12" a="1"/>
  <c r="E164" i="12" a="1"/>
  <c r="E145" i="12" a="1"/>
  <c r="E124" i="12" a="1"/>
  <c r="E85" i="12" a="1"/>
  <c r="E56" i="12" a="1"/>
  <c r="E36" i="12" a="1"/>
  <c r="E12" i="12" a="1"/>
  <c r="E63" i="12" a="1"/>
  <c r="E43" i="12" a="1"/>
  <c r="E19" i="12" a="1"/>
  <c r="E73" i="12" a="1"/>
  <c r="E50" i="12" a="1"/>
  <c r="E26" i="12" a="1"/>
  <c r="E6" i="12" a="1"/>
  <c r="E57" i="12" a="1"/>
  <c r="E33" i="12" a="1"/>
  <c r="E13" i="12" a="1"/>
  <c r="E3" i="12" a="1"/>
  <c r="E219" i="12" a="1"/>
  <c r="E413" i="12" a="1"/>
  <c r="E261" i="12" a="1"/>
  <c r="E229" i="12" a="1"/>
  <c r="E345" i="12" a="1"/>
  <c r="E195" i="12" a="1"/>
  <c r="E131" i="12" a="1"/>
  <c r="E100" i="12" a="1"/>
  <c r="E84" i="12" a="1"/>
  <c r="E72" i="12" a="1"/>
  <c r="E202" i="12" a="1"/>
  <c r="E157" i="12" a="1"/>
  <c r="E117" i="12" a="1"/>
  <c r="E201" i="12" a="1"/>
  <c r="E159" i="12" a="1"/>
  <c r="E119" i="12" a="1"/>
  <c r="E89" i="12" a="1"/>
  <c r="E196" i="12" a="1"/>
  <c r="E156" i="12" a="1"/>
  <c r="E113" i="12" a="1"/>
  <c r="E44" i="12" a="1"/>
  <c r="E83" i="12" a="1"/>
  <c r="E31" i="12" a="1"/>
  <c r="E58" i="12" a="1"/>
  <c r="E65" i="12" a="1"/>
  <c r="E25" i="12" a="1"/>
  <c r="E484" i="12" a="1"/>
  <c r="E452" i="12" a="1"/>
  <c r="E420" i="12" a="1"/>
  <c r="E388" i="12" a="1"/>
  <c r="E356" i="12" a="1"/>
  <c r="E324" i="12" a="1"/>
  <c r="E306" i="12" a="1"/>
  <c r="E471" i="12" a="1"/>
  <c r="E439" i="12" a="1"/>
  <c r="E407" i="12" a="1"/>
  <c r="E478" i="12" a="1"/>
  <c r="E446" i="12" a="1"/>
  <c r="E414" i="12" a="1"/>
  <c r="E382" i="12" a="1"/>
  <c r="E350" i="12" a="1"/>
  <c r="E319" i="12" a="1"/>
  <c r="E303" i="12" a="1"/>
  <c r="E287" i="12" a="1"/>
  <c r="E271" i="12" a="1"/>
  <c r="E373" i="12" a="1"/>
  <c r="E468" i="12" a="1"/>
  <c r="E436" i="12" a="1"/>
  <c r="E404" i="12" a="1"/>
  <c r="E372" i="12" a="1"/>
  <c r="E340" i="12" a="1"/>
  <c r="E314" i="12" a="1"/>
  <c r="E298" i="12" a="1"/>
  <c r="E487" i="12" a="1"/>
  <c r="E455" i="12" a="1"/>
  <c r="E423" i="12" a="1"/>
  <c r="E391" i="12" a="1"/>
  <c r="E359" i="12" a="1"/>
  <c r="E327" i="12" a="1"/>
  <c r="E462" i="12" a="1"/>
  <c r="E430" i="12" a="1"/>
  <c r="E398" i="12" a="1"/>
  <c r="E366" i="12" a="1"/>
  <c r="E334" i="12" a="1"/>
  <c r="E311" i="12" a="1"/>
  <c r="E295" i="12" a="1"/>
  <c r="E279" i="12" a="1"/>
  <c r="E437" i="12" a="1"/>
  <c r="E268" i="12" a="1"/>
  <c r="E236" i="12" a="1"/>
  <c r="E481" i="12" a="1"/>
  <c r="E353" i="12" a="1"/>
  <c r="E262" i="12" a="1"/>
  <c r="E230" i="12" a="1"/>
  <c r="E461" i="12" a="1"/>
  <c r="E333" i="12" a="1"/>
  <c r="E240" i="12" a="1"/>
  <c r="E208" i="12" a="1"/>
  <c r="E210" i="12" a="1"/>
  <c r="E174" i="12" a="1"/>
  <c r="E142" i="12" a="1"/>
  <c r="E110" i="12" a="1"/>
  <c r="E90" i="12" a="1"/>
  <c r="E74" i="12" a="1"/>
  <c r="E393" i="12" a="1"/>
  <c r="E207" i="12" a="1"/>
  <c r="E184" i="12" a="1"/>
  <c r="E165" i="12" a="1"/>
  <c r="E141" i="12" a="1"/>
  <c r="E120" i="12" a="1"/>
  <c r="E441" i="12" a="1"/>
  <c r="E205" i="12" a="1"/>
  <c r="E186" i="12" a="1"/>
  <c r="E167" i="12" a="1"/>
  <c r="E143" i="12" a="1"/>
  <c r="E122" i="12" a="1"/>
  <c r="E103" i="12" a="1"/>
  <c r="E91" i="12" a="1"/>
  <c r="E280" i="12" a="1"/>
  <c r="E204" i="12" a="1"/>
  <c r="E180" i="12" a="1"/>
  <c r="E161" i="12" a="1"/>
  <c r="E140" i="12" a="1"/>
  <c r="E116" i="12" a="1"/>
  <c r="E77" i="12" a="1"/>
  <c r="E52" i="12" a="1"/>
  <c r="E28" i="12" a="1"/>
  <c r="E8" i="12" a="1"/>
  <c r="E59" i="12" a="1"/>
  <c r="E35" i="12" a="1"/>
  <c r="E15" i="12" a="1"/>
  <c r="E66" i="12" a="1"/>
  <c r="E42" i="12" a="1"/>
  <c r="E22" i="12" a="1"/>
  <c r="E79" i="12" a="1"/>
  <c r="E49" i="12" a="1"/>
  <c r="E29" i="12" a="1"/>
  <c r="E9" i="12" a="1"/>
  <c r="E488" i="12" a="1"/>
  <c r="E456" i="12" a="1"/>
  <c r="E424" i="12" a="1"/>
  <c r="E392" i="12" a="1"/>
  <c r="E360" i="12" a="1"/>
  <c r="E328" i="12" a="1"/>
  <c r="E308" i="12" a="1"/>
  <c r="E292" i="12" a="1"/>
  <c r="E475" i="12" a="1"/>
  <c r="E443" i="12" a="1"/>
  <c r="E411" i="12" a="1"/>
  <c r="E379" i="12" a="1"/>
  <c r="E347" i="12" a="1"/>
  <c r="E482" i="12" a="1"/>
  <c r="E450" i="12" a="1"/>
  <c r="E418" i="12" a="1"/>
  <c r="E386" i="12" a="1"/>
  <c r="E354" i="12" a="1"/>
  <c r="E322" i="12" a="1"/>
  <c r="E305" i="12" a="1"/>
  <c r="E289" i="12" a="1"/>
  <c r="E273" i="12" a="1"/>
  <c r="E389" i="12" a="1"/>
  <c r="E257" i="12" a="1"/>
  <c r="E225" i="12" a="1"/>
  <c r="E433" i="12" a="1"/>
  <c r="E282" i="12" a="1"/>
  <c r="E251" i="12" a="1"/>
  <c r="E272" i="12" a="1"/>
  <c r="E181" i="12" a="1"/>
  <c r="E136" i="12" a="1"/>
  <c r="E258" i="12" a="1"/>
  <c r="E183" i="12" a="1"/>
  <c r="E138" i="12" a="1"/>
  <c r="E99" i="12" a="1"/>
  <c r="E266" i="12" a="1"/>
  <c r="E177" i="12" a="1"/>
  <c r="E132" i="12" a="1"/>
  <c r="E69" i="12" a="1"/>
  <c r="E24" i="12" a="1"/>
  <c r="E51" i="12" a="1"/>
  <c r="E11" i="12" a="1"/>
  <c r="E38" i="12" a="1"/>
  <c r="E45" i="12" a="1"/>
  <c r="E4" i="12" a="1"/>
  <c r="E63" i="14" a="1"/>
  <c r="E375" i="12" a="1"/>
  <c r="E163" i="12" a="1"/>
  <c r="E18" i="12" a="1"/>
  <c r="E343" i="12" a="1"/>
  <c r="E220" i="12" a="1"/>
  <c r="E417" i="12" a="1"/>
  <c r="E397" i="12" a="1"/>
  <c r="E191" i="12" a="1"/>
  <c r="E82" i="12" a="1"/>
  <c r="E173" i="12" a="1"/>
  <c r="E247" i="12" a="1"/>
  <c r="E135" i="12" a="1"/>
  <c r="E234" i="12" a="1"/>
  <c r="E129" i="12" a="1"/>
  <c r="E20" i="12" a="1"/>
  <c r="E81" i="12" a="1"/>
  <c r="E61" i="12" a="1"/>
  <c r="E98" i="12" a="1"/>
  <c r="E154" i="12" a="1"/>
  <c r="E40" i="12" a="1"/>
  <c r="E278" i="12" a="1"/>
  <c r="E256" i="12" a="1"/>
  <c r="E158" i="12" a="1"/>
  <c r="E68" i="12" a="1"/>
  <c r="E152" i="12" a="1"/>
  <c r="E197" i="12" a="1"/>
  <c r="E111" i="12" a="1"/>
  <c r="E192" i="12" a="1"/>
  <c r="E108" i="12" a="1"/>
  <c r="E67" i="12" a="1"/>
  <c r="E54" i="12" a="1"/>
  <c r="E41" i="12" a="1"/>
  <c r="E214" i="12" a="1"/>
  <c r="E198" i="12" a="1"/>
  <c r="E87" i="12" a="1"/>
  <c r="E27" i="12" a="1"/>
  <c r="E246" i="12" a="1"/>
  <c r="E224" i="12" a="1"/>
  <c r="E126" i="12" a="1"/>
  <c r="E250" i="12" a="1"/>
  <c r="E133" i="12" a="1"/>
  <c r="E175" i="12" a="1"/>
  <c r="E97" i="12" a="1"/>
  <c r="E172" i="12" a="1"/>
  <c r="E60" i="12" a="1"/>
  <c r="E47" i="12" a="1"/>
  <c r="E34" i="12" a="1"/>
  <c r="E17" i="12" a="1"/>
  <c r="E276" i="12" a="1"/>
  <c r="E109" i="12" a="1"/>
  <c r="E148" i="12" a="1"/>
  <c r="E10" i="12" a="1"/>
  <c r="E31" i="14" a="1"/>
  <c r="E16" i="14" a="1"/>
  <c r="B5" i="14" l="1"/>
  <c r="C61" i="14"/>
  <c r="C21" i="14"/>
  <c r="B39" i="14"/>
  <c r="B51" i="14"/>
  <c r="B45" i="14"/>
  <c r="B11" i="14"/>
  <c r="C34" i="14"/>
  <c r="B12" i="14"/>
  <c r="B55" i="14"/>
  <c r="B9" i="14"/>
  <c r="C24" i="14"/>
  <c r="C42" i="14"/>
  <c r="E65" i="14"/>
  <c r="E64" i="14"/>
  <c r="C59" i="14"/>
  <c r="B57" i="14"/>
  <c r="B20" i="14"/>
  <c r="C41" i="14"/>
  <c r="B7" i="14"/>
  <c r="B49" i="14"/>
  <c r="B41" i="14"/>
  <c r="B28" i="14"/>
  <c r="C46" i="14"/>
  <c r="C12" i="14"/>
  <c r="B54" i="14"/>
  <c r="B44" i="14"/>
  <c r="B19" i="14"/>
  <c r="B10" i="14"/>
  <c r="B56" i="14"/>
  <c r="B43" i="14"/>
  <c r="C18" i="14"/>
  <c r="B26" i="14"/>
  <c r="C29" i="14"/>
  <c r="B13" i="14"/>
  <c r="C4" i="14"/>
  <c r="B33" i="14"/>
  <c r="B32" i="14"/>
  <c r="C7" i="14"/>
  <c r="C20" i="14"/>
  <c r="C45" i="14"/>
  <c r="B40" i="14"/>
  <c r="B15" i="14"/>
  <c r="B52" i="14"/>
  <c r="B35" i="14"/>
  <c r="C62" i="14"/>
  <c r="C43" i="14"/>
  <c r="C22" i="14"/>
  <c r="B6" i="14"/>
  <c r="C35" i="14"/>
  <c r="B46" i="14"/>
  <c r="B53" i="14"/>
  <c r="B47" i="14"/>
  <c r="B29" i="14"/>
  <c r="C49" i="14"/>
  <c r="B36" i="14"/>
  <c r="B8" i="14"/>
  <c r="B34" i="14"/>
  <c r="C32" i="14"/>
  <c r="B18" i="14"/>
  <c r="B62" i="14"/>
  <c r="C54" i="14"/>
  <c r="B42" i="14"/>
  <c r="C60" i="14"/>
  <c r="C47" i="14"/>
  <c r="B50" i="14"/>
  <c r="B21" i="14"/>
  <c r="C56" i="14"/>
  <c r="B58" i="14"/>
  <c r="B27" i="14"/>
  <c r="C37" i="14"/>
  <c r="B48" i="14"/>
  <c r="B23" i="14"/>
  <c r="B30" i="14"/>
  <c r="B60" i="14"/>
  <c r="C33" i="14"/>
  <c r="C50" i="14"/>
  <c r="B4" i="14"/>
  <c r="C6" i="14"/>
  <c r="B17" i="14"/>
  <c r="C52" i="14"/>
  <c r="B38" i="14"/>
  <c r="C58" i="14"/>
  <c r="B25" i="14"/>
  <c r="C14" i="14"/>
  <c r="C39" i="14"/>
  <c r="E10" i="12"/>
  <c r="E148" i="12"/>
  <c r="E109" i="12"/>
  <c r="E276" i="12"/>
  <c r="E17" i="12"/>
  <c r="E34" i="12"/>
  <c r="E47" i="12"/>
  <c r="E60" i="12"/>
  <c r="E172" i="12"/>
  <c r="E97" i="12"/>
  <c r="E175" i="12"/>
  <c r="E133" i="12"/>
  <c r="E250" i="12"/>
  <c r="E126" i="12"/>
  <c r="E224" i="12"/>
  <c r="E246" i="12"/>
  <c r="E27" i="12"/>
  <c r="E87" i="12"/>
  <c r="E198" i="12"/>
  <c r="E214" i="12"/>
  <c r="E41" i="12"/>
  <c r="E54" i="12"/>
  <c r="E67" i="12"/>
  <c r="E108" i="12"/>
  <c r="E192" i="12"/>
  <c r="E111" i="12"/>
  <c r="E197" i="12"/>
  <c r="E152" i="12"/>
  <c r="E68" i="12"/>
  <c r="E158" i="12"/>
  <c r="E256" i="12"/>
  <c r="E278" i="12"/>
  <c r="E40" i="12"/>
  <c r="E154" i="12"/>
  <c r="E98" i="12"/>
  <c r="E61" i="12"/>
  <c r="E81" i="12"/>
  <c r="E20" i="12"/>
  <c r="E129" i="12"/>
  <c r="E234" i="12"/>
  <c r="E135" i="12"/>
  <c r="E247" i="12"/>
  <c r="E173" i="12"/>
  <c r="E82" i="12"/>
  <c r="E191" i="12"/>
  <c r="E397" i="12"/>
  <c r="E417" i="12"/>
  <c r="E220" i="12"/>
  <c r="E343" i="12"/>
  <c r="E18" i="12"/>
  <c r="E163" i="12"/>
  <c r="E375" i="12"/>
  <c r="E63" i="14"/>
  <c r="E4" i="12"/>
  <c r="E45" i="12"/>
  <c r="E38" i="12"/>
  <c r="E11" i="12"/>
  <c r="E51" i="12"/>
  <c r="E24" i="12"/>
  <c r="E69" i="12"/>
  <c r="E132" i="12"/>
  <c r="E177" i="12"/>
  <c r="E266" i="12"/>
  <c r="E99" i="12"/>
  <c r="E138" i="12"/>
  <c r="E183" i="12"/>
  <c r="E258" i="12"/>
  <c r="E136" i="12"/>
  <c r="E181" i="12"/>
  <c r="E272" i="12"/>
  <c r="E251" i="12"/>
  <c r="E282" i="12"/>
  <c r="E433" i="12"/>
  <c r="E225" i="12"/>
  <c r="E257" i="12"/>
  <c r="E389" i="12"/>
  <c r="E273" i="12"/>
  <c r="E289" i="12"/>
  <c r="E305" i="12"/>
  <c r="E322" i="12"/>
  <c r="E354" i="12"/>
  <c r="E386" i="12"/>
  <c r="E418" i="12"/>
  <c r="E450" i="12"/>
  <c r="E482" i="12"/>
  <c r="E347" i="12"/>
  <c r="E379" i="12"/>
  <c r="E411" i="12"/>
  <c r="E443" i="12"/>
  <c r="E475" i="12"/>
  <c r="E292" i="12"/>
  <c r="E308" i="12"/>
  <c r="E328" i="12"/>
  <c r="E360" i="12"/>
  <c r="E392" i="12"/>
  <c r="E424" i="12"/>
  <c r="E456" i="12"/>
  <c r="E488" i="12"/>
  <c r="E9" i="12"/>
  <c r="E29" i="12"/>
  <c r="E49" i="12"/>
  <c r="E79" i="12"/>
  <c r="E22" i="12"/>
  <c r="E42" i="12"/>
  <c r="E66" i="12"/>
  <c r="E15" i="12"/>
  <c r="E35" i="12"/>
  <c r="E59" i="12"/>
  <c r="E8" i="12"/>
  <c r="E28" i="12"/>
  <c r="E52" i="12"/>
  <c r="E77" i="12"/>
  <c r="E116" i="12"/>
  <c r="E140" i="12"/>
  <c r="E161" i="12"/>
  <c r="E180" i="12"/>
  <c r="E204" i="12"/>
  <c r="E280" i="12"/>
  <c r="E91" i="12"/>
  <c r="E103" i="12"/>
  <c r="E122" i="12"/>
  <c r="E143" i="12"/>
  <c r="E167" i="12"/>
  <c r="E186" i="12"/>
  <c r="E205" i="12"/>
  <c r="E441" i="12"/>
  <c r="E120" i="12"/>
  <c r="E141" i="12"/>
  <c r="E165" i="12"/>
  <c r="E184" i="12"/>
  <c r="E207" i="12"/>
  <c r="E393" i="12"/>
  <c r="E74" i="12"/>
  <c r="E90" i="12"/>
  <c r="E110" i="12"/>
  <c r="E142" i="12"/>
  <c r="E174" i="12"/>
  <c r="E210" i="12"/>
  <c r="E208" i="12"/>
  <c r="E240" i="12"/>
  <c r="E333" i="12"/>
  <c r="E461" i="12"/>
  <c r="E230" i="12"/>
  <c r="E262" i="12"/>
  <c r="E353" i="12"/>
  <c r="E481" i="12"/>
  <c r="E236" i="12"/>
  <c r="E268" i="12"/>
  <c r="E437" i="12"/>
  <c r="E279" i="12"/>
  <c r="E295" i="12"/>
  <c r="E311" i="12"/>
  <c r="E334" i="12"/>
  <c r="E366" i="12"/>
  <c r="E398" i="12"/>
  <c r="E430" i="12"/>
  <c r="E462" i="12"/>
  <c r="E327" i="12"/>
  <c r="E359" i="12"/>
  <c r="E391" i="12"/>
  <c r="E423" i="12"/>
  <c r="E455" i="12"/>
  <c r="E487" i="12"/>
  <c r="E298" i="12"/>
  <c r="E314" i="12"/>
  <c r="E340" i="12"/>
  <c r="E372" i="12"/>
  <c r="E404" i="12"/>
  <c r="E436" i="12"/>
  <c r="E468" i="12"/>
  <c r="E373" i="12"/>
  <c r="E271" i="12"/>
  <c r="E287" i="12"/>
  <c r="E303" i="12"/>
  <c r="E319" i="12"/>
  <c r="E350" i="12"/>
  <c r="E382" i="12"/>
  <c r="E414" i="12"/>
  <c r="E446" i="12"/>
  <c r="E478" i="12"/>
  <c r="E407" i="12"/>
  <c r="E439" i="12"/>
  <c r="E471" i="12"/>
  <c r="E306" i="12"/>
  <c r="E324" i="12"/>
  <c r="E356" i="12"/>
  <c r="E388" i="12"/>
  <c r="E420" i="12"/>
  <c r="E452" i="12"/>
  <c r="E484" i="12"/>
  <c r="E25" i="12"/>
  <c r="E65" i="12"/>
  <c r="E58" i="12"/>
  <c r="E31" i="12"/>
  <c r="E83" i="12"/>
  <c r="E44" i="12"/>
  <c r="E113" i="12"/>
  <c r="E156" i="12"/>
  <c r="E196" i="12"/>
  <c r="E89" i="12"/>
  <c r="E119" i="12"/>
  <c r="E159" i="12"/>
  <c r="E201" i="12"/>
  <c r="E117" i="12"/>
  <c r="E157" i="12"/>
  <c r="E202" i="12"/>
  <c r="E72" i="12"/>
  <c r="E84" i="12"/>
  <c r="E100" i="12"/>
  <c r="E131" i="12"/>
  <c r="E195" i="12"/>
  <c r="E345" i="12"/>
  <c r="E229" i="12"/>
  <c r="E261" i="12"/>
  <c r="E413" i="12"/>
  <c r="E219" i="12"/>
  <c r="E3" i="12"/>
  <c r="E13" i="12"/>
  <c r="E33" i="12"/>
  <c r="E57" i="12"/>
  <c r="E6" i="12"/>
  <c r="E26" i="12"/>
  <c r="E50" i="12"/>
  <c r="E73" i="12"/>
  <c r="E19" i="12"/>
  <c r="E43" i="12"/>
  <c r="E63" i="12"/>
  <c r="E12" i="12"/>
  <c r="E36" i="12"/>
  <c r="E56" i="12"/>
  <c r="E85" i="12"/>
  <c r="E124" i="12"/>
  <c r="E145" i="12"/>
  <c r="E164" i="12"/>
  <c r="E188" i="12"/>
  <c r="E223" i="12"/>
  <c r="E361" i="12"/>
  <c r="E95" i="12"/>
  <c r="E106" i="12"/>
  <c r="E127" i="12"/>
  <c r="E151" i="12"/>
  <c r="E170" i="12"/>
  <c r="E189" i="12"/>
  <c r="E226" i="12"/>
  <c r="E104" i="12"/>
  <c r="E125" i="12"/>
  <c r="E149" i="12"/>
  <c r="E168" i="12"/>
  <c r="E190" i="12"/>
  <c r="E239" i="12"/>
  <c r="E457" i="12"/>
  <c r="E76" i="12"/>
  <c r="E92" i="12"/>
  <c r="E115" i="12"/>
  <c r="E147" i="12"/>
  <c r="E179" i="12"/>
  <c r="E231" i="12"/>
  <c r="E213" i="12"/>
  <c r="E245" i="12"/>
  <c r="E349" i="12"/>
  <c r="E477" i="12"/>
  <c r="E235" i="12"/>
  <c r="E267" i="12"/>
  <c r="E369" i="12"/>
  <c r="E209" i="12"/>
  <c r="E241" i="12"/>
  <c r="E325" i="12"/>
  <c r="E453" i="12"/>
  <c r="E281" i="12"/>
  <c r="E297" i="12"/>
  <c r="E313" i="12"/>
  <c r="E338" i="12"/>
  <c r="E370" i="12"/>
  <c r="E402" i="12"/>
  <c r="E434" i="12"/>
  <c r="E466" i="12"/>
  <c r="E331" i="12"/>
  <c r="E363" i="12"/>
  <c r="E395" i="12"/>
  <c r="E427" i="12"/>
  <c r="E459" i="12"/>
  <c r="E284" i="12"/>
  <c r="E300" i="12"/>
  <c r="E316" i="12"/>
  <c r="E344" i="12"/>
  <c r="E376" i="12"/>
  <c r="E408" i="12"/>
  <c r="E440" i="12"/>
  <c r="E472" i="12"/>
  <c r="E252" i="12"/>
  <c r="E290" i="12"/>
  <c r="E80" i="12"/>
  <c r="E88" i="12"/>
  <c r="E96" i="12"/>
  <c r="E107" i="12"/>
  <c r="E123" i="12"/>
  <c r="E139" i="12"/>
  <c r="E155" i="12"/>
  <c r="E171" i="12"/>
  <c r="E187" i="12"/>
  <c r="E203" i="12"/>
  <c r="E263" i="12"/>
  <c r="E473" i="12"/>
  <c r="E221" i="12"/>
  <c r="E237" i="12"/>
  <c r="E253" i="12"/>
  <c r="E269" i="12"/>
  <c r="E381" i="12"/>
  <c r="E445" i="12"/>
  <c r="E211" i="12"/>
  <c r="E227" i="12"/>
  <c r="E243" i="12"/>
  <c r="E259" i="12"/>
  <c r="E274" i="12"/>
  <c r="E337" i="12"/>
  <c r="E401" i="12"/>
  <c r="E465" i="12"/>
  <c r="E217" i="12"/>
  <c r="E233" i="12"/>
  <c r="E249" i="12"/>
  <c r="E265" i="12"/>
  <c r="E357" i="12"/>
  <c r="E421" i="12"/>
  <c r="E485" i="12"/>
  <c r="E277" i="12"/>
  <c r="E285" i="12"/>
  <c r="E293" i="12"/>
  <c r="E301" i="12"/>
  <c r="E309" i="12"/>
  <c r="E317" i="12"/>
  <c r="E330" i="12"/>
  <c r="E346" i="12"/>
  <c r="E362" i="12"/>
  <c r="E378" i="12"/>
  <c r="E394" i="12"/>
  <c r="E410" i="12"/>
  <c r="E426" i="12"/>
  <c r="E442" i="12"/>
  <c r="E458" i="12"/>
  <c r="E474" i="12"/>
  <c r="E323" i="12"/>
  <c r="E339" i="12"/>
  <c r="E355" i="12"/>
  <c r="E371" i="12"/>
  <c r="E387" i="12"/>
  <c r="E403" i="12"/>
  <c r="E419" i="12"/>
  <c r="E435" i="12"/>
  <c r="E451" i="12"/>
  <c r="E467" i="12"/>
  <c r="E483" i="12"/>
  <c r="E288" i="12"/>
  <c r="E296" i="12"/>
  <c r="E304" i="12"/>
  <c r="E312" i="12"/>
  <c r="E320" i="12"/>
  <c r="E336" i="12"/>
  <c r="E352" i="12"/>
  <c r="E368" i="12"/>
  <c r="E384" i="12"/>
  <c r="E400" i="12"/>
  <c r="E416" i="12"/>
  <c r="E432" i="12"/>
  <c r="E448" i="12"/>
  <c r="E464" i="12"/>
  <c r="E480" i="12"/>
  <c r="E5" i="12"/>
  <c r="E21" i="12"/>
  <c r="E37" i="12"/>
  <c r="E53" i="12"/>
  <c r="E71" i="12"/>
  <c r="E14" i="12"/>
  <c r="E30" i="12"/>
  <c r="E46" i="12"/>
  <c r="E62" i="12"/>
  <c r="E7" i="12"/>
  <c r="E23" i="12"/>
  <c r="E39" i="12"/>
  <c r="E55" i="12"/>
  <c r="E75" i="12"/>
  <c r="E16" i="12"/>
  <c r="E32" i="12"/>
  <c r="E48" i="12"/>
  <c r="E64" i="12"/>
  <c r="E105" i="12"/>
  <c r="E121" i="12"/>
  <c r="E137" i="12"/>
  <c r="E153" i="12"/>
  <c r="E169" i="12"/>
  <c r="E185" i="12"/>
  <c r="E200" i="12"/>
  <c r="E255" i="12"/>
  <c r="E425" i="12"/>
  <c r="E93" i="12"/>
  <c r="E101" i="12"/>
  <c r="E114" i="12"/>
  <c r="E130" i="12"/>
  <c r="E146" i="12"/>
  <c r="E162" i="12"/>
  <c r="E178" i="12"/>
  <c r="E193" i="12"/>
  <c r="E215" i="12"/>
  <c r="E377" i="12"/>
  <c r="E112" i="12"/>
  <c r="E128" i="12"/>
  <c r="E144" i="12"/>
  <c r="E160" i="12"/>
  <c r="E176" i="12"/>
  <c r="E194" i="12"/>
  <c r="E218" i="12"/>
  <c r="E329" i="12"/>
  <c r="E70" i="12"/>
  <c r="E78" i="12"/>
  <c r="E86" i="12"/>
  <c r="E94" i="12"/>
  <c r="E102" i="12"/>
  <c r="E118" i="12"/>
  <c r="E134" i="12"/>
  <c r="E150" i="12"/>
  <c r="E166" i="12"/>
  <c r="E182" i="12"/>
  <c r="E199" i="12"/>
  <c r="E242" i="12"/>
  <c r="E409" i="12"/>
  <c r="E216" i="12"/>
  <c r="E232" i="12"/>
  <c r="E248" i="12"/>
  <c r="E264" i="12"/>
  <c r="E365" i="12"/>
  <c r="E429" i="12"/>
  <c r="E206" i="12"/>
  <c r="E222" i="12"/>
  <c r="E238" i="12"/>
  <c r="E254" i="12"/>
  <c r="E270" i="12"/>
  <c r="E321" i="12"/>
  <c r="E385" i="12"/>
  <c r="E449" i="12"/>
  <c r="E212" i="12"/>
  <c r="E228" i="12"/>
  <c r="E244" i="12"/>
  <c r="E260" i="12"/>
  <c r="E341" i="12"/>
  <c r="E405" i="12"/>
  <c r="E469" i="12"/>
  <c r="E275" i="12"/>
  <c r="E283" i="12"/>
  <c r="E291" i="12"/>
  <c r="E299" i="12"/>
  <c r="E307" i="12"/>
  <c r="E315" i="12"/>
  <c r="E326" i="12"/>
  <c r="E342" i="12"/>
  <c r="E358" i="12"/>
  <c r="E374" i="12"/>
  <c r="E390" i="12"/>
  <c r="E406" i="12"/>
  <c r="E422" i="12"/>
  <c r="E438" i="12"/>
  <c r="E454" i="12"/>
  <c r="E470" i="12"/>
  <c r="E486" i="12"/>
  <c r="E335" i="12"/>
  <c r="E351" i="12"/>
  <c r="E367" i="12"/>
  <c r="E383" i="12"/>
  <c r="E399" i="12"/>
  <c r="E415" i="12"/>
  <c r="E431" i="12"/>
  <c r="E447" i="12"/>
  <c r="E463" i="12"/>
  <c r="E479" i="12"/>
  <c r="E286" i="12"/>
  <c r="E294" i="12"/>
  <c r="E302" i="12"/>
  <c r="E310" i="12"/>
  <c r="E318" i="12"/>
  <c r="E332" i="12"/>
  <c r="E348" i="12"/>
  <c r="E364" i="12"/>
  <c r="E380" i="12"/>
  <c r="E396" i="12"/>
  <c r="E412" i="12"/>
  <c r="E428" i="12"/>
  <c r="E444" i="12"/>
  <c r="E460" i="12"/>
  <c r="E476" i="12"/>
  <c r="E489" i="12"/>
  <c r="E31" i="14"/>
  <c r="E16" i="14"/>
  <c r="C28" i="14"/>
  <c r="C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E51" i="14" a="1"/>
  <c r="E61" i="14" a="1"/>
  <c r="E55" i="14" a="1"/>
  <c r="E24" i="14" a="1"/>
  <c r="E41" i="14" a="1"/>
  <c r="E12" i="14" a="1"/>
  <c r="E59" i="14" a="1"/>
  <c r="E57" i="14" a="1"/>
  <c r="E29" i="14" a="1"/>
  <c r="E40" i="14" a="1"/>
  <c r="E47" i="14" a="1"/>
  <c r="E48" i="14" a="1"/>
  <c r="E33" i="14" a="1"/>
  <c r="E17" i="14" a="1"/>
  <c r="E44" i="14" a="1"/>
  <c r="E13" i="14" a="1"/>
  <c r="E15" i="14" a="1"/>
  <c r="E62" i="14" a="1"/>
  <c r="E35" i="14" a="1"/>
  <c r="E34" i="14" a="1"/>
  <c r="E54" i="14" a="1"/>
  <c r="E23" i="14" a="1"/>
  <c r="E50" i="14" a="1"/>
  <c r="E52" i="14" a="1"/>
  <c r="E14" i="14" a="1"/>
  <c r="E19" i="14" a="1"/>
  <c r="E18" i="14" a="1"/>
  <c r="E4" i="14" a="1"/>
  <c r="E20" i="14" a="1"/>
  <c r="E43" i="14" a="1"/>
  <c r="E46" i="14" a="1"/>
  <c r="E49" i="14" a="1"/>
  <c r="E32" i="14" a="1"/>
  <c r="E42" i="14" a="1"/>
  <c r="E21" i="14" a="1"/>
  <c r="E30" i="14" a="1"/>
  <c r="E38" i="14" a="1"/>
  <c r="E39" i="14" a="1"/>
  <c r="E45" i="14" a="1"/>
  <c r="E22" i="14" a="1"/>
  <c r="E53" i="14" a="1"/>
  <c r="E36" i="14" a="1"/>
  <c r="E60" i="14" a="1"/>
  <c r="E56" i="14" a="1"/>
  <c r="E37" i="14" a="1"/>
  <c r="E58" i="14" a="1"/>
  <c r="E61" i="14" l="1"/>
  <c r="E51" i="14"/>
  <c r="C26" i="14"/>
  <c r="E24" i="14"/>
  <c r="E55" i="14"/>
  <c r="C10" i="14"/>
  <c r="C27" i="14"/>
  <c r="E57" i="14"/>
  <c r="E59" i="14"/>
  <c r="E12" i="14"/>
  <c r="E41" i="14"/>
  <c r="E58" i="14"/>
  <c r="E37" i="14"/>
  <c r="E56" i="14"/>
  <c r="E60" i="14"/>
  <c r="E36" i="14"/>
  <c r="E53" i="14"/>
  <c r="E22" i="14"/>
  <c r="E45" i="14"/>
  <c r="E39" i="14"/>
  <c r="E38" i="14"/>
  <c r="E30" i="14"/>
  <c r="E21" i="14"/>
  <c r="E42" i="14"/>
  <c r="E32" i="14"/>
  <c r="E49" i="14"/>
  <c r="E46" i="14"/>
  <c r="E43" i="14"/>
  <c r="E20" i="14"/>
  <c r="E4" i="14"/>
  <c r="E18" i="14"/>
  <c r="E19" i="14"/>
  <c r="E14" i="14"/>
  <c r="E52" i="14"/>
  <c r="E50" i="14"/>
  <c r="E23" i="14"/>
  <c r="E54" i="14"/>
  <c r="E34" i="14"/>
  <c r="E35" i="14"/>
  <c r="E62" i="14"/>
  <c r="E15" i="14"/>
  <c r="E13" i="14"/>
  <c r="E44" i="14"/>
  <c r="E17" i="14"/>
  <c r="E33" i="14"/>
  <c r="E48" i="14"/>
  <c r="E47" i="14"/>
  <c r="E40" i="14"/>
  <c r="E29" i="14"/>
  <c r="C25" i="14"/>
  <c r="C9" i="14"/>
  <c r="C3" i="14"/>
  <c r="E9" i="14" a="1"/>
  <c r="E25" i="14" a="1"/>
  <c r="E8" i="14" a="1"/>
  <c r="E11" i="14" a="1"/>
  <c r="E26" i="14" a="1"/>
  <c r="E28" i="14" a="1"/>
  <c r="E27" i="14" a="1"/>
  <c r="E6" i="14" a="1"/>
  <c r="E7" i="14" a="1"/>
  <c r="E10" i="14" a="1"/>
  <c r="E3" i="14" a="1"/>
  <c r="E5" i="14" a="1"/>
  <c r="E25" i="14" l="1"/>
  <c r="E9" i="14"/>
  <c r="E6" i="14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<sst xmlns="http://schemas.openxmlformats.org/spreadsheetml/2006/main" count="2730" uniqueCount="1971">
  <si>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</si>
  <si>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</si>
  <si>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</si>
  <si>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</si>
  <si>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</si>
  <si>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</si>
  <si>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</si>
  <si>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</si>
  <si>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</si>
  <si>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</si>
  <si>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</si>
  <si>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</si>
  <si>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</si>
  <si>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</si>
  <si>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</si>
  <si>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</si>
  <si>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</si>
  <si>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</si>
  <si>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</si>
  <si>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</si>
  <si>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</si>
  <si>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</si>
  <si>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</si>
  <si>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</si>
  <si>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</si>
  <si>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</si>
  <si>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</si>
  <si>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</si>
  <si>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</si>
  <si>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</si>
  <si>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</si>
  <si>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</si>
  <si>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</si>
  <si>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</si>
  <si>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</si>
  <si>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</si>
  <si>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</si>
  <si>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</si>
  <si>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</si>
  <si>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</si>
  <si>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</si>
  <si>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</si>
  <si>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</si>
  <si>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</si>
  <si>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</si>
  <si>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</si>
  <si>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</si>
  <si>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</si>
  <si>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</si>
  <si>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</si>
  <si>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</si>
  <si>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</si>
  <si>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</si>
  <si>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</si>
  <si>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</si>
  <si>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</si>
  <si>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</si>
  <si>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</si>
  <si>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</si>
  <si>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</si>
  <si>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</si>
  <si>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</si>
  <si>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</si>
  <si>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</si>
  <si>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</si>
  <si>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</si>
  <si>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</si>
  <si>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</si>
  <si>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</si>
  <si>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</si>
  <si>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</si>
  <si>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</si>
  <si>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</si>
  <si>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</si>
  <si>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</si>
  <si>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</si>
  <si>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</si>
  <si>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</si>
  <si>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</si>
  <si>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</si>
  <si>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</si>
  <si>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</si>
  <si>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</si>
  <si>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</si>
  <si>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</si>
  <si>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</si>
  <si>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</si>
  <si>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</si>
  <si>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</si>
  <si>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</si>
  <si>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</si>
  <si>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</si>
  <si>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</si>
  <si>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</si>
  <si>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</si>
  <si>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</si>
  <si>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</si>
  <si>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</si>
  <si>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</si>
  <si>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</si>
  <si>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</si>
  <si>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</si>
  <si>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</si>
  <si>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</si>
  <si>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</si>
  <si>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</si>
  <si>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</si>
  <si>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</si>
  <si>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</si>
  <si>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</si>
  <si>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</si>
  <si>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</si>
  <si>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</si>
  <si>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</si>
  <si>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</si>
  <si>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</si>
  <si>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</si>
  <si>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</si>
  <si>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</si>
  <si>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</si>
  <si>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</si>
  <si>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</si>
  <si>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</si>
  <si>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</si>
  <si>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</si>
  <si>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</si>
  <si>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</si>
  <si>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</si>
  <si>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</si>
  <si>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</si>
  <si>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</si>
  <si>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</si>
  <si>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</si>
  <si>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</si>
  <si>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</si>
  <si>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</si>
  <si>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</si>
  <si>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</si>
  <si>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</si>
  <si>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</si>
  <si>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</si>
  <si>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</si>
  <si>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</si>
  <si>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</si>
  <si>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</si>
  <si>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</si>
  <si>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</si>
  <si>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</si>
  <si>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</si>
  <si>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</si>
  <si>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</si>
  <si>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</si>
  <si>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</si>
  <si>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</si>
  <si>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</si>
  <si>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</si>
  <si>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</si>
  <si>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</si>
  <si>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</si>
  <si>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</si>
  <si>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</si>
  <si>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</si>
  <si>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</si>
  <si>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</si>
  <si>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</si>
  <si>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</si>
  <si>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</si>
  <si>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</si>
  <si>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</si>
  <si>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</si>
  <si>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</si>
  <si>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</si>
  <si>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</si>
  <si>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</si>
  <si>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</si>
  <si>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</si>
  <si>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</si>
  <si>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</si>
  <si>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</si>
  <si>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</si>
  <si>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</si>
  <si>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</si>
  <si>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</si>
  <si>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</si>
  <si>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</si>
  <si>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</si>
  <si>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</si>
  <si>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</si>
  <si>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</si>
  <si>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</si>
  <si>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</si>
  <si>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</si>
  <si>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</si>
  <si>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</si>
  <si>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</si>
  <si>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</si>
  <si>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</si>
  <si>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</si>
  <si>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</si>
  <si>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</si>
  <si>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</si>
  <si>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</si>
  <si>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</si>
  <si>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</si>
  <si>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</si>
  <si>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</si>
  <si>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</si>
  <si>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</si>
  <si>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</si>
  <si>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</si>
  <si>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</si>
  <si>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</si>
  <si>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</si>
  <si>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</si>
  <si>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</si>
  <si>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</si>
  <si>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</si>
  <si>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</si>
  <si>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</si>
  <si>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</si>
  <si>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</si>
  <si>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</si>
  <si>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</si>
  <si>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</si>
  <si>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</si>
  <si>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</si>
  <si>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</si>
  <si>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</si>
  <si>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</si>
  <si>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</si>
  <si>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</si>
  <si>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</si>
  <si>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</si>
  <si>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</si>
  <si>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</si>
  <si>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</si>
  <si>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</si>
  <si>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</si>
  <si>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</si>
  <si>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</si>
  <si>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</si>
  <si>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</si>
  <si>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</si>
  <si>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</si>
  <si>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</si>
  <si>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</si>
  <si>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</si>
  <si>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</si>
  <si>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</si>
  <si>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</si>
  <si>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</si>
  <si>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</si>
  <si>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</si>
  <si>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</si>
  <si>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</si>
  <si>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</si>
  <si>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</si>
  <si>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</si>
  <si>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</si>
  <si>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</si>
  <si>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</si>
  <si>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</si>
  <si>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</si>
  <si>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</si>
  <si>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</si>
  <si>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</si>
  <si>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</si>
  <si>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</si>
  <si>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</si>
  <si>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</si>
  <si>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</si>
  <si>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</si>
  <si>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</si>
  <si>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</si>
  <si>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</si>
  <si>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</si>
  <si>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</si>
  <si>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</si>
  <si>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</si>
  <si>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</si>
  <si>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</si>
  <si>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</si>
  <si>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</si>
  <si>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</si>
  <si>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</si>
  <si>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</si>
  <si>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</si>
  <si>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</si>
  <si>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</si>
  <si>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</si>
  <si>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</si>
  <si>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</si>
  <si>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</si>
  <si>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</si>
  <si>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</si>
  <si>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</si>
  <si>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</si>
  <si>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</si>
  <si>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</si>
  <si>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</si>
  <si>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</si>
  <si>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</si>
  <si>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</si>
  <si>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</si>
  <si>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</si>
  <si>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</si>
  <si>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</si>
  <si>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</si>
  <si>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</si>
  <si>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</si>
  <si>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</si>
  <si>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</si>
  <si>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</si>
  <si>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</si>
  <si>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</si>
  <si>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</si>
  <si>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</si>
  <si>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</si>
  <si>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</si>
  <si>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</si>
  <si>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</si>
  <si>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</si>
  <si>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</si>
  <si>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</si>
  <si>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</si>
  <si>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</si>
  <si>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</si>
  <si>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</si>
  <si>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</si>
  <si>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</si>
  <si>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</si>
  <si>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</si>
  <si>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</si>
  <si>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</si>
  <si>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</si>
  <si>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</si>
  <si>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</si>
  <si>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</si>
  <si>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</si>
  <si>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</si>
  <si>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</si>
  <si>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</si>
  <si>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</si>
  <si>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</si>
  <si>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</si>
  <si>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</si>
  <si>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</si>
  <si>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</si>
  <si>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</si>
  <si>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</si>
  <si>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</si>
  <si>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</si>
  <si>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</si>
  <si>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</si>
  <si>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</si>
  <si>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</si>
  <si>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</si>
  <si>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</si>
  <si>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</si>
  <si>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</si>
  <si>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</si>
  <si>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</si>
  <si>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</si>
  <si>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</si>
  <si>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</si>
  <si>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</si>
  <si>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</si>
  <si>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</si>
  <si>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</si>
  <si>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</si>
  <si>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</si>
  <si>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</si>
  <si>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</si>
  <si>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</si>
  <si>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</si>
  <si>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</si>
  <si>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</si>
  <si>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</si>
  <si>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</si>
  <si>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</si>
  <si>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</si>
  <si>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</si>
  <si>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</si>
  <si>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</si>
  <si>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</si>
  <si>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</si>
  <si>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</si>
  <si>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</si>
  <si>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</si>
  <si>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</si>
  <si>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</si>
  <si>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</si>
  <si>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</si>
  <si>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</si>
  <si>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</si>
  <si>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</si>
  <si>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</si>
  <si>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</si>
  <si>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</si>
  <si>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</si>
  <si>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</si>
  <si>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</si>
  <si>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</si>
  <si>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</si>
  <si>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</si>
  <si>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</si>
  <si>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</si>
  <si>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</si>
  <si>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</si>
  <si>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</si>
  <si>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</si>
  <si>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</si>
  <si>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</si>
  <si>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</si>
  <si>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</si>
  <si>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</si>
  <si>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</si>
  <si>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</si>
  <si>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</si>
  <si>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</si>
  <si>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</si>
  <si>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</si>
  <si>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</si>
  <si>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</si>
  <si>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</si>
  <si>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</si>
  <si>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</si>
  <si>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</si>
  <si>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</si>
  <si>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</si>
  <si>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</si>
  <si>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</si>
  <si>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</si>
  <si>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</si>
  <si>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</si>
  <si>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</si>
  <si>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</si>
  <si>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</si>
  <si>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</si>
  <si>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</si>
  <si>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</si>
  <si>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</si>
  <si>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</si>
  <si>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</si>
  <si>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</si>
  <si>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</si>
  <si>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</si>
  <si>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</si>
  <si>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</si>
  <si>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</si>
  <si>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</si>
  <si>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</si>
  <si>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</si>
  <si>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</si>
  <si>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</si>
  <si>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</si>
  <si>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</si>
  <si>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</si>
  <si>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</si>
  <si>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</si>
  <si>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</si>
  <si>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</si>
  <si>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</si>
  <si>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</si>
  <si>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</si>
  <si>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</si>
  <si>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</si>
  <si>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</si>
  <si>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</si>
  <si>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</si>
  <si>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</si>
  <si>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</si>
  <si>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</si>
  <si>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</si>
  <si>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</si>
  <si>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</si>
  <si>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</si>
  <si>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</si>
  <si>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</si>
  <si>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</si>
  <si>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</si>
  <si>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</si>
  <si>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</si>
  <si>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</si>
  <si>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</si>
  <si>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</si>
  <si>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</si>
  <si>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</si>
  <si>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</si>
  <si>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</si>
  <si>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</si>
  <si>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</si>
  <si>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</si>
  <si>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</si>
  <si>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</si>
  <si>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</si>
  <si>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</si>
  <si>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</si>
  <si>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</si>
  <si>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</si>
  <si>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</si>
  <si>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</si>
  <si>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</si>
  <si>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</si>
  <si>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</si>
  <si>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</si>
  <si>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</si>
  <si>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</si>
  <si>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</si>
  <si>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</si>
  <si>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</si>
  <si>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</si>
  <si>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</si>
  <si>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</si>
  <si>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</si>
  <si>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</si>
  <si>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</si>
  <si>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</si>
  <si>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</si>
  <si>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</si>
  <si>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</si>
  <si>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</si>
  <si>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</si>
  <si>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</si>
  <si>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</si>
  <si>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</si>
  <si>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</si>
  <si>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</si>
  <si>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</si>
  <si>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</si>
  <si>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</si>
  <si>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</si>
  <si>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</si>
  <si>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</si>
  <si>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</si>
  <si>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</si>
  <si>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</si>
  <si>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</si>
  <si>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</si>
  <si>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</si>
  <si>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</si>
  <si>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</si>
  <si>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</si>
  <si>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</si>
  <si>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</si>
  <si>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</si>
  <si>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</si>
  <si>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</si>
  <si>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</si>
  <si>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</si>
  <si>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</si>
  <si>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</si>
  <si>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</si>
  <si>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</si>
  <si>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</si>
  <si>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</si>
  <si>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</si>
  <si>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</si>
  <si>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</si>
  <si>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</si>
  <si>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</si>
  <si>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</si>
  <si>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</si>
  <si>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</si>
  <si>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</si>
  <si>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</si>
  <si>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</si>
  <si>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</si>
  <si>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</si>
  <si>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</si>
  <si>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</si>
  <si>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</si>
  <si>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</si>
  <si>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</si>
  <si>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</si>
  <si>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</si>
  <si>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</si>
  <si>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</si>
  <si>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</si>
  <si>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</si>
  <si>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</si>
  <si>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</si>
  <si>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</si>
  <si>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</si>
  <si>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</si>
  <si>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</si>
  <si>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</si>
  <si>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</si>
  <si>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</si>
  <si>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</si>
  <si>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</si>
  <si>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</si>
  <si>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</si>
  <si>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</si>
  <si>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</si>
  <si>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</si>
  <si>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</si>
  <si>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</si>
  <si>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</si>
  <si>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</si>
  <si>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</si>
  <si>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</si>
  <si>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</si>
  <si>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</si>
  <si>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</si>
  <si>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</si>
  <si>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</si>
  <si>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</si>
  <si>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</si>
  <si>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</si>
  <si>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</si>
  <si>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</si>
  <si>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</si>
  <si>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</si>
  <si>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</si>
  <si>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</si>
  <si>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</si>
  <si>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</si>
  <si>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</si>
  <si>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</si>
  <si>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</si>
  <si>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</si>
  <si>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</si>
  <si>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</si>
  <si>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</si>
  <si>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</si>
  <si>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</si>
  <si>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</si>
  <si>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</si>
  <si>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</si>
  <si>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</si>
  <si>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</si>
  <si>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</si>
  <si>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</si>
  <si>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</si>
  <si>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</si>
  <si>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</si>
  <si>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</si>
  <si>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</si>
  <si>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</si>
  <si>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</si>
  <si>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</si>
  <si>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</si>
  <si>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</si>
  <si>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</si>
  <si>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</si>
  <si>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</si>
  <si>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</si>
  <si>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</si>
  <si>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</si>
  <si>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</si>
  <si>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</si>
  <si>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</si>
  <si>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</si>
  <si>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</si>
  <si>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</si>
  <si>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</si>
  <si>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</si>
  <si>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</si>
  <si>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</si>
  <si>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</si>
  <si>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</si>
  <si>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</si>
  <si>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</si>
  <si>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</si>
  <si>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</si>
  <si>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</si>
  <si>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</si>
  <si>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</si>
  <si>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</si>
  <si>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</si>
  <si>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</si>
  <si>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</si>
  <si>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</si>
  <si>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</si>
  <si>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</si>
  <si>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</si>
  <si>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</si>
  <si>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</si>
  <si>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</si>
  <si>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</si>
  <si>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</si>
  <si>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</si>
  <si>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</si>
  <si>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</si>
  <si>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</si>
  <si>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</si>
  <si>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</si>
  <si>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</si>
  <si>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</si>
  <si>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</si>
  <si>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</si>
  <si>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</si>
  <si>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</si>
  <si>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</si>
  <si>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</si>
  <si>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</si>
  <si>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</si>
  <si>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</si>
  <si>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</si>
  <si>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</si>
  <si>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</si>
  <si>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</si>
  <si>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</si>
  <si>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</si>
  <si>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</si>
  <si>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</si>
  <si>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</si>
  <si>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</si>
  <si>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</si>
  <si>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</si>
  <si>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</si>
  <si>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</si>
  <si>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</si>
  <si>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</si>
  <si>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</si>
  <si>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</si>
  <si>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</si>
  <si>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</si>
  <si>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</si>
  <si>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</si>
  <si>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</si>
  <si>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</si>
  <si>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</si>
  <si>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</si>
  <si>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</si>
  <si>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</si>
  <si>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</si>
  <si>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</si>
  <si>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</si>
  <si>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</si>
  <si>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</si>
  <si>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</si>
  <si>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</si>
  <si>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</si>
  <si>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</si>
  <si>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</si>
  <si>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</si>
  <si>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</si>
  <si>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</si>
  <si>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</si>
  <si>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</si>
  <si>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</si>
  <si>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</si>
  <si>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</si>
  <si>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</si>
  <si>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</si>
  <si>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</si>
  <si>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</si>
  <si>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</si>
  <si>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</si>
  <si>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</si>
  <si>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</si>
  <si>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</si>
  <si>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</si>
  <si>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</si>
  <si>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</si>
  <si>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</si>
  <si>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</si>
  <si>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</si>
  <si>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</si>
  <si>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</si>
  <si>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</si>
  <si>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</si>
  <si>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</si>
  <si>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</si>
  <si>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</si>
  <si>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</si>
  <si>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</si>
  <si>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</si>
  <si>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</si>
  <si>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</si>
  <si>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</si>
  <si>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</si>
  <si>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</si>
  <si>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</si>
  <si>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</si>
  <si>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</si>
  <si>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</si>
  <si>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</si>
  <si>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</si>
  <si>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</si>
  <si>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</si>
  <si>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</si>
  <si>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</si>
  <si>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</si>
  <si>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</si>
  <si>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</si>
  <si>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</si>
  <si>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</si>
  <si>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</si>
  <si>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</si>
  <si>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</si>
  <si>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</si>
  <si>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</si>
  <si>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</si>
  <si>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</si>
  <si>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</si>
  <si>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</si>
  <si>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</si>
  <si>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</si>
  <si>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</si>
  <si>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</si>
  <si>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</si>
  <si>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</si>
  <si>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</si>
  <si>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</si>
  <si>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</si>
  <si>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</si>
  <si>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</si>
  <si>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</si>
  <si>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</si>
  <si>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</si>
  <si>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</si>
  <si>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</si>
  <si>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</si>
  <si>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</si>
  <si>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</si>
  <si>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</si>
  <si>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</si>
  <si>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</si>
  <si>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</si>
  <si>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</si>
  <si>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</si>
  <si>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</si>
  <si>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</si>
  <si>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</si>
  <si>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</si>
  <si>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</si>
  <si>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</si>
  <si>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</si>
  <si>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</si>
  <si>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</si>
  <si>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</si>
  <si>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</si>
  <si>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</si>
  <si>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</si>
  <si>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</si>
  <si>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</si>
  <si>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</si>
  <si>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</si>
  <si>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</si>
  <si>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</si>
  <si>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</si>
  <si>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</si>
  <si>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</si>
  <si>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</si>
  <si>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</si>
  <si>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</si>
  <si>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</si>
  <si>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</si>
  <si>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</si>
  <si>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</si>
  <si>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</si>
  <si>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</si>
  <si>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</si>
  <si>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</si>
  <si>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</si>
  <si>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</si>
  <si>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</si>
  <si>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</si>
  <si>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</si>
  <si>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</si>
  <si>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</si>
  <si>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</si>
  <si>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</si>
  <si>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</si>
  <si>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</si>
  <si>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</si>
  <si>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</si>
  <si>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</si>
  <si>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</si>
  <si>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</si>
  <si>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</si>
  <si>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</si>
  <si>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</si>
  <si>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</si>
  <si>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</si>
  <si>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</si>
  <si>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</si>
  <si>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</si>
  <si>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</si>
  <si>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</si>
  <si>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</si>
  <si>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</si>
  <si>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</si>
  <si>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</si>
  <si>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</si>
  <si>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</si>
  <si>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</si>
  <si>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</si>
  <si>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</si>
  <si>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</si>
  <si>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</si>
  <si>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</si>
  <si>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</si>
  <si>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</si>
  <si>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</si>
  <si>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</si>
  <si>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</si>
  <si>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</si>
  <si>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</si>
  <si>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</si>
  <si>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</si>
  <si>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</si>
  <si>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</si>
  <si>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</si>
  <si>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</si>
  <si>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</si>
  <si>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</si>
  <si>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</si>
  <si>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</si>
  <si>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</si>
  <si>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</si>
  <si>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</si>
  <si>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</si>
  <si>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</si>
  <si>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</si>
  <si>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</si>
  <si>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</si>
  <si>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</si>
  <si>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</si>
  <si>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</si>
  <si>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</si>
  <si>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</si>
  <si>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</si>
  <si>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</si>
  <si>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</si>
  <si>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</si>
  <si>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</si>
  <si>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</si>
  <si>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</si>
  <si>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</si>
  <si>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</si>
  <si>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</si>
  <si>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</si>
  <si>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</si>
  <si>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</si>
  <si>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</si>
  <si>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</si>
  <si>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</si>
  <si>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</si>
  <si>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</si>
  <si>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</si>
  <si>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</si>
  <si>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</si>
  <si>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</si>
  <si>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</si>
  <si>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</si>
  <si>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</si>
  <si>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</si>
  <si>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</si>
  <si>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</si>
  <si>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</si>
  <si>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</si>
  <si>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</si>
  <si>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</si>
  <si>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</si>
  <si>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</si>
  <si>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</si>
  <si>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</si>
  <si>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</si>
  <si>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</si>
  <si>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</si>
  <si>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</si>
  <si>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</si>
  <si>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</si>
  <si>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</si>
  <si>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</si>
  <si>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</si>
  <si>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</si>
  <si>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</si>
  <si>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</si>
  <si>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</si>
  <si>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</si>
  <si>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</si>
  <si>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</si>
  <si>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</si>
  <si>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</si>
  <si>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</si>
  <si>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</si>
  <si>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</si>
  <si>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</si>
  <si>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</si>
  <si>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</si>
  <si>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</si>
  <si>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</si>
  <si>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</si>
  <si>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</si>
  <si>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</si>
  <si>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</si>
  <si>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</si>
  <si>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</si>
  <si>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</si>
  <si>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</si>
  <si>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</si>
  <si>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</si>
  <si>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</si>
  <si>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</si>
  <si>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</si>
  <si>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</si>
  <si>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</si>
  <si>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</si>
  <si>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</si>
  <si>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</si>
  <si>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</si>
  <si>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</si>
  <si>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</si>
  <si>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</si>
  <si>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</si>
  <si>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</si>
  <si>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</si>
  <si>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</si>
  <si>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</si>
  <si>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</si>
  <si>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</si>
  <si>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</si>
  <si>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</si>
  <si>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</si>
  <si>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</si>
  <si>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</si>
  <si>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</si>
  <si>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</si>
  <si>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</si>
  <si>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</si>
  <si>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</si>
  <si>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</si>
  <si>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</si>
  <si>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</si>
  <si>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</si>
  <si>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</si>
  <si>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</si>
  <si>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</si>
  <si>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</si>
  <si>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</si>
  <si>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</si>
  <si>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</si>
  <si>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</si>
  <si>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</si>
  <si>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</si>
  <si>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</si>
  <si>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</si>
  <si>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</si>
  <si>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</si>
  <si>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</si>
  <si>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</si>
  <si>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</si>
  <si>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</si>
  <si>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</si>
  <si>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</si>
  <si>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</si>
  <si>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</si>
  <si>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</si>
  <si>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</si>
  <si>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</si>
  <si>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</si>
  <si>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</si>
  <si>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</si>
  <si>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</si>
  <si>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</si>
  <si>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</si>
  <si>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</si>
  <si>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</si>
  <si>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</si>
  <si>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</si>
  <si>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</si>
  <si>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</si>
  <si>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</si>
  <si>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</si>
  <si>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</si>
  <si>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</si>
  <si>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</si>
  <si>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</si>
  <si>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</si>
  <si>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</si>
  <si>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</si>
  <si>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</si>
  <si>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</si>
  <si>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</si>
  <si>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</si>
  <si>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</si>
  <si>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</si>
  <si>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</si>
  <si>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</si>
  <si>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</si>
  <si>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</si>
  <si>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</si>
  <si>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</si>
  <si>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</si>
  <si>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</si>
  <si>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</si>
  <si>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</si>
  <si>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</si>
  <si>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</si>
  <si>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</si>
  <si>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</si>
  <si>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</si>
  <si>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</si>
  <si>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</si>
  <si>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</si>
  <si>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</si>
  <si>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</si>
  <si>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</si>
  <si>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</si>
  <si>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</si>
  <si>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</si>
  <si>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</si>
  <si>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</si>
  <si>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</si>
  <si>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</si>
  <si>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</si>
  <si>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</si>
  <si>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</si>
  <si>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</si>
  <si>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</si>
  <si>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</si>
  <si>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</si>
  <si>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</si>
  <si>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</si>
  <si>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</si>
  <si>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</si>
  <si>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</si>
  <si>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</si>
  <si>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</si>
  <si>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</si>
  <si>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</si>
  <si>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</si>
  <si>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</si>
  <si>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</si>
  <si>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</si>
  <si>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</si>
  <si>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</si>
  <si>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</si>
  <si>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</si>
  <si>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</si>
  <si>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</si>
  <si>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</si>
  <si>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</si>
  <si>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</si>
  <si>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</si>
  <si>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</si>
  <si>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</si>
  <si>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</si>
  <si>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</si>
  <si>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</si>
  <si>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</si>
  <si>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</si>
  <si>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</si>
  <si>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</si>
  <si>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</si>
  <si>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</si>
  <si>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</si>
  <si>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</si>
  <si>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</si>
  <si>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</si>
  <si>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</si>
  <si>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</si>
  <si>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</si>
  <si>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</si>
  <si>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</si>
  <si>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</si>
  <si>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</si>
  <si>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</si>
  <si>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</si>
  <si>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</si>
  <si>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</si>
  <si>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</si>
  <si>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</si>
  <si>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</si>
  <si>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</si>
  <si>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</si>
  <si>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</si>
  <si>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</si>
  <si>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</si>
  <si>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</si>
  <si>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</si>
  <si>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</si>
  <si>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</si>
  <si>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</si>
  <si>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</si>
  <si>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</si>
  <si>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</si>
  <si>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</si>
  <si>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</si>
  <si>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</si>
  <si>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</si>
  <si>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</si>
  <si>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</si>
  <si>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</si>
  <si>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</si>
  <si>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</si>
  <si>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</si>
  <si>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</si>
  <si>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</si>
  <si>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</si>
  <si>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</si>
  <si>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</si>
  <si>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</si>
  <si>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</si>
  <si>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</si>
  <si>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</si>
  <si>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</si>
  <si>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</si>
  <si>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</si>
  <si>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</si>
  <si>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</si>
  <si>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</si>
  <si>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</si>
  <si>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</si>
  <si>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</si>
  <si>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</si>
  <si>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</si>
  <si>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</si>
  <si>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</si>
  <si>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</si>
  <si>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</si>
  <si>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</si>
  <si>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</si>
  <si>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</si>
  <si>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</si>
  <si>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</si>
  <si>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</si>
  <si>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</si>
  <si>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</si>
  <si>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</si>
  <si>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</si>
  <si>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</si>
  <si>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</si>
  <si>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</si>
  <si>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</si>
  <si>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</si>
  <si>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</si>
  <si>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</si>
  <si>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</si>
  <si>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</si>
  <si>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</si>
  <si>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</si>
  <si>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</si>
  <si>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</si>
  <si>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</si>
  <si>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</si>
  <si>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</si>
  <si>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</si>
  <si>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</si>
  <si>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</si>
  <si>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</si>
  <si>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</si>
  <si>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</si>
  <si>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</si>
  <si>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</si>
  <si>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</si>
  <si>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</si>
  <si>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</si>
  <si>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</si>
  <si>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</si>
  <si>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</si>
  <si>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</si>
  <si>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</si>
  <si>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</si>
  <si>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</si>
  <si>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</si>
  <si>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</si>
  <si>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</si>
  <si>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</si>
  <si>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</si>
  <si>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</si>
  <si>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</si>
  <si>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</si>
  <si>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</si>
  <si>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</si>
  <si>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</si>
  <si>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</si>
  <si>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</si>
  <si>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</si>
  <si>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</si>
  <si>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</si>
  <si>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</si>
  <si>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</si>
  <si>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</si>
  <si>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</si>
  <si>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</si>
  <si>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</si>
  <si>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</si>
  <si>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</si>
  <si>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</si>
  <si>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</si>
  <si>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</si>
  <si>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</si>
  <si>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</si>
  <si>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</si>
  <si>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</si>
  <si>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</si>
  <si>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</si>
  <si>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</si>
  <si>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</si>
  <si>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</si>
  <si>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</si>
  <si>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</si>
  <si>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</si>
  <si>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</si>
  <si>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</si>
  <si>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</si>
  <si>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</si>
  <si>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</si>
  <si>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</si>
  <si>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</si>
  <si>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</si>
  <si>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</si>
  <si>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</si>
  <si>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</si>
  <si>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</si>
  <si>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</si>
  <si>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</si>
  <si>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</si>
  <si>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</si>
  <si>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</si>
  <si>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</si>
  <si>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</si>
  <si>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</si>
  <si>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</si>
  <si>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</si>
  <si>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</si>
  <si>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</si>
  <si>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</si>
  <si>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</si>
  <si>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</si>
  <si>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</si>
  <si>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</si>
  <si>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</si>
  <si>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</si>
  <si>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</si>
  <si>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</si>
  <si>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</si>
  <si>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</si>
  <si>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</si>
  <si>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</si>
  <si>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</si>
  <si>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</si>
  <si>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</si>
  <si>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</si>
  <si>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</si>
  <si>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</si>
  <si>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</si>
  <si>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</si>
  <si>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</si>
  <si>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</si>
  <si>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</si>
  <si>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</si>
  <si>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</si>
  <si>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</si>
  <si>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</si>
  <si>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</si>
  <si>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</si>
  <si>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</si>
  <si>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</si>
  <si>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</si>
  <si>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</si>
  <si>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</si>
  <si>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</si>
  <si>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</si>
  <si>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</si>
  <si>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</si>
  <si>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</si>
  <si>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</si>
  <si>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</si>
  <si>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</si>
  <si>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</si>
  <si>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</si>
  <si>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</si>
  <si>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</si>
  <si>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</si>
  <si>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</si>
  <si>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</si>
  <si>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</si>
  <si>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</si>
  <si>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</si>
  <si>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</si>
  <si>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</si>
  <si>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</si>
  <si>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</si>
  <si>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</si>
  <si>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</si>
  <si>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</si>
  <si>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</si>
  <si>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</si>
  <si>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</si>
  <si>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</si>
  <si>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</si>
  <si>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</si>
  <si>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</si>
  <si>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</si>
  <si>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</si>
  <si>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</si>
  <si>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</si>
  <si>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</si>
  <si>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</si>
  <si>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</si>
  <si>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</si>
  <si>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</si>
  <si>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</si>
  <si>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</si>
  <si>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</si>
  <si>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</si>
  <si>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</si>
  <si>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</si>
  <si>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</si>
  <si>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</si>
  <si>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</si>
  <si>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</si>
  <si>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</si>
  <si>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</si>
  <si>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</si>
  <si>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</si>
  <si>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</si>
  <si>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</si>
  <si>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</si>
  <si>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</si>
  <si>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</si>
  <si>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</si>
  <si>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</si>
  <si>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</si>
  <si>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</si>
  <si>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</si>
  <si>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</si>
  <si>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</si>
  <si>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</si>
  <si>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</si>
  <si>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</si>
  <si>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</si>
  <si>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</si>
  <si>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</si>
  <si>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</si>
  <si>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</si>
  <si>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</si>
  <si>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</si>
  <si>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</si>
  <si>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</si>
  <si>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</si>
  <si>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</si>
  <si>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</si>
  <si>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</si>
  <si>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</si>
  <si>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</si>
  <si>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</si>
  <si>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</si>
  <si>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</si>
  <si>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</si>
  <si>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</si>
  <si>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</si>
  <si>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</si>
  <si>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</si>
  <si>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</si>
  <si>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</si>
  <si>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</si>
  <si>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</si>
  <si>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</si>
  <si>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</si>
  <si>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</si>
  <si>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</si>
  <si>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</si>
  <si>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</si>
  <si>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</si>
  <si>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</si>
  <si>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</si>
  <si>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</si>
  <si>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</si>
  <si>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</si>
  <si>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</si>
  <si>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</si>
  <si>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</si>
  <si>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</si>
  <si>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</si>
  <si>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</si>
  <si>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</si>
  <si>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</si>
  <si>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</si>
  <si>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</si>
  <si>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</si>
  <si>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</si>
  <si>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</si>
  <si>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</si>
  <si>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</si>
  <si>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</si>
  <si>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</si>
  <si>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</si>
  <si>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</si>
  <si>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</si>
  <si>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</si>
  <si>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</si>
  <si>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</si>
  <si>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</si>
  <si>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</si>
  <si>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</si>
  <si>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</si>
  <si>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</si>
  <si>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</si>
  <si>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</si>
  <si>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</si>
  <si>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</si>
  <si>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</si>
  <si>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</si>
  <si>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</si>
  <si>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</si>
  <si>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</si>
  <si>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</si>
  <si>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</si>
  <si>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</si>
  <si>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</si>
  <si>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</si>
  <si>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</si>
  <si>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</si>
  <si>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</si>
  <si>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</si>
  <si>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</si>
  <si>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</si>
  <si>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</si>
  <si>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</si>
  <si>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</si>
  <si>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</si>
  <si>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</si>
  <si>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</si>
  <si>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</si>
  <si>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</si>
  <si>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</si>
  <si>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</si>
  <si>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</si>
  <si>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</si>
  <si>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</si>
  <si>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</si>
  <si>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</si>
  <si>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</si>
  <si>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</si>
  <si>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</si>
  <si>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</si>
  <si>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</si>
  <si>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</si>
  <si>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</si>
  <si>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</si>
  <si>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</si>
  <si>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</si>
  <si>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</si>
  <si>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</si>
  <si>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</si>
  <si>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</si>
  <si>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</si>
  <si>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</si>
  <si>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</si>
  <si>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</si>
  <si>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</si>
  <si>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</si>
  <si>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</si>
  <si>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</si>
  <si>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</si>
  <si>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</si>
  <si>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</si>
  <si>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</si>
  <si>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</si>
  <si>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</si>
  <si>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</si>
  <si>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</si>
  <si>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</si>
  <si>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</si>
  <si>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</si>
  <si>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</si>
  <si>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</si>
  <si>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</si>
  <si>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</si>
  <si>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</si>
  <si>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</si>
  <si>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</si>
  <si>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</si>
  <si>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</si>
  <si>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</si>
  <si>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</si>
  <si>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</si>
  <si>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</si>
  <si>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</si>
  <si>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</si>
  <si>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</si>
  <si>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</si>
  <si>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</si>
  <si>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</si>
  <si>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</si>
  <si>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</si>
  <si>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</si>
  <si>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</si>
  <si>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</si>
  <si>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</si>
  <si>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</si>
  <si>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</si>
  <si>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</si>
  <si>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</si>
  <si>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</si>
  <si>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</si>
  <si>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</si>
  <si>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</si>
  <si>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</si>
  <si>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</si>
  <si>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</si>
  <si>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</si>
  <si>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</si>
  <si>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</si>
  <si>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</si>
  <si>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</si>
  <si>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</si>
  <si>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</si>
  <si>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</si>
  <si>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</si>
  <si>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</si>
  <si>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</si>
  <si>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</si>
  <si>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</si>
  <si>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</si>
  <si>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</si>
  <si>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</si>
  <si>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</si>
  <si>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</si>
  <si>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</si>
  <si>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</si>
  <si>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</si>
  <si>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</si>
  <si>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</si>
  <si>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</si>
  <si>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</si>
  <si>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</si>
  <si>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</si>
  <si>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</si>
  <si>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</si>
  <si>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</si>
  <si>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</si>
  <si>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</si>
  <si>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</si>
  <si>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</si>
  <si>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</si>
  <si>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</si>
  <si>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</si>
  <si>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</si>
  <si>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</si>
  <si>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</si>
  <si>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</si>
  <si>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</si>
  <si>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</si>
  <si>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</si>
  <si>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</si>
  <si>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</si>
  <si>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</si>
  <si>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</si>
  <si>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</si>
  <si>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</si>
  <si>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</si>
  <si>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</si>
  <si>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</si>
  <si>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</si>
  <si>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</si>
  <si>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</si>
  <si>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</si>
  <si>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</si>
  <si>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</si>
  <si>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</si>
  <si>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</si>
  <si>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</si>
  <si>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</si>
  <si>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</si>
  <si>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</si>
  <si>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</si>
  <si>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</si>
  <si>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</si>
  <si>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</si>
  <si>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</si>
  <si>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</si>
  <si>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</si>
  <si>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</si>
  <si>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</si>
  <si>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</si>
  <si>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</si>
  <si>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</si>
  <si>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</si>
  <si>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</si>
  <si>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</si>
  <si>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</si>
  <si>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</si>
  <si>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</si>
  <si>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</si>
  <si>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</si>
  <si>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</si>
  <si>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</si>
  <si>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</si>
  <si>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</si>
  <si>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</si>
  <si>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</si>
  <si>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</si>
  <si>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</si>
  <si>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</si>
  <si>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</si>
  <si>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</si>
  <si>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</si>
  <si>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</si>
  <si>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</si>
  <si>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</si>
  <si>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</si>
  <si>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</si>
  <si>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</si>
  <si>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</si>
  <si>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</si>
  <si>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</si>
  <si>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</si>
  <si>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</si>
  <si>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</si>
  <si>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</si>
  <si>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</si>
  <si>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</si>
  <si>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</si>
  <si>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</si>
  <si>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</si>
  <si>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</si>
  <si>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</si>
  <si>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</si>
  <si>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</si>
  <si>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</si>
  <si>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</si>
  <si>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</si>
  <si>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</si>
  <si>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</si>
  <si>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</si>
  <si>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</si>
  <si>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</si>
  <si>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</si>
  <si>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</si>
  <si>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</si>
  <si>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</si>
  <si>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</si>
  <si>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</si>
  <si>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</si>
  <si>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</si>
  <si>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</si>
  <si>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</si>
  <si>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</si>
  <si>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</si>
  <si>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</si>
  <si>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</si>
  <si>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</si>
  <si>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</si>
  <si>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</si>
  <si>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</si>
  <si>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</si>
  <si>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</si>
  <si>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</si>
  <si>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</si>
  <si>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</si>
  <si>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</si>
  <si>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</si>
  <si>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</si>
  <si>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</si>
  <si>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</si>
  <si>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</si>
  <si>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</si>
  <si>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</si>
  <si>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</si>
  <si>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</si>
  <si>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</si>
  <si>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</si>
  <si>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</si>
  <si>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</si>
  <si>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</si>
  <si>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</si>
  <si>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</si>
  <si>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</si>
  <si>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</si>
  <si>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</si>
  <si>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</si>
  <si>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</si>
  <si>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</si>
  <si>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</si>
  <si>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</si>
  <si>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</si>
  <si>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</si>
  <si>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</si>
  <si>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</si>
  <si>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</si>
  <si>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</si>
  <si>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</si>
  <si>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</si>
  <si>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</si>
  <si>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</si>
  <si>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</si>
  <si>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</si>
  <si>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</si>
  <si>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</si>
  <si>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</si>
  <si>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</si>
  <si>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</si>
  <si>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</si>
  <si>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</si>
  <si>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</si>
  <si>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</si>
  <si>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</si>
  <si>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</si>
  <si>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</si>
  <si>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</si>
  <si>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</si>
  <si>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</si>
  <si>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</si>
  <si>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</si>
  <si>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</si>
  <si>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</si>
  <si>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</si>
  <si>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</si>
  <si>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</si>
  <si>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</si>
  <si>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</si>
  <si>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</si>
  <si>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</si>
  <si>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</si>
  <si>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</si>
  <si>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</si>
  <si>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</si>
  <si>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</si>
  <si>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</si>
  <si>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</si>
  <si>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</si>
  <si>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</si>
  <si>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</si>
  <si>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</si>
  <si>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</si>
  <si>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</si>
  <si>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</si>
  <si>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</si>
  <si>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</si>
  <si>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</si>
  <si>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</si>
  <si>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</si>
  <si>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</si>
  <si>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</si>
  <si>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</si>
  <si>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</si>
  <si>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</si>
  <si>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</si>
  <si>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</si>
  <si>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</si>
  <si>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</si>
  <si>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</si>
  <si>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</si>
  <si>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</si>
  <si>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</si>
  <si>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</si>
  <si>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</si>
  <si>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</si>
  <si>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</si>
  <si>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</si>
  <si>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</si>
  <si>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</si>
  <si>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</si>
  <si>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</si>
  <si>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</si>
  <si>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</si>
  <si>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</si>
  <si>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</si>
  <si>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</si>
  <si>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</si>
  <si>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</si>
  <si>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</si>
  <si>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</si>
  <si>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</si>
  <si>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</si>
  <si>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</si>
  <si>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</si>
  <si>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</si>
  <si>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</si>
  <si>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</si>
  <si>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</si>
  <si>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</si>
  <si>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</si>
  <si>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</si>
  <si>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</si>
  <si>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</si>
  <si>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</si>
  <si>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</si>
  <si>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</si>
  <si>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</si>
  <si>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</si>
  <si>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</si>
  <si>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</si>
  <si>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</si>
  <si>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</si>
  <si>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</si>
  <si>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</si>
  <si>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</si>
  <si>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</si>
  <si>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</si>
  <si>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</si>
  <si>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</si>
  <si>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</si>
  <si>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</si>
  <si>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</si>
  <si>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</si>
  <si>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</si>
  <si>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</si>
  <si>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</si>
  <si>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</si>
  <si>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</si>
  <si>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</si>
  <si>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</si>
  <si>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</si>
  <si>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</si>
  <si>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</si>
  <si>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</si>
  <si>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</si>
  <si>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</si>
  <si>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</si>
  <si>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</si>
  <si>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</si>
  <si>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</si>
  <si>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</si>
  <si>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</si>
  <si>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</si>
  <si>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</si>
  <si>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</si>
  <si>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</si>
  <si>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</si>
  <si>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control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</si>
  <si>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</si>
  <si>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</si>
  <si>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</si>
  <si>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</si>
  <si>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</si>
  <si>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</si>
  <si>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</si>
  <si>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</si>
  <si>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</si>
  <si>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</si>
  <si>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</si>
  <si>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</si>
  <si>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</si>
  <si>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</si>
  <si>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</si>
  <si>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</si>
  <si>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</si>
  <si>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</si>
  <si>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</si>
  <si>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</si>
  <si>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</si>
  <si>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</si>
  <si>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</si>
  <si>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</si>
  <si>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</si>
  <si>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</si>
  <si>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</si>
  <si>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</si>
  <si>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</si>
  <si>
    <t>Victim</t>
  </si>
  <si>
    <t>Perpetrator</t>
  </si>
  <si>
    <t>group</t>
  </si>
  <si>
    <t>n2D85F484_089E_4E23_B816_91EC7B0A8538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</si>
  <si>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</si>
  <si>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</si>
  <si>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</si>
  <si>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</si>
  <si>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</si>
  <si>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</si>
  <si>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</si>
  <si>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</si>
  <si>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n228330D7_7E4B_46EA_A89C_F44DF98A27FA</t>
  </si>
  <si>
    <t>Account Takeover: Motivation</t>
  </si>
  <si>
    <t>may be</t>
  </si>
  <si>
    <t>n4FA68550_C829_46CD_ADC2_9BE67FA41543</t>
  </si>
  <si>
    <t>Motivation</t>
  </si>
  <si>
    <t>ARM (Acronym)</t>
  </si>
  <si>
    <t>n7E99EFA2_7827_4773_91E4_D9B34E3CAA5A</t>
  </si>
  <si>
    <t>n0028F731_EC86_4C20_B77F_946A63CC2AC9</t>
  </si>
  <si>
    <t>target</t>
  </si>
  <si>
    <t>n87A12089_2F7A_43C7_8FAD_0D12176C5DD3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</si>
</sst>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4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7"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787400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H499" totalsRowShown="0" headerRowDxfId="36" dataDxfId="35">
  <autoFilter ref="A1:H499" xr:uid="{5C9712D2-CCDA-4E9C-B304-04B7352F99F1}"/>
  <sortState xmlns:xlrd2="http://schemas.microsoft.com/office/spreadsheetml/2017/richdata2" ref="A2:H499">
    <sortCondition ref="A1:A499"/>
  </sortState>
  <tableColumns count="8">
    <tableColumn id="7" xr3:uid="{5088D59A-45C2-4E1D-97DB-D92C10772FC3}" name="Unambiguous Name" dataDxfId="2">
      <calculatedColumnFormula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4"/>
    <tableColumn id="2" xr3:uid="{90333BBB-2EEB-4564-A4DE-2C01EFC61D47}" name="Node ID" dataDxfId="33"/>
    <tableColumn id="4" xr3:uid="{6146B9E7-30B6-4E1C-8AE1-B6449F0E0DE8}" name="Class Disambiguation" dataDxfId="32"/>
    <tableColumn id="6" xr3:uid="{FD2E50A7-4489-4F3D-B755-6C2DCB54CAEE}" name="Unambiguous Name2" dataDxfId="31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0"/>
    <tableColumn id="8" xr3:uid="{334909EF-6768-4210-A03B-B3B2782F8DF1}" name="URL" dataDxfId="29"/>
    <tableColumn id="5" xr3:uid="{C893231A-2AE1-4035-A471-BB69C36E6D4F}" name="GUID Generator" dataDxfId="2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H66" totalsRowShown="0" headerRowDxfId="27" dataDxfId="26">
  <autoFilter ref="A1:H66" xr:uid="{5C9712D2-CCDA-4E9C-B304-04B7352F99F1}"/>
  <sortState xmlns:xlrd2="http://schemas.microsoft.com/office/spreadsheetml/2017/richdata2" ref="A2:H49">
    <sortCondition ref="C1:C49"/>
  </sortState>
  <tableColumns count="8">
    <tableColumn id="5" xr3:uid="{CE3327DB-D425-4D19-AFBC-04AB47355E47}" name="Edge ID" dataDxfId="25"/>
    <tableColumn id="1" xr3:uid="{9CA13924-CA4A-44D4-8A07-E52B10C55BA7}" name="Node A ID" dataDxfId="1">
      <calculatedColumnFormula>VLOOKUP(EdgesData[[#This Row],[Node A]],NodesData[],3,FALSE)</calculatedColumnFormula>
    </tableColumn>
    <tableColumn id="3" xr3:uid="{BAA89F4B-F6C5-4ABD-86BE-5A8853F41E60}" name="Node A" dataDxfId="24"/>
    <tableColumn id="4" xr3:uid="{D3335F2C-7AD5-4D66-8BC3-253890C0E8B7}" name="Rel" dataDxfId="23"/>
    <tableColumn id="2" xr3:uid="{8D04C2D1-8FFA-4141-8A59-A1BFEFFAB089}" name="Dir" dataDxfId="22"/>
    <tableColumn id="6" xr3:uid="{C46C88E3-4516-403D-9A39-7617A8F5E08F}" name="Node B" dataDxfId="21"/>
    <tableColumn id="8" xr3:uid="{018119E0-D793-4DE2-91A3-9B20775CD938}" name="Node B ID" dataDxfId="0">
      <calculatedColumnFormula>VLOOKUP(EdgesData[[#This Row],[Node B]],NodesData[],3,FALSE)</calculatedColumnFormula>
    </tableColumn>
    <tableColumn id="7" xr3:uid="{648409CB-F2FA-4FEE-88C7-554D58380F3E}" name="GUID Generator" dataDxfId="20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499" totalsRowShown="0" headerRowDxfId="19" dataDxfId="18">
  <autoFilter ref="A2:E499" xr:uid="{5C9712D2-CCDA-4E9C-B304-04B7352F99F1}"/>
  <tableColumns count="5">
    <tableColumn id="2" xr3:uid="{7A433402-2F5D-4FF4-8541-52C3CCA58CBF}" name="label" dataDxfId="17">
      <calculatedColumnFormula>NodesData[[#This Row],[Common Name]]</calculatedColumnFormula>
    </tableColumn>
    <tableColumn id="1" xr3:uid="{9480A146-5094-4585-8E34-79B118723205}" name="group" dataDxfId="16">
      <calculatedColumnFormula>IF(NodesData[[#This Row],[Context Instanciation]]="","",NodesData[[#This Row],[Context Instanciation]])</calculatedColumnFormula>
    </tableColumn>
    <tableColumn id="5" xr3:uid="{DE7D344F-F0A4-42CA-BECA-DEC46A3C6044}" name="id" dataDxfId="15">
      <calculatedColumnFormula>NodesData[[#This Row],[Node ID]]</calculatedColumnFormula>
    </tableColumn>
    <tableColumn id="8" xr3:uid="{D32881FA-1331-4995-98E1-08014CC00B3B}" name="url" dataDxfId="14"/>
    <tableColumn id="4" xr3:uid="{C237D77B-2B8C-448A-9D3F-782001125820}" name="JSON" dataDxfId="13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6" totalsRowShown="0" headerRowDxfId="12" dataDxfId="11">
  <autoFilter ref="A2:E66" xr:uid="{2DC44691-7CC8-490A-BFD1-C0BACEDD8C5B}"/>
  <tableColumns count="5">
    <tableColumn id="6" xr3:uid="{7B6A1A21-3B7A-41BC-953A-E7E41C3DF49A}" name="id" dataDxfId="10">
      <calculatedColumnFormula>EdgesData[[#This Row],[Edge ID]]</calculatedColumnFormula>
    </tableColumn>
    <tableColumn id="2" xr3:uid="{3D9DE3B5-4740-491A-AF2C-F3365D8C031F}" name="from" dataDxfId="9">
      <calculatedColumnFormula>EdgesData[[#This Row],[Node A ID]]</calculatedColumnFormula>
    </tableColumn>
    <tableColumn id="5" xr3:uid="{17306F30-E2AC-4FAA-A3C9-6B06FA97B7CD}" name="to" dataDxfId="8">
      <calculatedColumnFormula>EdgesData[[#This Row],[Node B ID]]</calculatedColumnFormula>
    </tableColumn>
    <tableColumn id="8" xr3:uid="{B166B7F9-2FC2-4259-83C8-E55C58025CC9}" name="label" dataDxfId="7">
      <calculatedColumnFormula>EdgesData[[#This Row],[Rel]]</calculatedColumnFormula>
    </tableColumn>
    <tableColumn id="4" xr3:uid="{BC79FDF8-B819-4DED-9F3A-54E94785DD2A}" name="JSON" dataDxfId="6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5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4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3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17" sqref="B17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H499"/>
  <sheetViews>
    <sheetView topLeftCell="A13" zoomScale="120" zoomScaleNormal="120" workbookViewId="0">
      <selection activeCell="A24" sqref="A24:XFD24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34.06640625" style="12" bestFit="1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8" x14ac:dyDescent="0.35">
      <c r="A1" s="11" t="s">
        <v>1907</v>
      </c>
      <c r="B1" s="11" t="s">
        <v>1904</v>
      </c>
      <c r="C1" s="11" t="s">
        <v>1905</v>
      </c>
      <c r="D1" s="11" t="s">
        <v>1906</v>
      </c>
      <c r="E1" s="11" t="s">
        <v>1954</v>
      </c>
      <c r="F1" s="11" t="s">
        <v>1953</v>
      </c>
      <c r="G1" s="11" t="s">
        <v>520</v>
      </c>
      <c r="H1" s="11" t="s">
        <v>1908</v>
      </c>
    </row>
    <row r="2" spans="1:8" x14ac:dyDescent="0.35">
      <c r="A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1830</v>
      </c>
      <c r="C2" s="13" t="s">
        <v>1355</v>
      </c>
      <c r="D2" s="12" t="s">
        <v>1337</v>
      </c>
      <c r="E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2" s="18"/>
      <c r="H2" s="19" t="str" cm="1">
        <f t="array" ref="H2">"n"&amp;SUBSTITUTE(CreateGuidString(),"-","_")</f>
        <v>nF8E890ED_C166_41B4_883A_1F0FE32A4912</v>
      </c>
    </row>
    <row r="3" spans="1:8" x14ac:dyDescent="0.35">
      <c r="A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1356</v>
      </c>
      <c r="D3" s="11" t="s">
        <v>1829</v>
      </c>
      <c r="E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G3" s="12" t="s">
        <v>523</v>
      </c>
      <c r="H3" s="19" t="str" cm="1">
        <f t="array" ref="H3">"n"&amp;SUBSTITUTE(CreateGuidString(),"-","_")</f>
        <v>nFBE2555C_1D4B_4323_825F_3382A261D980</v>
      </c>
    </row>
    <row r="4" spans="1:8" x14ac:dyDescent="0.35">
      <c r="A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1357</v>
      </c>
      <c r="E4" s="12" t="str">
        <f>IF(NodesData[[#This Row],[Class Disambiguation]]="",NodesData[[#This Row],[Common Name]],NodesData[[#This Row],[Common Name]]&amp;" ("&amp;NodesData[[#This Row],[Class Disambiguation]]&amp;")")</f>
        <v>Access</v>
      </c>
      <c r="G4" s="12" t="s">
        <v>524</v>
      </c>
      <c r="H4" s="19" t="str" cm="1">
        <f t="array" ref="H4">"n"&amp;SUBSTITUTE(CreateGuidString(),"-","_")</f>
        <v>n4E1E9839_2B43_4299_8822_55F80527A43F</v>
      </c>
    </row>
    <row r="5" spans="1:8" x14ac:dyDescent="0.35">
      <c r="A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1358</v>
      </c>
      <c r="E5" s="12" t="str">
        <f>IF(NodesData[[#This Row],[Class Disambiguation]]="",NodesData[[#This Row],[Common Name]],NodesData[[#This Row],[Common Name]]&amp;" ("&amp;NodesData[[#This Row],[Class Disambiguation]]&amp;")")</f>
        <v>Access Audit</v>
      </c>
      <c r="G5" s="12" t="s">
        <v>526</v>
      </c>
      <c r="H5" s="19" t="str" cm="1">
        <f t="array" ref="H5">"n"&amp;SUBSTITUTE(CreateGuidString(),"-","_")</f>
        <v>n1503FF08_7A9D_4110_8FB9_2DFD7EFADBAC</v>
      </c>
    </row>
    <row r="6" spans="1:8" x14ac:dyDescent="0.35">
      <c r="A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1359</v>
      </c>
      <c r="E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G6" s="12" t="s">
        <v>527</v>
      </c>
      <c r="H6" s="19" t="str" cm="1">
        <f t="array" ref="H6">"n"&amp;SUBSTITUTE(CreateGuidString(),"-","_")</f>
        <v>n99217C26_1822_475B_B450_F5FFCD9B2127</v>
      </c>
    </row>
    <row r="7" spans="1:8" x14ac:dyDescent="0.35">
      <c r="A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1360</v>
      </c>
      <c r="E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G7" s="12" t="s">
        <v>529</v>
      </c>
      <c r="H7" s="19" t="str" cm="1">
        <f t="array" ref="H7">"n"&amp;SUBSTITUTE(CreateGuidString(),"-","_")</f>
        <v>nCAE4EE8D_7C20_4E01_A960_B8F796379808</v>
      </c>
    </row>
    <row r="8" spans="1:8" x14ac:dyDescent="0.35">
      <c r="A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1361</v>
      </c>
      <c r="E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G8" s="12" t="s">
        <v>531</v>
      </c>
      <c r="H8" s="19" t="str" cm="1">
        <f t="array" ref="H8">"n"&amp;SUBSTITUTE(CreateGuidString(),"-","_")</f>
        <v>n05355172_DFD5_4494_BCFE_8B287987A475</v>
      </c>
    </row>
    <row r="9" spans="1:8" x14ac:dyDescent="0.35">
      <c r="A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1362</v>
      </c>
      <c r="E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G9" s="12" t="s">
        <v>533</v>
      </c>
      <c r="H9" s="19" t="str" cm="1">
        <f t="array" ref="H9">"n"&amp;SUBSTITUTE(CreateGuidString(),"-","_")</f>
        <v>n1A12BC3A_9D78_4777_9781_D9B18C0E7994</v>
      </c>
    </row>
    <row r="10" spans="1:8" x14ac:dyDescent="0.35">
      <c r="A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1363</v>
      </c>
      <c r="E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G10" s="12" t="s">
        <v>535</v>
      </c>
      <c r="H10" s="19" t="str" cm="1">
        <f t="array" ref="H10">"n"&amp;SUBSTITUTE(CreateGuidString(),"-","_")</f>
        <v>nFF970978_6B6E_432C_9912_52730ADAA9DB</v>
      </c>
    </row>
    <row r="11" spans="1:8" x14ac:dyDescent="0.35">
      <c r="A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1364</v>
      </c>
      <c r="E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G11" s="12" t="s">
        <v>537</v>
      </c>
      <c r="H11" s="19" t="str" cm="1">
        <f t="array" ref="H11">"n"&amp;SUBSTITUTE(CreateGuidString(),"-","_")</f>
        <v>n4B8ECB21_7E2C_4B7A_BFE7_A997F376665D</v>
      </c>
    </row>
    <row r="12" spans="1:8" x14ac:dyDescent="0.35">
      <c r="A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1365</v>
      </c>
      <c r="D12" s="11" t="s">
        <v>1831</v>
      </c>
      <c r="E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G12" s="12" t="s">
        <v>538</v>
      </c>
      <c r="H12" s="19" t="str" cm="1">
        <f t="array" ref="H12">"n"&amp;SUBSTITUTE(CreateGuidString(),"-","_")</f>
        <v>nA8A037B4_4A8E_4EF0_BB63_2791A5ED90A7</v>
      </c>
    </row>
    <row r="13" spans="1:8" x14ac:dyDescent="0.35">
      <c r="A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1366</v>
      </c>
      <c r="E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G13" s="12" t="s">
        <v>540</v>
      </c>
      <c r="H13" s="19" t="str" cm="1">
        <f t="array" ref="H13">"n"&amp;SUBSTITUTE(CreateGuidString(),"-","_")</f>
        <v>n51478046_E852_41C0_A77A_3909DEEF9FB5</v>
      </c>
    </row>
    <row r="14" spans="1:8" x14ac:dyDescent="0.35">
      <c r="A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1367</v>
      </c>
      <c r="E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G14" s="12" t="s">
        <v>542</v>
      </c>
      <c r="H14" s="19" t="str" cm="1">
        <f t="array" ref="H14">"n"&amp;SUBSTITUTE(CreateGuidString(),"-","_")</f>
        <v>n8100BD08_A765_4214_9A01_7BE0CE328906</v>
      </c>
    </row>
    <row r="15" spans="1:8" x14ac:dyDescent="0.35">
      <c r="A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1368</v>
      </c>
      <c r="E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G15" s="12" t="s">
        <v>544</v>
      </c>
      <c r="H15" s="19" t="str" cm="1">
        <f t="array" ref="H15">"n"&amp;SUBSTITUTE(CreateGuidString(),"-","_")</f>
        <v>n683DEC4A_8AAE_4A73_A96F_437044D75857</v>
      </c>
    </row>
    <row r="16" spans="1:8" x14ac:dyDescent="0.35">
      <c r="A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1369</v>
      </c>
      <c r="E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G16" s="12" t="s">
        <v>545</v>
      </c>
      <c r="H16" s="19" t="str" cm="1">
        <f t="array" ref="H16">"n"&amp;SUBSTITUTE(CreateGuidString(),"-","_")</f>
        <v>nB2FDE09D_30A2_4279_921F_37E853658B42</v>
      </c>
    </row>
    <row r="17" spans="1:8" x14ac:dyDescent="0.35">
      <c r="A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1370</v>
      </c>
      <c r="E17" s="12" t="str">
        <f>IF(NodesData[[#This Row],[Class Disambiguation]]="",NodesData[[#This Row],[Common Name]],NodesData[[#This Row],[Common Name]]&amp;" ("&amp;NodesData[[#This Row],[Class Disambiguation]]&amp;")")</f>
        <v>Account</v>
      </c>
      <c r="G17" s="12" t="s">
        <v>546</v>
      </c>
      <c r="H17" s="19" t="str" cm="1">
        <f t="array" ref="H17">"n"&amp;SUBSTITUTE(CreateGuidString(),"-","_")</f>
        <v>nCEAE7A75_6347_46BE_9876_D56D481FBF2A</v>
      </c>
    </row>
    <row r="18" spans="1:8" x14ac:dyDescent="0.35">
      <c r="A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1371</v>
      </c>
      <c r="E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G18" s="12" t="s">
        <v>548</v>
      </c>
      <c r="H18" s="19" t="str" cm="1">
        <f t="array" ref="H18">"n"&amp;SUBSTITUTE(CreateGuidString(),"-","_")</f>
        <v>n85C31CF3_EF66_4061_8584_DD63B8E6111E</v>
      </c>
    </row>
    <row r="19" spans="1:8" x14ac:dyDescent="0.35">
      <c r="A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1372</v>
      </c>
      <c r="E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G19" s="12" t="s">
        <v>550</v>
      </c>
      <c r="H19" s="19" t="str" cm="1">
        <f t="array" ref="H19">"n"&amp;SUBSTITUTE(CreateGuidString(),"-","_")</f>
        <v>n92B65423_7F1B_4E98_B863_F4BFF0496D56</v>
      </c>
    </row>
    <row r="20" spans="1:8" x14ac:dyDescent="0.35">
      <c r="A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1373</v>
      </c>
      <c r="E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F20" s="18"/>
      <c r="G20" s="12" t="s">
        <v>551</v>
      </c>
      <c r="H20" s="19" t="str" cm="1">
        <f t="array" ref="H20">"n"&amp;SUBSTITUTE(CreateGuidString(),"-","_")</f>
        <v>n1D042D29_5FD1_4EF0_9EAF_B8A87BF20C92</v>
      </c>
    </row>
    <row r="21" spans="1:8" x14ac:dyDescent="0.35">
      <c r="A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1934</v>
      </c>
      <c r="E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F21" s="18" t="s">
        <v>4</v>
      </c>
      <c r="H21" s="20" t="str" cm="1">
        <f t="array" ref="H21">"n"&amp;SUBSTITUTE(CreateGuidString(),"-","_")</f>
        <v>n762E3867_A555_4F45_9BD4_7667D18035DF</v>
      </c>
    </row>
    <row r="22" spans="1:8" x14ac:dyDescent="0.35">
      <c r="A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1477</v>
      </c>
      <c r="E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F22" s="18" t="s">
        <v>4</v>
      </c>
      <c r="G22" s="12" t="s">
        <v>717</v>
      </c>
      <c r="H22" s="19" t="str" cm="1">
        <f t="array" ref="H22">"n"&amp;SUBSTITUTE(CreateGuidString(),"-","_")</f>
        <v>n9909A2EF_1758_41F9_88E2_C85241A4C70C</v>
      </c>
    </row>
    <row r="23" spans="1:8" x14ac:dyDescent="0.35">
      <c r="A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3" s="12" t="s">
        <v>1965</v>
      </c>
      <c r="C23" s="13" t="s">
        <v>1964</v>
      </c>
      <c r="E23" s="18" t="str">
        <f>IF(NodesData[[#This Row],[Class Disambiguation]]="",NodesData[[#This Row],[Common Name]],NodesData[[#This Row],[Common Name]]&amp;" ("&amp;NodesData[[#This Row],[Class Disambiguation]]&amp;")")</f>
        <v>Motivation</v>
      </c>
      <c r="F23" s="12" t="s">
        <v>4</v>
      </c>
      <c r="H23" s="20" t="str" cm="1">
        <f t="array" ref="H23">"n"&amp;SUBSTITUTE(CreateGuidString(),"-","_")</f>
        <v>n32AD74AC_423E_4A82_86D4_7713ABC5BCA4</v>
      </c>
    </row>
    <row r="24" spans="1:8" x14ac:dyDescent="0.35">
      <c r="A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4" s="31" t="s">
        <v>1950</v>
      </c>
      <c r="C24" s="13" t="s">
        <v>1927</v>
      </c>
      <c r="E24" s="18" t="str">
        <f>IF(NodesData[[#This Row],[Class Disambiguation]]="",NodesData[[#This Row],[Common Name]],NodesData[[#This Row],[Common Name]]&amp;" ("&amp;NodesData[[#This Row],[Class Disambiguation]]&amp;")")</f>
        <v>Perpetrator</v>
      </c>
      <c r="F24" s="18" t="s">
        <v>4</v>
      </c>
      <c r="H24" s="20" t="str" cm="1">
        <f t="array" ref="H24">"n"&amp;SUBSTITUTE(CreateGuidString(),"-","_")</f>
        <v>n07086DC4_7ADC_499D_8601_93A3DED7FB85</v>
      </c>
    </row>
    <row r="25" spans="1:8" x14ac:dyDescent="0.35">
      <c r="A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5" s="32" t="s">
        <v>1949</v>
      </c>
      <c r="C25" s="13" t="s">
        <v>1928</v>
      </c>
      <c r="E25" s="18" t="str">
        <f>IF(NodesData[[#This Row],[Class Disambiguation]]="",NodesData[[#This Row],[Common Name]],NodesData[[#This Row],[Common Name]]&amp;" ("&amp;NodesData[[#This Row],[Class Disambiguation]]&amp;")")</f>
        <v>Victim</v>
      </c>
      <c r="F25" s="18" t="s">
        <v>4</v>
      </c>
      <c r="H25" s="20" t="str" cm="1">
        <f t="array" ref="H25">"n"&amp;SUBSTITUTE(CreateGuidString(),"-","_")</f>
        <v>n13D19DED_196E_4895_8AC6_BF074578A134</v>
      </c>
    </row>
    <row r="26" spans="1:8" x14ac:dyDescent="0.35">
      <c r="A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6" s="12" t="s">
        <v>1264</v>
      </c>
      <c r="C26" s="13" t="s">
        <v>1374</v>
      </c>
      <c r="E26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G26" s="12" t="s">
        <v>552</v>
      </c>
      <c r="H26" s="19" t="str" cm="1">
        <f t="array" ref="H26">"n"&amp;SUBSTITUTE(CreateGuidString(),"-","_")</f>
        <v>n9B96CF1B_BAC2_40E3_AC63_5BC262069FDD</v>
      </c>
    </row>
    <row r="27" spans="1:8" x14ac:dyDescent="0.35">
      <c r="A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7" s="12" t="s">
        <v>553</v>
      </c>
      <c r="C27" s="13" t="s">
        <v>1375</v>
      </c>
      <c r="E27" s="12" t="str">
        <f>IF(NodesData[[#This Row],[Class Disambiguation]]="",NodesData[[#This Row],[Common Name]],NodesData[[#This Row],[Common Name]]&amp;" ("&amp;NodesData[[#This Row],[Class Disambiguation]]&amp;")")</f>
        <v>Accreditation</v>
      </c>
      <c r="G27" s="12" t="s">
        <v>554</v>
      </c>
      <c r="H27" s="19" t="str" cm="1">
        <f t="array" ref="H27">"n"&amp;SUBSTITUTE(CreateGuidString(),"-","_")</f>
        <v>n7290560B_952F_4364_832F_DAB3A72A9A46</v>
      </c>
    </row>
    <row r="28" spans="1:8" x14ac:dyDescent="0.35">
      <c r="A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8" s="12" t="s">
        <v>555</v>
      </c>
      <c r="C28" s="13" t="s">
        <v>1376</v>
      </c>
      <c r="E28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G28" s="12" t="s">
        <v>556</v>
      </c>
      <c r="H28" s="19" t="str" cm="1">
        <f t="array" ref="H28">"n"&amp;SUBSTITUTE(CreateGuidString(),"-","_")</f>
        <v>nADC1F313_8A7E_41B3_9AA1_AB4B25E86E7C</v>
      </c>
    </row>
    <row r="29" spans="1:8" x14ac:dyDescent="0.35">
      <c r="A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29" s="12" t="s">
        <v>29</v>
      </c>
      <c r="C29" s="13" t="s">
        <v>1377</v>
      </c>
      <c r="D29" s="12" t="s">
        <v>1270</v>
      </c>
      <c r="E29" s="12" t="str">
        <f>IF(NodesData[[#This Row],[Class Disambiguation]]="",NodesData[[#This Row],[Common Name]],NodesData[[#This Row],[Common Name]]&amp;" ("&amp;NodesData[[#This Row],[Class Disambiguation]]&amp;")")</f>
        <v>AP (Acronym)</v>
      </c>
      <c r="G29" s="12" t="s">
        <v>557</v>
      </c>
      <c r="H29" s="19" t="str" cm="1">
        <f t="array" ref="H29">"n"&amp;SUBSTITUTE(CreateGuidString(),"-","_")</f>
        <v>n388A2B4E_099E_4875_B1F5_88E27B6A628F</v>
      </c>
    </row>
    <row r="30" spans="1:8" x14ac:dyDescent="0.35">
      <c r="A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0" s="12" t="s">
        <v>558</v>
      </c>
      <c r="C30" s="13" t="s">
        <v>1378</v>
      </c>
      <c r="E30" s="12" t="str">
        <f>IF(NodesData[[#This Row],[Class Disambiguation]]="",NodesData[[#This Row],[Common Name]],NodesData[[#This Row],[Common Name]]&amp;" ("&amp;NodesData[[#This Row],[Class Disambiguation]]&amp;")")</f>
        <v>Applicant</v>
      </c>
      <c r="G30" s="12" t="s">
        <v>559</v>
      </c>
      <c r="H30" s="19" t="str" cm="1">
        <f t="array" ref="H30">"n"&amp;SUBSTITUTE(CreateGuidString(),"-","_")</f>
        <v>nC8EB1B01_561A_4635_ADBE_D62709350176</v>
      </c>
    </row>
    <row r="31" spans="1:8" x14ac:dyDescent="0.35">
      <c r="A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1" s="12" t="s">
        <v>31</v>
      </c>
      <c r="C31" s="13" t="s">
        <v>1379</v>
      </c>
      <c r="E31" s="12" t="str">
        <f>IF(NodesData[[#This Row],[Class Disambiguation]]="",NodesData[[#This Row],[Common Name]],NodesData[[#This Row],[Common Name]]&amp;" ("&amp;NodesData[[#This Row],[Class Disambiguation]]&amp;")")</f>
        <v>Application</v>
      </c>
      <c r="G31" s="12" t="s">
        <v>560</v>
      </c>
      <c r="H31" s="19" t="str" cm="1">
        <f t="array" ref="H31">"n"&amp;SUBSTITUTE(CreateGuidString(),"-","_")</f>
        <v>n105C0907_CE39_42FC_9026_F57E75FCC0DC</v>
      </c>
    </row>
    <row r="32" spans="1:8" x14ac:dyDescent="0.35">
      <c r="A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2" s="12" t="s">
        <v>561</v>
      </c>
      <c r="C32" s="13" t="s">
        <v>1380</v>
      </c>
      <c r="E32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G32" s="12" t="s">
        <v>562</v>
      </c>
      <c r="H32" s="19" t="str" cm="1">
        <f t="array" ref="H32">"n"&amp;SUBSTITUTE(CreateGuidString(),"-","_")</f>
        <v>nEA5BDCA9_61E5_4191_AB98_7840EAE840F3</v>
      </c>
    </row>
    <row r="33" spans="1:8" x14ac:dyDescent="0.35">
      <c r="A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3" s="12" t="s">
        <v>563</v>
      </c>
      <c r="C33" s="13" t="s">
        <v>1381</v>
      </c>
      <c r="E33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G33" s="12" t="s">
        <v>564</v>
      </c>
      <c r="H33" s="19" t="str" cm="1">
        <f t="array" ref="H33">"n"&amp;SUBSTITUTE(CreateGuidString(),"-","_")</f>
        <v>nD317118B_D296_480D_8686_9436E6094FF3</v>
      </c>
    </row>
    <row r="34" spans="1:8" x14ac:dyDescent="0.35">
      <c r="A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4" s="12" t="s">
        <v>35</v>
      </c>
      <c r="C34" s="13" t="s">
        <v>1383</v>
      </c>
      <c r="E34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G34" s="12" t="s">
        <v>565</v>
      </c>
      <c r="H34" s="19" t="str" cm="1">
        <f t="array" ref="H34">"n"&amp;SUBSTITUTE(CreateGuidString(),"-","_")</f>
        <v>n455B102D_DF2D_4CB9_97F3_E5759B1408D9</v>
      </c>
    </row>
    <row r="35" spans="1:8" x14ac:dyDescent="0.35">
      <c r="A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5" s="12" t="s">
        <v>566</v>
      </c>
      <c r="C35" s="13" t="s">
        <v>1384</v>
      </c>
      <c r="E35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G35" s="12" t="s">
        <v>567</v>
      </c>
      <c r="H35" s="19" t="str" cm="1">
        <f t="array" ref="H35">"n"&amp;SUBSTITUTE(CreateGuidString(),"-","_")</f>
        <v>n3FF33BA2_6AC5_4038_8ABD_57F7C6C0BD6A</v>
      </c>
    </row>
    <row r="36" spans="1:8" x14ac:dyDescent="0.35">
      <c r="A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6" s="12" t="s">
        <v>37</v>
      </c>
      <c r="C36" s="13" t="s">
        <v>1385</v>
      </c>
      <c r="E36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G36" s="12" t="s">
        <v>568</v>
      </c>
      <c r="H36" s="19" t="str" cm="1">
        <f t="array" ref="H36">"n"&amp;SUBSTITUTE(CreateGuidString(),"-","_")</f>
        <v>n07BE310F_142A_491D_993F_5758CA1C0F82</v>
      </c>
    </row>
    <row r="37" spans="1:8" x14ac:dyDescent="0.35">
      <c r="A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7" s="12" t="s">
        <v>569</v>
      </c>
      <c r="C37" s="13" t="s">
        <v>1382</v>
      </c>
      <c r="E37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G37" s="12" t="s">
        <v>570</v>
      </c>
      <c r="H37" s="19" t="str" cm="1">
        <f t="array" ref="H37">"n"&amp;SUBSTITUTE(CreateGuidString(),"-","_")</f>
        <v>n8C68E310_DCED_4EEE_9622_8993B9189E39</v>
      </c>
    </row>
    <row r="38" spans="1:8" x14ac:dyDescent="0.35">
      <c r="A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Archive</v>
      </c>
      <c r="B38" s="12" t="s">
        <v>571</v>
      </c>
      <c r="C38" s="13" t="s">
        <v>1386</v>
      </c>
      <c r="E38" s="12" t="str">
        <f>IF(NodesData[[#This Row],[Class Disambiguation]]="",NodesData[[#This Row],[Common Name]],NodesData[[#This Row],[Common Name]]&amp;" ("&amp;NodesData[[#This Row],[Class Disambiguation]]&amp;")")</f>
        <v>Archive</v>
      </c>
      <c r="G38" s="12" t="s">
        <v>572</v>
      </c>
      <c r="H38" s="19" t="str" cm="1">
        <f t="array" ref="H38">"n"&amp;SUBSTITUTE(CreateGuidString(),"-","_")</f>
        <v>n95EF5B3E_5DAE_492E_95ED_8CDBE54DB20E</v>
      </c>
    </row>
    <row r="39" spans="1:8" x14ac:dyDescent="0.35">
      <c r="A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39" s="12" t="s">
        <v>39</v>
      </c>
      <c r="C39" s="13" t="s">
        <v>1387</v>
      </c>
      <c r="D39" s="12" t="s">
        <v>1270</v>
      </c>
      <c r="E39" s="12" t="str">
        <f>IF(NodesData[[#This Row],[Class Disambiguation]]="",NodesData[[#This Row],[Common Name]],NodesData[[#This Row],[Common Name]]&amp;" ("&amp;NodesData[[#This Row],[Class Disambiguation]]&amp;")")</f>
        <v>ARM (Acronym)</v>
      </c>
      <c r="G39" s="12" t="s">
        <v>573</v>
      </c>
      <c r="H39" s="19" t="str" cm="1">
        <f t="array" ref="H39">"n"&amp;SUBSTITUTE(CreateGuidString(),"-","_")</f>
        <v>n97FCAB46_FB8E_4ED9_99D8_2836BADF758E</v>
      </c>
    </row>
    <row r="40" spans="1:8" x14ac:dyDescent="0.35">
      <c r="A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0" s="12" t="s">
        <v>574</v>
      </c>
      <c r="C40" s="13" t="s">
        <v>1388</v>
      </c>
      <c r="E40" s="12" t="str">
        <f>IF(NodesData[[#This Row],[Class Disambiguation]]="",NodesData[[#This Row],[Common Name]],NodesData[[#This Row],[Common Name]]&amp;" ("&amp;NodesData[[#This Row],[Class Disambiguation]]&amp;")")</f>
        <v>Asset Custody</v>
      </c>
      <c r="G40" s="12" t="s">
        <v>575</v>
      </c>
      <c r="H40" s="19" t="str" cm="1">
        <f t="array" ref="H40">"n"&amp;SUBSTITUTE(CreateGuidString(),"-","_")</f>
        <v>nFE882FA7_F497_484E_9059_E212E3AA9083</v>
      </c>
    </row>
    <row r="41" spans="1:8" x14ac:dyDescent="0.35">
      <c r="A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1" s="32" t="s">
        <v>1916</v>
      </c>
      <c r="C41" s="13" t="s">
        <v>1929</v>
      </c>
      <c r="E41" s="18" t="str">
        <f>IF(NodesData[[#This Row],[Class Disambiguation]]="",NodesData[[#This Row],[Common Name]],NodesData[[#This Row],[Common Name]]&amp;" ("&amp;NodesData[[#This Row],[Class Disambiguation]]&amp;")")</f>
        <v>Attack Class</v>
      </c>
      <c r="F41" s="18"/>
      <c r="H41" s="20" t="str" cm="1">
        <f t="array" ref="H41">"n"&amp;SUBSTITUTE(CreateGuidString(),"-","_")</f>
        <v>n7AD79963_8538_4CE9_8805_9B866EC8E738</v>
      </c>
    </row>
    <row r="42" spans="1:8" x14ac:dyDescent="0.35">
      <c r="A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2" s="12" t="s">
        <v>41</v>
      </c>
      <c r="C42" s="13" t="s">
        <v>1389</v>
      </c>
      <c r="E42" s="12" t="str">
        <f>IF(NodesData[[#This Row],[Class Disambiguation]]="",NodesData[[#This Row],[Common Name]],NodesData[[#This Row],[Common Name]]&amp;" ("&amp;NodesData[[#This Row],[Class Disambiguation]]&amp;")")</f>
        <v>Attestation</v>
      </c>
      <c r="G42" s="12" t="s">
        <v>576</v>
      </c>
      <c r="H42" s="19" t="str" cm="1">
        <f t="array" ref="H42">"n"&amp;SUBSTITUTE(CreateGuidString(),"-","_")</f>
        <v>n4B5BA33F_1099_49EC_A997_F31FA7FF30F3</v>
      </c>
    </row>
    <row r="43" spans="1:8" x14ac:dyDescent="0.35">
      <c r="A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3" s="12" t="s">
        <v>1265</v>
      </c>
      <c r="C43" s="13" t="s">
        <v>1390</v>
      </c>
      <c r="E43" s="12" t="str">
        <f>IF(NodesData[[#This Row],[Class Disambiguation]]="",NodesData[[#This Row],[Common Name]],NodesData[[#This Row],[Common Name]]&amp;" ("&amp;NodesData[[#This Row],[Class Disambiguation]]&amp;")")</f>
        <v>Attribute</v>
      </c>
      <c r="G43" s="12" t="s">
        <v>577</v>
      </c>
      <c r="H43" s="19" t="str" cm="1">
        <f t="array" ref="H43">"n"&amp;SUBSTITUTE(CreateGuidString(),"-","_")</f>
        <v>nD5CC568C_D70A_4C1F_872F_FB8B40084822</v>
      </c>
    </row>
    <row r="44" spans="1:8" x14ac:dyDescent="0.35">
      <c r="A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4" s="12" t="s">
        <v>578</v>
      </c>
      <c r="C44" s="13" t="s">
        <v>1391</v>
      </c>
      <c r="E44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G44" s="12" t="s">
        <v>579</v>
      </c>
      <c r="H44" s="19" t="str" cm="1">
        <f t="array" ref="H44">"n"&amp;SUBSTITUTE(CreateGuidString(),"-","_")</f>
        <v>nD38AD312_23D2_4F41_8377_B2492A1CA17C</v>
      </c>
    </row>
    <row r="45" spans="1:8" x14ac:dyDescent="0.35">
      <c r="A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5" s="12" t="s">
        <v>580</v>
      </c>
      <c r="C45" s="13" t="s">
        <v>1392</v>
      </c>
      <c r="E45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G45" s="12" t="s">
        <v>581</v>
      </c>
      <c r="H45" s="19" t="str" cm="1">
        <f t="array" ref="H45">"n"&amp;SUBSTITUTE(CreateGuidString(),"-","_")</f>
        <v>n0B16AA70_B7F2_4CB1_84D6_1877985D625B</v>
      </c>
    </row>
    <row r="46" spans="1:8" x14ac:dyDescent="0.35">
      <c r="A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6" s="12" t="s">
        <v>582</v>
      </c>
      <c r="C46" s="13" t="s">
        <v>1393</v>
      </c>
      <c r="E46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G46" s="12" t="s">
        <v>583</v>
      </c>
      <c r="H46" s="19" t="str" cm="1">
        <f t="array" ref="H46">"n"&amp;SUBSTITUTE(CreateGuidString(),"-","_")</f>
        <v>n5192CCF5_7CD6_41DE_943B_F1706EB0C6C8</v>
      </c>
    </row>
    <row r="47" spans="1:8" x14ac:dyDescent="0.35">
      <c r="A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7" s="12" t="s">
        <v>0</v>
      </c>
      <c r="C47" s="13" t="s">
        <v>1394</v>
      </c>
      <c r="E47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G47" s="12" t="s">
        <v>584</v>
      </c>
      <c r="H47" s="19" t="str" cm="1">
        <f t="array" ref="H47">"n"&amp;SUBSTITUTE(CreateGuidString(),"-","_")</f>
        <v>nB7B39C46_882F_4F6A_B03C_10B22A108C21</v>
      </c>
    </row>
    <row r="48" spans="1:8" x14ac:dyDescent="0.35">
      <c r="A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8" s="12" t="s">
        <v>1332</v>
      </c>
      <c r="C48" s="13" t="s">
        <v>1395</v>
      </c>
      <c r="E48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H48" s="19" t="str" cm="1">
        <f t="array" ref="H48">"n"&amp;SUBSTITUTE(CreateGuidString(),"-","_")</f>
        <v>nAC363F43_D1ED_4FFC_BDB3_937E76D1CA68</v>
      </c>
    </row>
    <row r="49" spans="1:8" x14ac:dyDescent="0.35">
      <c r="A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49" s="12" t="s">
        <v>585</v>
      </c>
      <c r="C49" s="13" t="s">
        <v>1396</v>
      </c>
      <c r="E49" s="12" t="str">
        <f>IF(NodesData[[#This Row],[Class Disambiguation]]="",NodesData[[#This Row],[Common Name]],NodesData[[#This Row],[Common Name]]&amp;" ("&amp;NodesData[[#This Row],[Class Disambiguation]]&amp;")")</f>
        <v>Authenticator</v>
      </c>
      <c r="G49" s="12" t="s">
        <v>586</v>
      </c>
      <c r="H49" s="19" t="str" cm="1">
        <f t="array" ref="H49">"n"&amp;SUBSTITUTE(CreateGuidString(),"-","_")</f>
        <v>n420C5BC4_634B_4FBE_A3B9_6DC6C0E927B7</v>
      </c>
    </row>
    <row r="50" spans="1:8" x14ac:dyDescent="0.35">
      <c r="A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0" s="12" t="s">
        <v>587</v>
      </c>
      <c r="C50" s="13" t="s">
        <v>1397</v>
      </c>
      <c r="E50" s="12" t="str">
        <f>IF(NodesData[[#This Row],[Class Disambiguation]]="",NodesData[[#This Row],[Common Name]],NodesData[[#This Row],[Common Name]]&amp;" ("&amp;NodesData[[#This Row],[Class Disambiguation]]&amp;")")</f>
        <v>Authority</v>
      </c>
      <c r="G50" s="12" t="s">
        <v>588</v>
      </c>
      <c r="H50" s="19" t="str" cm="1">
        <f t="array" ref="H50">"n"&amp;SUBSTITUTE(CreateGuidString(),"-","_")</f>
        <v>n0EE0F704_C960_4253_B8D9_4A6E42DE45D6</v>
      </c>
    </row>
    <row r="51" spans="1:8" x14ac:dyDescent="0.35">
      <c r="A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1" s="12" t="s">
        <v>589</v>
      </c>
      <c r="C51" s="13" t="s">
        <v>1398</v>
      </c>
      <c r="E51" s="12" t="str">
        <f>IF(NodesData[[#This Row],[Class Disambiguation]]="",NodesData[[#This Row],[Common Name]],NodesData[[#This Row],[Common Name]]&amp;" ("&amp;NodesData[[#This Row],[Class Disambiguation]]&amp;")")</f>
        <v>Authorization</v>
      </c>
      <c r="G51" s="12" t="s">
        <v>590</v>
      </c>
      <c r="H51" s="19" t="str" cm="1">
        <f t="array" ref="H51">"n"&amp;SUBSTITUTE(CreateGuidString(),"-","_")</f>
        <v>nF34D4F75_5C24_440B_9377_247D414241EB</v>
      </c>
    </row>
    <row r="52" spans="1:8" x14ac:dyDescent="0.35">
      <c r="A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2" s="12" t="s">
        <v>50</v>
      </c>
      <c r="C52" s="13" t="s">
        <v>1409</v>
      </c>
      <c r="E52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G52" s="12" t="s">
        <v>591</v>
      </c>
      <c r="H52" s="19" t="str" cm="1">
        <f t="array" ref="H52">"n"&amp;SUBSTITUTE(CreateGuidString(),"-","_")</f>
        <v>nB5FBE7F3_1D77_4F0E_B7DE_8F35ECC1C6AE</v>
      </c>
    </row>
    <row r="53" spans="1:8" x14ac:dyDescent="0.35">
      <c r="A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3" s="12" t="s">
        <v>592</v>
      </c>
      <c r="C53" s="13" t="s">
        <v>1399</v>
      </c>
      <c r="E53" s="12" t="str">
        <f>IF(NodesData[[#This Row],[Class Disambiguation]]="",NodesData[[#This Row],[Common Name]],NodesData[[#This Row],[Common Name]]&amp;" ("&amp;NodesData[[#This Row],[Class Disambiguation]]&amp;")")</f>
        <v>Awareness</v>
      </c>
      <c r="G53" s="12" t="s">
        <v>593</v>
      </c>
      <c r="H53" s="19" t="str" cm="1">
        <f t="array" ref="H53">"n"&amp;SUBSTITUTE(CreateGuidString(),"-","_")</f>
        <v>nAF2ECDE8_AAF2_4085_A628_1C78999C52B5</v>
      </c>
    </row>
    <row r="54" spans="1:8" x14ac:dyDescent="0.35">
      <c r="A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4" s="12" t="s">
        <v>594</v>
      </c>
      <c r="C54" s="13" t="s">
        <v>1400</v>
      </c>
      <c r="E54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G54" s="12" t="s">
        <v>595</v>
      </c>
      <c r="H54" s="19" t="str" cm="1">
        <f t="array" ref="H54">"n"&amp;SUBSTITUTE(CreateGuidString(),"-","_")</f>
        <v>nC86747F0_1116_4DB4_A373_B6A804634F22</v>
      </c>
    </row>
    <row r="55" spans="1:8" x14ac:dyDescent="0.35">
      <c r="A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5" s="12" t="s">
        <v>596</v>
      </c>
      <c r="C55" s="13" t="s">
        <v>1401</v>
      </c>
      <c r="D55" s="12" t="s">
        <v>1270</v>
      </c>
      <c r="E55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G55" s="12" t="s">
        <v>597</v>
      </c>
      <c r="H55" s="19" t="str" cm="1">
        <f t="array" ref="H55">"n"&amp;SUBSTITUTE(CreateGuidString(),"-","_")</f>
        <v>n67D0047A_5B90_40B1_B37B_B8646E1708FB</v>
      </c>
    </row>
    <row r="56" spans="1:8" x14ac:dyDescent="0.35">
      <c r="A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6" s="12" t="s">
        <v>600</v>
      </c>
      <c r="C56" s="13" t="s">
        <v>1403</v>
      </c>
      <c r="D56" s="12" t="s">
        <v>1270</v>
      </c>
      <c r="E56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G56" s="12" t="s">
        <v>601</v>
      </c>
      <c r="H56" s="19" t="str" cm="1">
        <f t="array" ref="H56">"n"&amp;SUBSTITUTE(CreateGuidString(),"-","_")</f>
        <v>n0A5CFBE7_DB66_46DC_A146_5FF0E11872AB</v>
      </c>
    </row>
    <row r="57" spans="1:8" x14ac:dyDescent="0.35">
      <c r="A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7" s="12" t="s">
        <v>602</v>
      </c>
      <c r="C57" s="13" t="s">
        <v>1404</v>
      </c>
      <c r="D57" s="12" t="s">
        <v>1270</v>
      </c>
      <c r="E57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G57" s="12" t="s">
        <v>603</v>
      </c>
      <c r="H57" s="19" t="str" cm="1">
        <f t="array" ref="H57">"n"&amp;SUBSTITUTE(CreateGuidString(),"-","_")</f>
        <v>nDD96016C_0A30_435D_9B1C_0DEFBEA05968</v>
      </c>
    </row>
    <row r="58" spans="1:8" x14ac:dyDescent="0.35">
      <c r="A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8" s="12" t="s">
        <v>604</v>
      </c>
      <c r="C58" s="13" t="s">
        <v>1405</v>
      </c>
      <c r="D58" s="12" t="s">
        <v>1270</v>
      </c>
      <c r="E58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G58" s="12" t="s">
        <v>605</v>
      </c>
      <c r="H58" s="19" t="str" cm="1">
        <f t="array" ref="H58">"n"&amp;SUBSTITUTE(CreateGuidString(),"-","_")</f>
        <v>nF1BC6C5C_58C9_4A92_9F9A_78D4A0C10CF3</v>
      </c>
    </row>
    <row r="59" spans="1:8" x14ac:dyDescent="0.35">
      <c r="A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59" s="12" t="s">
        <v>606</v>
      </c>
      <c r="C59" s="13" t="s">
        <v>1406</v>
      </c>
      <c r="D59" s="12" t="s">
        <v>1270</v>
      </c>
      <c r="E59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G59" s="12" t="s">
        <v>607</v>
      </c>
      <c r="H59" s="19" t="str" cm="1">
        <f t="array" ref="H59">"n"&amp;SUBSTITUTE(CreateGuidString(),"-","_")</f>
        <v>n34557851_833D_44B0_B9D5_E0F4CF74B040</v>
      </c>
    </row>
    <row r="60" spans="1:8" x14ac:dyDescent="0.35">
      <c r="A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0" s="12" t="s">
        <v>608</v>
      </c>
      <c r="C60" s="13" t="s">
        <v>1407</v>
      </c>
      <c r="D60" s="12" t="s">
        <v>1270</v>
      </c>
      <c r="E60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G60" s="12" t="s">
        <v>609</v>
      </c>
      <c r="H60" s="19" t="str" cm="1">
        <f t="array" ref="H60">"n"&amp;SUBSTITUTE(CreateGuidString(),"-","_")</f>
        <v>nBC5AB1BE_C486_42BE_900F_112E74257DEB</v>
      </c>
    </row>
    <row r="61" spans="1:8" x14ac:dyDescent="0.35">
      <c r="A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1" s="12" t="s">
        <v>610</v>
      </c>
      <c r="C61" s="13" t="s">
        <v>1408</v>
      </c>
      <c r="D61" s="12" t="s">
        <v>1270</v>
      </c>
      <c r="E61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G61" s="12" t="s">
        <v>611</v>
      </c>
      <c r="H61" s="19" t="str" cm="1">
        <f t="array" ref="H61">"n"&amp;SUBSTITUTE(CreateGuidString(),"-","_")</f>
        <v>n54D1C8C1_4825_4DF9_AF94_76ECE3A26F55</v>
      </c>
    </row>
    <row r="62" spans="1:8" x14ac:dyDescent="0.35">
      <c r="A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62" s="12" t="s">
        <v>598</v>
      </c>
      <c r="C62" s="13" t="s">
        <v>1402</v>
      </c>
      <c r="D62" s="12" t="s">
        <v>1270</v>
      </c>
      <c r="E62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G62" s="12" t="s">
        <v>599</v>
      </c>
      <c r="H62" s="19" t="str" cm="1">
        <f t="array" ref="H62">"n"&amp;SUBSTITUTE(CreateGuidString(),"-","_")</f>
        <v>n605E49C7_C347_4157_A7D7_3EBF4C811337</v>
      </c>
    </row>
    <row r="63" spans="1:8" x14ac:dyDescent="0.35">
      <c r="A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3" s="12" t="s">
        <v>1301</v>
      </c>
      <c r="C63" s="13" t="s">
        <v>1412</v>
      </c>
      <c r="E63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H63" s="19" t="str" cm="1">
        <f t="array" ref="H63">"n"&amp;SUBSTITUTE(CreateGuidString(),"-","_")</f>
        <v>n43AEAB9A_0350_4A03_ACA9_5F8560E8E322</v>
      </c>
    </row>
    <row r="64" spans="1:8" x14ac:dyDescent="0.35">
      <c r="A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4" s="12" t="s">
        <v>612</v>
      </c>
      <c r="C64" s="13" t="s">
        <v>1410</v>
      </c>
      <c r="D64" s="12" t="s">
        <v>1270</v>
      </c>
      <c r="E64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G64" s="12" t="s">
        <v>613</v>
      </c>
      <c r="H64" s="19" t="str" cm="1">
        <f t="array" ref="H64">"n"&amp;SUBSTITUTE(CreateGuidString(),"-","_")</f>
        <v>nDDD9056B_F167_4F1C_B169_0D1E831DC9BA</v>
      </c>
    </row>
    <row r="65" spans="1:8" x14ac:dyDescent="0.35">
      <c r="A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5" s="12" t="s">
        <v>614</v>
      </c>
      <c r="C65" s="13" t="s">
        <v>1411</v>
      </c>
      <c r="E65" s="12" t="str">
        <f>IF(NodesData[[#This Row],[Class Disambiguation]]="",NodesData[[#This Row],[Common Name]],NodesData[[#This Row],[Common Name]]&amp;" ("&amp;NodesData[[#This Row],[Class Disambiguation]]&amp;")")</f>
        <v>Basic Z Rule</v>
      </c>
      <c r="G65" s="12" t="s">
        <v>615</v>
      </c>
      <c r="H65" s="19" t="str" cm="1">
        <f t="array" ref="H65">"n"&amp;SUBSTITUTE(CreateGuidString(),"-","_")</f>
        <v>n1A178077_21F9_4997_A0E2_F429B4E40A2E</v>
      </c>
    </row>
    <row r="66" spans="1:8" x14ac:dyDescent="0.35">
      <c r="A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6" s="12" t="s">
        <v>70</v>
      </c>
      <c r="C66" s="13" t="s">
        <v>1414</v>
      </c>
      <c r="E66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G66" s="12" t="s">
        <v>616</v>
      </c>
      <c r="H66" s="19" t="str" cm="1">
        <f t="array" ref="H66">"n"&amp;SUBSTITUTE(CreateGuidString(),"-","_")</f>
        <v>n6DB8B208_7C98_424D_AD18_0D0B71794756</v>
      </c>
    </row>
    <row r="67" spans="1:8" x14ac:dyDescent="0.35">
      <c r="A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7" s="12" t="s">
        <v>72</v>
      </c>
      <c r="C67" s="13" t="s">
        <v>1413</v>
      </c>
      <c r="E67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G67" s="12" t="s">
        <v>617</v>
      </c>
      <c r="H67" s="19" t="str" cm="1">
        <f t="array" ref="H67">"n"&amp;SUBSTITUTE(CreateGuidString(),"-","_")</f>
        <v>nA19EB3CA_9A9F_4154_AC81_5B357DD6F2AD</v>
      </c>
    </row>
    <row r="68" spans="1:8" x14ac:dyDescent="0.35">
      <c r="A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8" s="12" t="s">
        <v>1302</v>
      </c>
      <c r="C68" s="13" t="s">
        <v>1420</v>
      </c>
      <c r="E68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H68" s="19" t="str" cm="1">
        <f t="array" ref="H68">"n"&amp;SUBSTITUTE(CreateGuidString(),"-","_")</f>
        <v>n93F96BE8_2EDF_4976_ABDB_5BF3609170E6</v>
      </c>
    </row>
    <row r="69" spans="1:8" x14ac:dyDescent="0.35">
      <c r="A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69" s="12" t="s">
        <v>618</v>
      </c>
      <c r="C69" s="13" t="s">
        <v>1415</v>
      </c>
      <c r="E69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G69" s="12" t="s">
        <v>619</v>
      </c>
      <c r="H69" s="19" t="str" cm="1">
        <f t="array" ref="H69">"n"&amp;SUBSTITUTE(CreateGuidString(),"-","_")</f>
        <v>nF0EAB9A6_185D_4970_9153_1783886CBC3B</v>
      </c>
    </row>
    <row r="70" spans="1:8" x14ac:dyDescent="0.35">
      <c r="A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0" s="12" t="s">
        <v>620</v>
      </c>
      <c r="C70" s="13" t="s">
        <v>1416</v>
      </c>
      <c r="E70" s="12" t="str">
        <f>IF(NodesData[[#This Row],[Class Disambiguation]]="",NodesData[[#This Row],[Common Name]],NodesData[[#This Row],[Common Name]]&amp;" ("&amp;NodesData[[#This Row],[Class Disambiguation]]&amp;")")</f>
        <v>Biometrics</v>
      </c>
      <c r="G70" s="12" t="s">
        <v>621</v>
      </c>
      <c r="H70" s="19" t="str" cm="1">
        <f t="array" ref="H70">"n"&amp;SUBSTITUTE(CreateGuidString(),"-","_")</f>
        <v>n81E243F8_552E_41FE_AF7E_3DC96F24A4E4</v>
      </c>
    </row>
    <row r="71" spans="1:8" x14ac:dyDescent="0.35">
      <c r="A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1" s="12" t="s">
        <v>622</v>
      </c>
      <c r="C71" s="13" t="s">
        <v>1417</v>
      </c>
      <c r="E71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G71" s="12" t="s">
        <v>623</v>
      </c>
      <c r="H71" s="19" t="str" cm="1">
        <f t="array" ref="H71">"n"&amp;SUBSTITUTE(CreateGuidString(),"-","_")</f>
        <v>n9D67D2E1_5873_4F81_BC20_3BF591CBED79</v>
      </c>
    </row>
    <row r="72" spans="1:8" x14ac:dyDescent="0.35">
      <c r="A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2" s="12" t="s">
        <v>624</v>
      </c>
      <c r="C72" s="13" t="s">
        <v>1418</v>
      </c>
      <c r="E72" s="12" t="str">
        <f>IF(NodesData[[#This Row],[Class Disambiguation]]="",NodesData[[#This Row],[Common Name]],NodesData[[#This Row],[Common Name]]&amp;" ("&amp;NodesData[[#This Row],[Class Disambiguation]]&amp;")")</f>
        <v>Blast Radius</v>
      </c>
      <c r="G72" s="12" t="s">
        <v>625</v>
      </c>
      <c r="H72" s="19" t="str" cm="1">
        <f t="array" ref="H72">"n"&amp;SUBSTITUTE(CreateGuidString(),"-","_")</f>
        <v>n2619CEBD_A80D_486B_A931_E8C08CBF7FC0</v>
      </c>
    </row>
    <row r="73" spans="1:8" x14ac:dyDescent="0.35">
      <c r="A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3" s="12" t="s">
        <v>79</v>
      </c>
      <c r="C73" s="13" t="s">
        <v>1419</v>
      </c>
      <c r="E73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G73" s="12" t="s">
        <v>626</v>
      </c>
      <c r="H73" s="19" t="str" cm="1">
        <f t="array" ref="H73">"n"&amp;SUBSTITUTE(CreateGuidString(),"-","_")</f>
        <v>n3A0C4AFC_A6F1_469D_86A3_4BF88790B9E0</v>
      </c>
    </row>
    <row r="74" spans="1:8" x14ac:dyDescent="0.35">
      <c r="A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4" s="12" t="s">
        <v>1303</v>
      </c>
      <c r="C74" s="13" t="s">
        <v>1428</v>
      </c>
      <c r="E74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H74" s="19" t="str" cm="1">
        <f t="array" ref="H74">"n"&amp;SUBSTITUTE(CreateGuidString(),"-","_")</f>
        <v>nC47ED0DD_0B33_4804_A7D8_D8EA7F695AC4</v>
      </c>
    </row>
    <row r="75" spans="1:8" x14ac:dyDescent="0.35">
      <c r="A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Broker</v>
      </c>
      <c r="B75" s="12" t="s">
        <v>627</v>
      </c>
      <c r="C75" s="13" t="s">
        <v>1421</v>
      </c>
      <c r="E75" s="12" t="str">
        <f>IF(NodesData[[#This Row],[Class Disambiguation]]="",NodesData[[#This Row],[Common Name]],NodesData[[#This Row],[Common Name]]&amp;" ("&amp;NodesData[[#This Row],[Class Disambiguation]]&amp;")")</f>
        <v>Broker</v>
      </c>
      <c r="G75" s="12" t="s">
        <v>628</v>
      </c>
      <c r="H75" s="19" t="str" cm="1">
        <f t="array" ref="H75">"n"&amp;SUBSTITUTE(CreateGuidString(),"-","_")</f>
        <v>nD0F28319_D058_4759_97E0_B1D522A6B5AC</v>
      </c>
    </row>
    <row r="76" spans="1:8" x14ac:dyDescent="0.35">
      <c r="A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6" s="12" t="s">
        <v>81</v>
      </c>
      <c r="C76" s="13" t="s">
        <v>1422</v>
      </c>
      <c r="E76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G76" s="12" t="s">
        <v>629</v>
      </c>
      <c r="H76" s="19" t="str" cm="1">
        <f t="array" ref="H76">"n"&amp;SUBSTITUTE(CreateGuidString(),"-","_")</f>
        <v>n3E18E0DA_0D18_46ED_9B67_7FB152F42BEE</v>
      </c>
    </row>
    <row r="77" spans="1:8" x14ac:dyDescent="0.35">
      <c r="A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Built-in</v>
      </c>
      <c r="B77" s="12" t="s">
        <v>630</v>
      </c>
      <c r="C77" s="13" t="s">
        <v>1423</v>
      </c>
      <c r="E77" s="12" t="str">
        <f>IF(NodesData[[#This Row],[Class Disambiguation]]="",NodesData[[#This Row],[Common Name]],NodesData[[#This Row],[Common Name]]&amp;" ("&amp;NodesData[[#This Row],[Class Disambiguation]]&amp;")")</f>
        <v>Built-in</v>
      </c>
      <c r="G77" s="12" t="s">
        <v>631</v>
      </c>
      <c r="H77" s="19" t="str" cm="1">
        <f t="array" ref="H77">"n"&amp;SUBSTITUTE(CreateGuidString(),"-","_")</f>
        <v>n126086AA_2E3D_4022_93A2_EC4FAAB56A3F</v>
      </c>
    </row>
    <row r="78" spans="1:8" x14ac:dyDescent="0.35">
      <c r="A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8" s="12" t="s">
        <v>83</v>
      </c>
      <c r="C78" s="13" t="s">
        <v>1424</v>
      </c>
      <c r="D78" s="12" t="s">
        <v>1270</v>
      </c>
      <c r="E78" s="12" t="str">
        <f>IF(NodesData[[#This Row],[Class Disambiguation]]="",NodesData[[#This Row],[Common Name]],NodesData[[#This Row],[Common Name]]&amp;" ("&amp;NodesData[[#This Row],[Class Disambiguation]]&amp;")")</f>
        <v>BZR (Acronym)</v>
      </c>
      <c r="G78" s="12" t="s">
        <v>632</v>
      </c>
      <c r="H78" s="19" t="str" cm="1">
        <f t="array" ref="H78">"n"&amp;SUBSTITUTE(CreateGuidString(),"-","_")</f>
        <v>nC485B0C2_72C8_4C6C_8085_63A858FA9EC0</v>
      </c>
    </row>
    <row r="79" spans="1:8" x14ac:dyDescent="0.35">
      <c r="A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79" s="12" t="s">
        <v>84</v>
      </c>
      <c r="C79" s="13" t="s">
        <v>1425</v>
      </c>
      <c r="E79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G79" s="12" t="s">
        <v>633</v>
      </c>
      <c r="H79" s="19" t="str" cm="1">
        <f t="array" ref="H79">"n"&amp;SUBSTITUTE(CreateGuidString(),"-","_")</f>
        <v>nC060105C_E7CE_44EA_94DE_9185838396BE</v>
      </c>
    </row>
    <row r="80" spans="1:8" x14ac:dyDescent="0.35">
      <c r="A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0" s="12" t="s">
        <v>1348</v>
      </c>
      <c r="C80" s="13" t="s">
        <v>1910</v>
      </c>
      <c r="E80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80" s="18"/>
      <c r="H80" s="20" t="str" cm="1">
        <f t="array" ref="H80">"n"&amp;SUBSTITUTE(CreateGuidString(),"-","_")</f>
        <v>n074C2403_A71D_4D0A_B95F_9995FA16E7DF</v>
      </c>
    </row>
    <row r="81" spans="1:8" x14ac:dyDescent="0.35">
      <c r="A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1" s="12" t="s">
        <v>1349</v>
      </c>
      <c r="C81" s="13" t="s">
        <v>1911</v>
      </c>
      <c r="E81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81" s="18"/>
      <c r="H81" s="20" t="str" cm="1">
        <f t="array" ref="H81">"n"&amp;SUBSTITUTE(CreateGuidString(),"-","_")</f>
        <v>nD5F17A40_EE78_4357_8478_3F3DA923452B</v>
      </c>
    </row>
    <row r="82" spans="1:8" x14ac:dyDescent="0.35">
      <c r="A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2" s="12" t="s">
        <v>1350</v>
      </c>
      <c r="C82" s="13" t="s">
        <v>1912</v>
      </c>
      <c r="E82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82" s="18"/>
      <c r="H82" s="20" t="str" cm="1">
        <f t="array" ref="H82">"n"&amp;SUBSTITUTE(CreateGuidString(),"-","_")</f>
        <v>n961AF5E1_7BD8_44D6_8F26_B4C5D52D7959</v>
      </c>
    </row>
    <row r="83" spans="1:8" x14ac:dyDescent="0.35">
      <c r="A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3" s="12" t="s">
        <v>1347</v>
      </c>
      <c r="C83" s="13" t="s">
        <v>1913</v>
      </c>
      <c r="E83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83" s="18"/>
      <c r="H83" s="20" t="str" cm="1">
        <f t="array" ref="H83">"n"&amp;SUBSTITUTE(CreateGuidString(),"-","_")</f>
        <v>n7547102E_BD09_4BF5_AD3B_CEEC27E3AB67</v>
      </c>
    </row>
    <row r="84" spans="1:8" x14ac:dyDescent="0.35">
      <c r="A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4" s="31" t="s">
        <v>1923</v>
      </c>
      <c r="C84" s="13" t="s">
        <v>1930</v>
      </c>
      <c r="E84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84" s="18"/>
      <c r="H84" s="20" t="str" cm="1">
        <f t="array" ref="H84">"n"&amp;SUBSTITUTE(CreateGuidString(),"-","_")</f>
        <v>n3DFED6AD_BD93_4399_9A6F_0F5DB2F2020D</v>
      </c>
    </row>
    <row r="85" spans="1:8" x14ac:dyDescent="0.35">
      <c r="A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5" s="12" t="s">
        <v>88</v>
      </c>
      <c r="C85" s="13" t="s">
        <v>1426</v>
      </c>
      <c r="D85" s="12" t="s">
        <v>1270</v>
      </c>
      <c r="E85" s="12" t="str">
        <f>IF(NodesData[[#This Row],[Class Disambiguation]]="",NodesData[[#This Row],[Common Name]],NodesData[[#This Row],[Common Name]]&amp;" ("&amp;NodesData[[#This Row],[Class Disambiguation]]&amp;")")</f>
        <v>CDD (Acronym)</v>
      </c>
      <c r="G85" s="12" t="s">
        <v>634</v>
      </c>
      <c r="H85" s="19" t="str" cm="1">
        <f t="array" ref="H85">"n"&amp;SUBSTITUTE(CreateGuidString(),"-","_")</f>
        <v>n8071CFFC_E9CC_482E_8543_93D03C44B63C</v>
      </c>
    </row>
    <row r="86" spans="1:8" x14ac:dyDescent="0.35">
      <c r="A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6" s="12" t="s">
        <v>635</v>
      </c>
      <c r="C86" s="13" t="s">
        <v>1427</v>
      </c>
      <c r="E86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G86" s="12" t="s">
        <v>636</v>
      </c>
      <c r="H86" s="19" t="str" cm="1">
        <f t="array" ref="H86">"n"&amp;SUBSTITUTE(CreateGuidString(),"-","_")</f>
        <v>n17E0503C_7433_458E_B710_C4301AA9F9A2</v>
      </c>
    </row>
    <row r="87" spans="1:8" x14ac:dyDescent="0.35">
      <c r="A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7" s="12" t="s">
        <v>1316</v>
      </c>
      <c r="C87" s="13" t="s">
        <v>1435</v>
      </c>
      <c r="E87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H87" s="19" t="str" cm="1">
        <f t="array" ref="H87">"n"&amp;SUBSTITUTE(CreateGuidString(),"-","_")</f>
        <v>n2F239819_B658_41F1_92A7_5450C031C0DD</v>
      </c>
    </row>
    <row r="88" spans="1:8" x14ac:dyDescent="0.35">
      <c r="A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8" s="12" t="s">
        <v>637</v>
      </c>
      <c r="C88" s="13" t="s">
        <v>1429</v>
      </c>
      <c r="E88" s="12" t="str">
        <f>IF(NodesData[[#This Row],[Class Disambiguation]]="",NodesData[[#This Row],[Common Name]],NodesData[[#This Row],[Common Name]]&amp;" ("&amp;NodesData[[#This Row],[Class Disambiguation]]&amp;")")</f>
        <v>Certification</v>
      </c>
      <c r="G88" s="12" t="s">
        <v>638</v>
      </c>
      <c r="H88" s="19" t="str" cm="1">
        <f t="array" ref="H88">"n"&amp;SUBSTITUTE(CreateGuidString(),"-","_")</f>
        <v>nDDE0ADEF_5647_4B17_B382_CB87CC148395</v>
      </c>
    </row>
    <row r="89" spans="1:8" x14ac:dyDescent="0.35">
      <c r="A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89" s="12" t="s">
        <v>91</v>
      </c>
      <c r="C89" s="13" t="s">
        <v>1430</v>
      </c>
      <c r="D89" s="12" t="s">
        <v>1270</v>
      </c>
      <c r="E89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G89" s="12" t="s">
        <v>639</v>
      </c>
      <c r="H89" s="19" t="str" cm="1">
        <f t="array" ref="H89">"n"&amp;SUBSTITUTE(CreateGuidString(),"-","_")</f>
        <v>nAF047EE9_77D6_4E02_B9F1_90188864DC10</v>
      </c>
    </row>
    <row r="90" spans="1:8" x14ac:dyDescent="0.35">
      <c r="A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</v>
      </c>
      <c r="B90" s="12" t="s">
        <v>92</v>
      </c>
      <c r="C90" s="13" t="s">
        <v>1431</v>
      </c>
      <c r="E90" s="12" t="str">
        <f>IF(NodesData[[#This Row],[Class Disambiguation]]="",NodesData[[#This Row],[Common Name]],NodesData[[#This Row],[Common Name]]&amp;" ("&amp;NodesData[[#This Row],[Class Disambiguation]]&amp;")")</f>
        <v>Claim</v>
      </c>
      <c r="G90" s="12" t="s">
        <v>640</v>
      </c>
      <c r="H90" s="19" t="str" cm="1">
        <f t="array" ref="H90">"n"&amp;SUBSTITUTE(CreateGuidString(),"-","_")</f>
        <v>n96041BD0_0965_46FD_8EAC_A48487F6C2A8</v>
      </c>
    </row>
    <row r="91" spans="1:8" x14ac:dyDescent="0.35">
      <c r="A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1" s="12" t="s">
        <v>94</v>
      </c>
      <c r="C91" s="13" t="s">
        <v>1432</v>
      </c>
      <c r="E91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G91" s="12" t="s">
        <v>641</v>
      </c>
      <c r="H91" s="19" t="str" cm="1">
        <f t="array" ref="H91">"n"&amp;SUBSTITUTE(CreateGuidString(),"-","_")</f>
        <v>nD4D5F869_2FA8_41C5_81A6_448100A641FF</v>
      </c>
    </row>
    <row r="92" spans="1:8" x14ac:dyDescent="0.35">
      <c r="A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Claimant</v>
      </c>
      <c r="B92" s="12" t="s">
        <v>642</v>
      </c>
      <c r="C92" s="13" t="s">
        <v>1433</v>
      </c>
      <c r="E92" s="12" t="str">
        <f>IF(NodesData[[#This Row],[Class Disambiguation]]="",NodesData[[#This Row],[Common Name]],NodesData[[#This Row],[Common Name]]&amp;" ("&amp;NodesData[[#This Row],[Class Disambiguation]]&amp;")")</f>
        <v>Claimant</v>
      </c>
      <c r="G92" s="12" t="s">
        <v>643</v>
      </c>
      <c r="H92" s="19" t="str" cm="1">
        <f t="array" ref="H92">"n"&amp;SUBSTITUTE(CreateGuidString(),"-","_")</f>
        <v>n411B947B_922B_495B_9BE7_E0AB6B5F9492</v>
      </c>
    </row>
    <row r="93" spans="1:8" x14ac:dyDescent="0.35">
      <c r="A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3" s="12" t="s">
        <v>644</v>
      </c>
      <c r="C93" s="13" t="s">
        <v>1434</v>
      </c>
      <c r="E93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G93" s="12" t="s">
        <v>645</v>
      </c>
      <c r="H93" s="19" t="str" cm="1">
        <f t="array" ref="H93">"n"&amp;SUBSTITUTE(CreateGuidString(),"-","_")</f>
        <v>nCF8B622A_F9A5_46EB_A852_6B559AC0E6DD</v>
      </c>
    </row>
    <row r="94" spans="1:8" x14ac:dyDescent="0.35">
      <c r="A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4" s="12" t="s">
        <v>96</v>
      </c>
      <c r="C94" s="13" t="s">
        <v>1444</v>
      </c>
      <c r="E94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G94" s="12" t="s">
        <v>646</v>
      </c>
      <c r="H94" s="19" t="str" cm="1">
        <f t="array" ref="H94">"n"&amp;SUBSTITUTE(CreateGuidString(),"-","_")</f>
        <v>nF7C95293_48B6_4DD7_8938_73BE57357031</v>
      </c>
    </row>
    <row r="95" spans="1:8" x14ac:dyDescent="0.35">
      <c r="A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5" s="12" t="s">
        <v>647</v>
      </c>
      <c r="C95" s="13" t="s">
        <v>1436</v>
      </c>
      <c r="E95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G95" s="12" t="s">
        <v>648</v>
      </c>
      <c r="H95" s="19" t="str" cm="1">
        <f t="array" ref="H95">"n"&amp;SUBSTITUTE(CreateGuidString(),"-","_")</f>
        <v>nD3F3F0C4_9B08_418B_B287_94E912D4CB76</v>
      </c>
    </row>
    <row r="96" spans="1:8" x14ac:dyDescent="0.35">
      <c r="A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6" s="12" t="s">
        <v>649</v>
      </c>
      <c r="C96" s="13" t="s">
        <v>1437</v>
      </c>
      <c r="D96" s="12" t="s">
        <v>1270</v>
      </c>
      <c r="E96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G96" s="12" t="s">
        <v>650</v>
      </c>
      <c r="H96" s="19" t="str" cm="1">
        <f t="array" ref="H96">"n"&amp;SUBSTITUTE(CreateGuidString(),"-","_")</f>
        <v>n9959F6AB_5267_4379_A794_3E0BFA616640</v>
      </c>
    </row>
    <row r="97" spans="1:8" x14ac:dyDescent="0.35">
      <c r="A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7" s="12" t="s">
        <v>651</v>
      </c>
      <c r="C97" s="13" t="s">
        <v>1438</v>
      </c>
      <c r="E97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G97" s="12" t="s">
        <v>652</v>
      </c>
      <c r="H97" s="19" t="str" cm="1">
        <f t="array" ref="H97">"n"&amp;SUBSTITUTE(CreateGuidString(),"-","_")</f>
        <v>nE37D259E_6D5A_4D34_9C97_57E0A83A6DFF</v>
      </c>
    </row>
    <row r="98" spans="1:8" x14ac:dyDescent="0.35">
      <c r="A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8" s="12" t="s">
        <v>653</v>
      </c>
      <c r="C98" s="13" t="s">
        <v>1439</v>
      </c>
      <c r="E98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G98" s="12" t="s">
        <v>654</v>
      </c>
      <c r="H98" s="19" t="str" cm="1">
        <f t="array" ref="H98">"n"&amp;SUBSTITUTE(CreateGuidString(),"-","_")</f>
        <v>nD698B0E7_23C7_4EA6_8D3A_DE05D7BE3E58</v>
      </c>
    </row>
    <row r="99" spans="1:8" x14ac:dyDescent="0.35">
      <c r="A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99" s="12" t="s">
        <v>101</v>
      </c>
      <c r="C99" s="13" t="s">
        <v>1440</v>
      </c>
      <c r="E99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G99" s="12" t="s">
        <v>655</v>
      </c>
      <c r="H99" s="19" t="str" cm="1">
        <f t="array" ref="H99">"n"&amp;SUBSTITUTE(CreateGuidString(),"-","_")</f>
        <v>n06BF2D51_51DC_4950_9213_BB4D337A7416</v>
      </c>
    </row>
    <row r="100" spans="1:8" x14ac:dyDescent="0.35">
      <c r="A1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0" s="11" t="s">
        <v>1352</v>
      </c>
      <c r="C100" s="13" t="s">
        <v>1914</v>
      </c>
      <c r="E100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F100" s="18"/>
      <c r="H100" s="20" t="str" cm="1">
        <f t="array" ref="H100">"n"&amp;SUBSTITUTE(CreateGuidString(),"-","_")</f>
        <v>nF2FC65FB_0026_4379_8FF0_BCB168917B31</v>
      </c>
    </row>
    <row r="101" spans="1:8" x14ac:dyDescent="0.35">
      <c r="A1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1" s="12" t="s">
        <v>656</v>
      </c>
      <c r="C101" s="13" t="s">
        <v>1441</v>
      </c>
      <c r="E101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G101" s="12" t="s">
        <v>657</v>
      </c>
      <c r="H101" s="19" t="str" cm="1">
        <f t="array" ref="H101">"n"&amp;SUBSTITUTE(CreateGuidString(),"-","_")</f>
        <v>n5F73A86A_D57A_441E_8305_0FD723A2894C</v>
      </c>
    </row>
    <row r="102" spans="1:8" x14ac:dyDescent="0.35">
      <c r="A1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2" s="12" t="s">
        <v>658</v>
      </c>
      <c r="C102" s="13" t="s">
        <v>1442</v>
      </c>
      <c r="E102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G102" s="12" t="s">
        <v>659</v>
      </c>
      <c r="H102" s="19" t="str" cm="1">
        <f t="array" ref="H102">"n"&amp;SUBSTITUTE(CreateGuidString(),"-","_")</f>
        <v>nA0A9203C_BF84_44D6_BCF4_CD3C3CA8B62A</v>
      </c>
    </row>
    <row r="103" spans="1:8" x14ac:dyDescent="0.35">
      <c r="A1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3" s="12" t="s">
        <v>660</v>
      </c>
      <c r="C103" s="13" t="s">
        <v>1443</v>
      </c>
      <c r="E103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G103" s="12" t="s">
        <v>661</v>
      </c>
      <c r="H103" s="19" t="str" cm="1">
        <f t="array" ref="H103">"n"&amp;SUBSTITUTE(CreateGuidString(),"-","_")</f>
        <v>nCFEF8ABB_6F32_4A78_9929_CE4307C74A2D</v>
      </c>
    </row>
    <row r="104" spans="1:8" x14ac:dyDescent="0.35">
      <c r="A1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4" s="12" t="s">
        <v>662</v>
      </c>
      <c r="C104" s="13" t="s">
        <v>1478</v>
      </c>
      <c r="E104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G104" s="12" t="s">
        <v>663</v>
      </c>
      <c r="H104" s="19" t="str" cm="1">
        <f t="array" ref="H104">"n"&amp;SUBSTITUTE(CreateGuidString(),"-","_")</f>
        <v>nD62A8296_5FE4_4BC1_B04D_197EB9672AEB</v>
      </c>
    </row>
    <row r="105" spans="1:8" x14ac:dyDescent="0.35">
      <c r="A1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5" s="11" t="s">
        <v>1337</v>
      </c>
      <c r="C105" s="13" t="s">
        <v>1848</v>
      </c>
      <c r="E105" s="18" t="str">
        <f>IF(NodesData[[#This Row],[Class Disambiguation]]="",NodesData[[#This Row],[Common Name]],NodesData[[#This Row],[Common Name]]&amp;" ("&amp;NodesData[[#This Row],[Class Disambiguation]]&amp;")")</f>
        <v>Control Class</v>
      </c>
      <c r="F105" s="18"/>
      <c r="H105" s="20" t="str" cm="1">
        <f t="array" ref="H105">"n"&amp;SUBSTITUTE(CreateGuidString(),"-","_")</f>
        <v>n8B2D0F15_9094_41C6_AA30_B6A7CFCE39CA</v>
      </c>
    </row>
    <row r="106" spans="1:8" x14ac:dyDescent="0.35">
      <c r="A1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6" s="12" t="s">
        <v>664</v>
      </c>
      <c r="C106" s="13" t="s">
        <v>1445</v>
      </c>
      <c r="E106" s="12" t="str">
        <f>IF(NodesData[[#This Row],[Class Disambiguation]]="",NodesData[[#This Row],[Common Name]],NodesData[[#This Row],[Common Name]]&amp;" ("&amp;NodesData[[#This Row],[Class Disambiguation]]&amp;")")</f>
        <v>Control Party</v>
      </c>
      <c r="G106" s="12" t="s">
        <v>665</v>
      </c>
      <c r="H106" s="19" t="str" cm="1">
        <f t="array" ref="H106">"n"&amp;SUBSTITUTE(CreateGuidString(),"-","_")</f>
        <v>n521475A1_2F73_4996_BFE8_0364A41806B2</v>
      </c>
    </row>
    <row r="107" spans="1:8" x14ac:dyDescent="0.35">
      <c r="A1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7" s="12" t="s">
        <v>666</v>
      </c>
      <c r="C107" s="13" t="s">
        <v>1446</v>
      </c>
      <c r="E107" s="12" t="str">
        <f>IF(NodesData[[#This Row],[Class Disambiguation]]="",NodesData[[#This Row],[Common Name]],NodesData[[#This Row],[Common Name]]&amp;" ("&amp;NodesData[[#This Row],[Class Disambiguation]]&amp;")")</f>
        <v>Core Identity</v>
      </c>
      <c r="G107" s="12" t="s">
        <v>667</v>
      </c>
      <c r="H107" s="19" t="str" cm="1">
        <f t="array" ref="H107">"n"&amp;SUBSTITUTE(CreateGuidString(),"-","_")</f>
        <v>n04E1703C_7622_4F36_9347_FE8E71328188</v>
      </c>
    </row>
    <row r="108" spans="1:8" x14ac:dyDescent="0.35">
      <c r="A1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8" s="12" t="s">
        <v>117</v>
      </c>
      <c r="C108" s="13" t="s">
        <v>1447</v>
      </c>
      <c r="E108" s="12" t="str">
        <f>IF(NodesData[[#This Row],[Class Disambiguation]]="",NodesData[[#This Row],[Common Name]],NodesData[[#This Row],[Common Name]]&amp;" ("&amp;NodesData[[#This Row],[Class Disambiguation]]&amp;")")</f>
        <v>Credential</v>
      </c>
      <c r="G108" s="12" t="s">
        <v>668</v>
      </c>
      <c r="H108" s="19" t="str" cm="1">
        <f t="array" ref="H108">"n"&amp;SUBSTITUTE(CreateGuidString(),"-","_")</f>
        <v>nB020B6AD_EC55_4375_95CE_BD3AB438D7B2</v>
      </c>
    </row>
    <row r="109" spans="1:8" x14ac:dyDescent="0.35">
      <c r="A1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09" s="12" t="s">
        <v>118</v>
      </c>
      <c r="C109" s="13" t="s">
        <v>1448</v>
      </c>
      <c r="E109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G109" s="12" t="s">
        <v>669</v>
      </c>
      <c r="H109" s="19" t="str" cm="1">
        <f t="array" ref="H109">"n"&amp;SUBSTITUTE(CreateGuidString(),"-","_")</f>
        <v>nD32CAF34_7288_4C7A_B610_08D90A37D7E4</v>
      </c>
    </row>
    <row r="110" spans="1:8" x14ac:dyDescent="0.35">
      <c r="A1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0" s="12" t="s">
        <v>670</v>
      </c>
      <c r="C110" s="13" t="s">
        <v>1449</v>
      </c>
      <c r="E110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G110" s="12" t="s">
        <v>671</v>
      </c>
      <c r="H110" s="19" t="str" cm="1">
        <f t="array" ref="H110">"n"&amp;SUBSTITUTE(CreateGuidString(),"-","_")</f>
        <v>n575A1118_EBB9_4283_93D8_E1E724A9C3FF</v>
      </c>
    </row>
    <row r="111" spans="1:8" x14ac:dyDescent="0.35">
      <c r="A1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1" s="12" t="s">
        <v>120</v>
      </c>
      <c r="C111" s="13" t="s">
        <v>1450</v>
      </c>
      <c r="E111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G111" s="12" t="s">
        <v>672</v>
      </c>
      <c r="H111" s="19" t="str" cm="1">
        <f t="array" ref="H111">"n"&amp;SUBSTITUTE(CreateGuidString(),"-","_")</f>
        <v>nC344745A_B0F9_4290_B43F_B9CA3EE56272</v>
      </c>
    </row>
    <row r="112" spans="1:8" x14ac:dyDescent="0.35">
      <c r="A1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2" s="12" t="s">
        <v>673</v>
      </c>
      <c r="C112" s="13" t="s">
        <v>1451</v>
      </c>
      <c r="E112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G112" s="12" t="s">
        <v>674</v>
      </c>
      <c r="H112" s="19" t="str" cm="1">
        <f t="array" ref="H112">"n"&amp;SUBSTITUTE(CreateGuidString(),"-","_")</f>
        <v>n7DFC0E14_9335_4091_B2C1_3172AFD7865E</v>
      </c>
    </row>
    <row r="113" spans="1:8" x14ac:dyDescent="0.35">
      <c r="A1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3" s="12" t="s">
        <v>675</v>
      </c>
      <c r="C113" s="13" t="s">
        <v>1452</v>
      </c>
      <c r="E113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G113" s="12" t="s">
        <v>676</v>
      </c>
      <c r="H113" s="19" t="str" cm="1">
        <f t="array" ref="H113">"n"&amp;SUBSTITUTE(CreateGuidString(),"-","_")</f>
        <v>n68856C65_9B19_49D9_807D_4F4DDDCFCB2F</v>
      </c>
    </row>
    <row r="114" spans="1:8" x14ac:dyDescent="0.35">
      <c r="A1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4" s="12" t="s">
        <v>123</v>
      </c>
      <c r="C114" s="13" t="s">
        <v>1453</v>
      </c>
      <c r="D114" s="12" t="s">
        <v>1270</v>
      </c>
      <c r="E114" s="12" t="str">
        <f>IF(NodesData[[#This Row],[Class Disambiguation]]="",NodesData[[#This Row],[Common Name]],NodesData[[#This Row],[Common Name]]&amp;" ("&amp;NodesData[[#This Row],[Class Disambiguation]]&amp;")")</f>
        <v>CSC (Acronym)</v>
      </c>
      <c r="G114" s="12" t="s">
        <v>677</v>
      </c>
      <c r="H114" s="19" t="str" cm="1">
        <f t="array" ref="H114">"n"&amp;SUBSTITUTE(CreateGuidString(),"-","_")</f>
        <v>n3CB91868_4392_4912_835F_F3AEF15CD3BB</v>
      </c>
    </row>
    <row r="115" spans="1:8" x14ac:dyDescent="0.35">
      <c r="A1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5" s="12" t="s">
        <v>124</v>
      </c>
      <c r="C115" s="13" t="s">
        <v>1454</v>
      </c>
      <c r="D115" s="12" t="s">
        <v>1270</v>
      </c>
      <c r="E115" s="12" t="str">
        <f>IF(NodesData[[#This Row],[Class Disambiguation]]="",NodesData[[#This Row],[Common Name]],NodesData[[#This Row],[Common Name]]&amp;" ("&amp;NodesData[[#This Row],[Class Disambiguation]]&amp;")")</f>
        <v>CSP (Acronym)</v>
      </c>
      <c r="G115" s="12" t="s">
        <v>678</v>
      </c>
      <c r="H115" s="19" t="str" cm="1">
        <f t="array" ref="H115">"n"&amp;SUBSTITUTE(CreateGuidString(),"-","_")</f>
        <v>n31BA5AD2_8F25_43BF_BB0C_405C5221D0BE</v>
      </c>
    </row>
    <row r="116" spans="1:8" x14ac:dyDescent="0.35">
      <c r="A1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6" s="12" t="s">
        <v>125</v>
      </c>
      <c r="C116" s="13" t="s">
        <v>1455</v>
      </c>
      <c r="D116" s="12" t="s">
        <v>1270</v>
      </c>
      <c r="E116" s="12" t="str">
        <f>IF(NodesData[[#This Row],[Class Disambiguation]]="",NodesData[[#This Row],[Common Name]],NodesData[[#This Row],[Common Name]]&amp;" ("&amp;NodesData[[#This Row],[Class Disambiguation]]&amp;")")</f>
        <v>CSU (Acronym)</v>
      </c>
      <c r="G116" s="12" t="s">
        <v>679</v>
      </c>
      <c r="H116" s="19" t="str" cm="1">
        <f t="array" ref="H116">"n"&amp;SUBSTITUTE(CreateGuidString(),"-","_")</f>
        <v>n5486FDA6_26FF_41F5_A53E_30296634A4BD</v>
      </c>
    </row>
    <row r="117" spans="1:8" x14ac:dyDescent="0.35">
      <c r="A1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7" s="12" t="s">
        <v>680</v>
      </c>
      <c r="C117" s="13" t="s">
        <v>1456</v>
      </c>
      <c r="E117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G117" s="12" t="s">
        <v>681</v>
      </c>
      <c r="H117" s="19" t="str" cm="1">
        <f t="array" ref="H117">"n"&amp;SUBSTITUTE(CreateGuidString(),"-","_")</f>
        <v>n4F63D922_EDE9_475F_B6D7_8DAB2EADE2CF</v>
      </c>
    </row>
    <row r="118" spans="1:8" x14ac:dyDescent="0.35">
      <c r="A1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8" s="12" t="s">
        <v>682</v>
      </c>
      <c r="C118" s="13" t="s">
        <v>1457</v>
      </c>
      <c r="E118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G118" s="12" t="s">
        <v>683</v>
      </c>
      <c r="H118" s="19" t="str" cm="1">
        <f t="array" ref="H118">"n"&amp;SUBSTITUTE(CreateGuidString(),"-","_")</f>
        <v>n6A574D8A_9E72_4045_9805_7ADA8D90BB8D</v>
      </c>
    </row>
    <row r="119" spans="1:8" x14ac:dyDescent="0.35">
      <c r="A1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19" s="12" t="s">
        <v>684</v>
      </c>
      <c r="C119" s="13" t="s">
        <v>1458</v>
      </c>
      <c r="E119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G119" s="12" t="s">
        <v>685</v>
      </c>
      <c r="H119" s="19" t="str" cm="1">
        <f t="array" ref="H119">"n"&amp;SUBSTITUTE(CreateGuidString(),"-","_")</f>
        <v>n7C75ED6E_BF59_4A2E_8094_11177A0DC4F5</v>
      </c>
    </row>
    <row r="120" spans="1:8" x14ac:dyDescent="0.35">
      <c r="A1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0" s="12" t="s">
        <v>686</v>
      </c>
      <c r="C120" s="13" t="s">
        <v>1459</v>
      </c>
      <c r="E120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G120" s="12" t="s">
        <v>687</v>
      </c>
      <c r="H120" s="19" t="str" cm="1">
        <f t="array" ref="H120">"n"&amp;SUBSTITUTE(CreateGuidString(),"-","_")</f>
        <v>n4798F6C2_55E8_43F7_AC17_C8E8F592ADCB</v>
      </c>
    </row>
    <row r="121" spans="1:8" x14ac:dyDescent="0.35">
      <c r="A1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1" s="12" t="s">
        <v>688</v>
      </c>
      <c r="C121" s="13" t="s">
        <v>1460</v>
      </c>
      <c r="E121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G121" s="12" t="s">
        <v>689</v>
      </c>
      <c r="H121" s="19" t="str" cm="1">
        <f t="array" ref="H121">"n"&amp;SUBSTITUTE(CreateGuidString(),"-","_")</f>
        <v>n9CFC5505_8CBA_4AB4_81AD_7CCED21BEB34</v>
      </c>
    </row>
    <row r="122" spans="1:8" x14ac:dyDescent="0.35">
      <c r="A1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2" s="12" t="s">
        <v>690</v>
      </c>
      <c r="C122" s="13" t="s">
        <v>1461</v>
      </c>
      <c r="E122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G122" s="12" t="s">
        <v>691</v>
      </c>
      <c r="H122" s="19" t="str" cm="1">
        <f t="array" ref="H122">"n"&amp;SUBSTITUTE(CreateGuidString(),"-","_")</f>
        <v>nB9999FFE_AF66_402F_BD7D_0F6F3E8B4A25</v>
      </c>
    </row>
    <row r="123" spans="1:8" x14ac:dyDescent="0.35">
      <c r="A1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3" s="12" t="s">
        <v>132</v>
      </c>
      <c r="C123" s="13" t="s">
        <v>1462</v>
      </c>
      <c r="E123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G123" s="12" t="s">
        <v>692</v>
      </c>
      <c r="H123" s="19" t="str" cm="1">
        <f t="array" ref="H123">"n"&amp;SUBSTITUTE(CreateGuidString(),"-","_")</f>
        <v>nD7FF7272_4173_4CB7_9543_124374221AC2</v>
      </c>
    </row>
    <row r="124" spans="1:8" x14ac:dyDescent="0.35">
      <c r="A1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4" s="12" t="s">
        <v>133</v>
      </c>
      <c r="C124" s="13" t="s">
        <v>1463</v>
      </c>
      <c r="D124" s="12" t="s">
        <v>1270</v>
      </c>
      <c r="E124" s="12" t="str">
        <f>IF(NodesData[[#This Row],[Class Disambiguation]]="",NodesData[[#This Row],[Common Name]],NodesData[[#This Row],[Common Name]]&amp;" ("&amp;NodesData[[#This Row],[Class Disambiguation]]&amp;")")</f>
        <v>DAC (Acronym)</v>
      </c>
      <c r="G124" s="12" t="s">
        <v>693</v>
      </c>
      <c r="H124" s="19" t="str" cm="1">
        <f t="array" ref="H124">"n"&amp;SUBSTITUTE(CreateGuidString(),"-","_")</f>
        <v>nE7B0D310_72C4_4AE2_A09C_DF8A3DFB796C</v>
      </c>
    </row>
    <row r="125" spans="1:8" x14ac:dyDescent="0.35">
      <c r="A1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</v>
      </c>
      <c r="B125" s="12" t="s">
        <v>1345</v>
      </c>
      <c r="C125" s="13" t="s">
        <v>1841</v>
      </c>
      <c r="E125" s="18" t="str">
        <f>IF(NodesData[[#This Row],[Class Disambiguation]]="",NodesData[[#This Row],[Common Name]],NodesData[[#This Row],[Common Name]]&amp;" ("&amp;NodesData[[#This Row],[Class Disambiguation]]&amp;")")</f>
        <v>Data</v>
      </c>
      <c r="F125" s="18"/>
      <c r="H125" s="19" t="str" cm="1">
        <f t="array" ref="H125">"n"&amp;SUBSTITUTE(CreateGuidString(),"-","_")</f>
        <v>nEEAB166F_577F_4041_B4C0_B0404589AF82</v>
      </c>
    </row>
    <row r="126" spans="1:8" x14ac:dyDescent="0.35">
      <c r="A1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6" s="12" t="s">
        <v>134</v>
      </c>
      <c r="C126" s="13" t="s">
        <v>1464</v>
      </c>
      <c r="E126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G126" s="12" t="s">
        <v>694</v>
      </c>
      <c r="H126" s="19" t="str" cm="1">
        <f t="array" ref="H126">"n"&amp;SUBSTITUTE(CreateGuidString(),"-","_")</f>
        <v>nB0AFEA62_3186_4D57_BE65_23A3A8D4D667</v>
      </c>
    </row>
    <row r="127" spans="1:8" x14ac:dyDescent="0.35">
      <c r="A1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7" s="12" t="s">
        <v>695</v>
      </c>
      <c r="C127" s="13" t="s">
        <v>1465</v>
      </c>
      <c r="E127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G127" s="12" t="s">
        <v>696</v>
      </c>
      <c r="H127" s="19" t="str" cm="1">
        <f t="array" ref="H127">"n"&amp;SUBSTITUTE(CreateGuidString(),"-","_")</f>
        <v>n5A49D257_C01A_4FF9_B53E_DB54774C3B39</v>
      </c>
    </row>
    <row r="128" spans="1:8" x14ac:dyDescent="0.35">
      <c r="A1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8" s="12" t="s">
        <v>697</v>
      </c>
      <c r="C128" s="13" t="s">
        <v>1467</v>
      </c>
      <c r="E128" s="12" t="str">
        <f>IF(NodesData[[#This Row],[Class Disambiguation]]="",NodesData[[#This Row],[Common Name]],NodesData[[#This Row],[Common Name]]&amp;" ("&amp;NodesData[[#This Row],[Class Disambiguation]]&amp;")")</f>
        <v>Data Lineage</v>
      </c>
      <c r="G128" s="12" t="s">
        <v>698</v>
      </c>
      <c r="H128" s="19" t="str" cm="1">
        <f t="array" ref="H128">"n"&amp;SUBSTITUTE(CreateGuidString(),"-","_")</f>
        <v>n876BC23F_2820_41C3_A862_18A631B3EBE3</v>
      </c>
    </row>
    <row r="129" spans="1:8" x14ac:dyDescent="0.35">
      <c r="A1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29" s="12" t="s">
        <v>699</v>
      </c>
      <c r="C129" s="13" t="s">
        <v>1468</v>
      </c>
      <c r="E129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G129" s="12" t="s">
        <v>700</v>
      </c>
      <c r="H129" s="19" t="str" cm="1">
        <f t="array" ref="H129">"n"&amp;SUBSTITUTE(CreateGuidString(),"-","_")</f>
        <v>nD7DD58D2_94D9_4D19_AF0A_DE952DB5DC5C</v>
      </c>
    </row>
    <row r="130" spans="1:8" x14ac:dyDescent="0.35">
      <c r="A1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0" s="12" t="s">
        <v>1346</v>
      </c>
      <c r="C130" s="13" t="s">
        <v>1843</v>
      </c>
      <c r="E130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F130" s="18"/>
      <c r="H130" s="20" t="str" cm="1">
        <f t="array" ref="H130">"n"&amp;SUBSTITUTE(CreateGuidString(),"-","_")</f>
        <v>nDE597819_C83B_418B_BC3F_991045571F55</v>
      </c>
    </row>
    <row r="131" spans="1:8" x14ac:dyDescent="0.35">
      <c r="A1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1" s="12" t="s">
        <v>701</v>
      </c>
      <c r="C131" s="13" t="s">
        <v>1469</v>
      </c>
      <c r="E131" s="12" t="str">
        <f>IF(NodesData[[#This Row],[Class Disambiguation]]="",NodesData[[#This Row],[Common Name]],NodesData[[#This Row],[Common Name]]&amp;" ("&amp;NodesData[[#This Row],[Class Disambiguation]]&amp;")")</f>
        <v>Data Owner</v>
      </c>
      <c r="G131" s="12" t="s">
        <v>702</v>
      </c>
      <c r="H131" s="19" t="str" cm="1">
        <f t="array" ref="H131">"n"&amp;SUBSTITUTE(CreateGuidString(),"-","_")</f>
        <v>nD0ACFA4C_6DC9_4F67_A3C2_53533AA3143F</v>
      </c>
    </row>
    <row r="132" spans="1:8" x14ac:dyDescent="0.35">
      <c r="A1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2" s="12" t="s">
        <v>703</v>
      </c>
      <c r="C132" s="13" t="s">
        <v>1466</v>
      </c>
      <c r="E132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G132" s="12" t="s">
        <v>704</v>
      </c>
      <c r="H132" s="19" t="str" cm="1">
        <f t="array" ref="H132">"n"&amp;SUBSTITUTE(CreateGuidString(),"-","_")</f>
        <v>n2EBD0D04_5073_4BEB_984A_A46698C19862</v>
      </c>
    </row>
    <row r="133" spans="1:8" x14ac:dyDescent="0.35">
      <c r="A1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3" s="12" t="s">
        <v>705</v>
      </c>
      <c r="C133" s="13" t="s">
        <v>1471</v>
      </c>
      <c r="E133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G133" s="12" t="s">
        <v>706</v>
      </c>
      <c r="H133" s="19" t="str" cm="1">
        <f t="array" ref="H133">"n"&amp;SUBSTITUTE(CreateGuidString(),"-","_")</f>
        <v>n8A995FE2_F825_435C_BC2F_91BC325780A6</v>
      </c>
    </row>
    <row r="134" spans="1:8" x14ac:dyDescent="0.35">
      <c r="A1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4" s="12" t="s">
        <v>707</v>
      </c>
      <c r="C134" s="13" t="s">
        <v>1472</v>
      </c>
      <c r="E134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G134" s="12" t="s">
        <v>708</v>
      </c>
      <c r="H134" s="19" t="str" cm="1">
        <f t="array" ref="H134">"n"&amp;SUBSTITUTE(CreateGuidString(),"-","_")</f>
        <v>n632BE535_EE36_47B4_BA4A_15EB1FF6F4AF</v>
      </c>
    </row>
    <row r="135" spans="1:8" x14ac:dyDescent="0.35">
      <c r="A1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5" s="12" t="s">
        <v>709</v>
      </c>
      <c r="C135" s="13" t="s">
        <v>1470</v>
      </c>
      <c r="E135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G135" s="12" t="s">
        <v>710</v>
      </c>
      <c r="H135" s="19" t="str" cm="1">
        <f t="array" ref="H135">"n"&amp;SUBSTITUTE(CreateGuidString(),"-","_")</f>
        <v>nB91180FA_67CF_459E_81C8_95E81D22B336</v>
      </c>
    </row>
    <row r="136" spans="1:8" x14ac:dyDescent="0.35">
      <c r="A1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6" s="12" t="s">
        <v>711</v>
      </c>
      <c r="C136" s="13" t="s">
        <v>1473</v>
      </c>
      <c r="E136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G136" s="12" t="s">
        <v>712</v>
      </c>
      <c r="H136" s="19" t="str" cm="1">
        <f t="array" ref="H136">"n"&amp;SUBSTITUTE(CreateGuidString(),"-","_")</f>
        <v>nADDF5B22_B027_42A2_A9AF_559A12EF2945</v>
      </c>
    </row>
    <row r="137" spans="1:8" x14ac:dyDescent="0.35">
      <c r="A1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7" s="12" t="s">
        <v>145</v>
      </c>
      <c r="C137" s="13" t="s">
        <v>1474</v>
      </c>
      <c r="D137" s="12" t="s">
        <v>1270</v>
      </c>
      <c r="E137" s="12" t="str">
        <f>IF(NodesData[[#This Row],[Class Disambiguation]]="",NodesData[[#This Row],[Common Name]],NodesData[[#This Row],[Common Name]]&amp;" ("&amp;NodesData[[#This Row],[Class Disambiguation]]&amp;")")</f>
        <v>DID (Acronym)</v>
      </c>
      <c r="G137" s="12" t="s">
        <v>713</v>
      </c>
      <c r="H137" s="19" t="str" cm="1">
        <f t="array" ref="H137">"n"&amp;SUBSTITUTE(CreateGuidString(),"-","_")</f>
        <v>nCBAC6527_CB11_4A2D_9691_D95DB20F253B</v>
      </c>
    </row>
    <row r="138" spans="1:8" x14ac:dyDescent="0.35">
      <c r="A1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8" s="12" t="s">
        <v>714</v>
      </c>
      <c r="C138" s="13" t="s">
        <v>1475</v>
      </c>
      <c r="E138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G138" s="12" t="s">
        <v>715</v>
      </c>
      <c r="H138" s="19" t="str" cm="1">
        <f t="array" ref="H138">"n"&amp;SUBSTITUTE(CreateGuidString(),"-","_")</f>
        <v>nDCA454D6_2DD9_4F28_9374_5C436F57E16E</v>
      </c>
    </row>
    <row r="139" spans="1:8" x14ac:dyDescent="0.35">
      <c r="A1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39" s="12" t="s">
        <v>147</v>
      </c>
      <c r="C139" s="13" t="s">
        <v>1476</v>
      </c>
      <c r="E139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G139" s="12" t="s">
        <v>716</v>
      </c>
      <c r="H139" s="19" t="str" cm="1">
        <f t="array" ref="H139">"n"&amp;SUBSTITUTE(CreateGuidString(),"-","_")</f>
        <v>nE2392048_8995_41D7_8111_2A7585AF8525</v>
      </c>
    </row>
    <row r="140" spans="1:8" x14ac:dyDescent="0.35">
      <c r="A1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0" s="12" t="s">
        <v>148</v>
      </c>
      <c r="C140" s="13" t="s">
        <v>1952</v>
      </c>
      <c r="E140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F140" s="18"/>
      <c r="G140" s="12" t="s">
        <v>717</v>
      </c>
      <c r="H140" s="20" t="str" cm="1">
        <f t="array" ref="H140">"n"&amp;SUBSTITUTE(CreateGuidString(),"-","_")</f>
        <v>nBA481293_C26C_4375_95C4_6FFE42998776</v>
      </c>
    </row>
    <row r="141" spans="1:8" x14ac:dyDescent="0.35">
      <c r="A1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1" s="12" t="s">
        <v>149</v>
      </c>
      <c r="C141" s="13" t="s">
        <v>1483</v>
      </c>
      <c r="E141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G141" s="12" t="s">
        <v>718</v>
      </c>
      <c r="H141" s="19" t="str" cm="1">
        <f t="array" ref="H141">"n"&amp;SUBSTITUTE(CreateGuidString(),"-","_")</f>
        <v>nCD6E8B2B_585D_42B5_B8C8_C49F522EC018</v>
      </c>
    </row>
    <row r="142" spans="1:8" x14ac:dyDescent="0.35">
      <c r="A1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2" s="12" t="s">
        <v>719</v>
      </c>
      <c r="C142" s="13" t="s">
        <v>1479</v>
      </c>
      <c r="E142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G142" s="12" t="s">
        <v>720</v>
      </c>
      <c r="H142" s="19" t="str" cm="1">
        <f t="array" ref="H142">"n"&amp;SUBSTITUTE(CreateGuidString(),"-","_")</f>
        <v>n5131E0B3_32BB_458A_8EA1_CB58B163E02C</v>
      </c>
    </row>
    <row r="143" spans="1:8" x14ac:dyDescent="0.35">
      <c r="A1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3" s="12" t="s">
        <v>721</v>
      </c>
      <c r="C143" s="13" t="s">
        <v>1480</v>
      </c>
      <c r="E143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G143" s="12" t="s">
        <v>722</v>
      </c>
      <c r="H143" s="19" t="str" cm="1">
        <f t="array" ref="H143">"n"&amp;SUBSTITUTE(CreateGuidString(),"-","_")</f>
        <v>n00F84A11_C1CF_496E_8A87_38AF6F7E1FB8</v>
      </c>
    </row>
    <row r="144" spans="1:8" x14ac:dyDescent="0.35">
      <c r="A1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4" s="12" t="s">
        <v>723</v>
      </c>
      <c r="C144" s="13" t="s">
        <v>1481</v>
      </c>
      <c r="E144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G144" s="12" t="s">
        <v>724</v>
      </c>
      <c r="H144" s="19" t="str" cm="1">
        <f t="array" ref="H144">"n"&amp;SUBSTITUTE(CreateGuidString(),"-","_")</f>
        <v>n16BE8353_9C35_4BDF_8326_FB5B58E487A1</v>
      </c>
    </row>
    <row r="145" spans="1:8" x14ac:dyDescent="0.35">
      <c r="A1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5" s="12" t="s">
        <v>725</v>
      </c>
      <c r="C145" s="13" t="s">
        <v>1482</v>
      </c>
      <c r="E145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G145" s="12" t="s">
        <v>726</v>
      </c>
      <c r="H145" s="19" t="str" cm="1">
        <f t="array" ref="H145">"n"&amp;SUBSTITUTE(CreateGuidString(),"-","_")</f>
        <v>n2034333C_334D_4218_971C_F9CAB12B6737</v>
      </c>
    </row>
    <row r="146" spans="1:8" x14ac:dyDescent="0.35">
      <c r="A1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6" s="12" t="s">
        <v>727</v>
      </c>
      <c r="C146" s="13" t="s">
        <v>1504</v>
      </c>
      <c r="E146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G146" s="12" t="s">
        <v>728</v>
      </c>
      <c r="H146" s="19" t="str" cm="1">
        <f t="array" ref="H146">"n"&amp;SUBSTITUTE(CreateGuidString(),"-","_")</f>
        <v>nB301AD0F_C706_44A0_B917_7AAC2999835F</v>
      </c>
    </row>
    <row r="147" spans="1:8" x14ac:dyDescent="0.35">
      <c r="A1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7" s="12" t="s">
        <v>729</v>
      </c>
      <c r="C147" s="13" t="s">
        <v>1485</v>
      </c>
      <c r="D147" s="12" t="s">
        <v>1270</v>
      </c>
      <c r="E147" s="12" t="str">
        <f>IF(NodesData[[#This Row],[Class Disambiguation]]="",NodesData[[#This Row],[Common Name]],NodesData[[#This Row],[Common Name]]&amp;" ("&amp;NodesData[[#This Row],[Class Disambiguation]]&amp;")")</f>
        <v>ECS (Acronym)</v>
      </c>
      <c r="G147" s="12" t="s">
        <v>730</v>
      </c>
      <c r="H147" s="19" t="str" cm="1">
        <f t="array" ref="H147">"n"&amp;SUBSTITUTE(CreateGuidString(),"-","_")</f>
        <v>nA604A5A2_DA32_422C_9262_4175FC3F7143</v>
      </c>
    </row>
    <row r="148" spans="1:8" x14ac:dyDescent="0.35">
      <c r="A1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8" s="12" t="s">
        <v>731</v>
      </c>
      <c r="C148" s="13" t="s">
        <v>1484</v>
      </c>
      <c r="D148" s="12" t="s">
        <v>1270</v>
      </c>
      <c r="E148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G148" s="12" t="s">
        <v>732</v>
      </c>
      <c r="H148" s="19" t="str" cm="1">
        <f t="array" ref="H148">"n"&amp;SUBSTITUTE(CreateGuidString(),"-","_")</f>
        <v>nEB4E5327_0ADC_4460_A11B_753D2FB873BE</v>
      </c>
    </row>
    <row r="149" spans="1:8" x14ac:dyDescent="0.35">
      <c r="A1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49" s="12" t="s">
        <v>733</v>
      </c>
      <c r="C149" s="13" t="s">
        <v>1486</v>
      </c>
      <c r="D149" s="12" t="s">
        <v>1270</v>
      </c>
      <c r="E149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G149" s="12" t="s">
        <v>734</v>
      </c>
      <c r="H149" s="19" t="str" cm="1">
        <f t="array" ref="H149">"n"&amp;SUBSTITUTE(CreateGuidString(),"-","_")</f>
        <v>n469C098A_57ED_4CBE_9FFC_040685DE46BD</v>
      </c>
    </row>
    <row r="150" spans="1:8" x14ac:dyDescent="0.35">
      <c r="A1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0" s="12" t="s">
        <v>1317</v>
      </c>
      <c r="C150" s="13" t="s">
        <v>1487</v>
      </c>
      <c r="E150" s="12" t="str">
        <f>IF(NodesData[[#This Row],[Class Disambiguation]]="",NodesData[[#This Row],[Common Name]],NodesData[[#This Row],[Common Name]]&amp;" ("&amp;NodesData[[#This Row],[Class Disambiguation]]&amp;")")</f>
        <v>Email OTP</v>
      </c>
      <c r="H150" s="19" t="str" cm="1">
        <f t="array" ref="H150">"n"&amp;SUBSTITUTE(CreateGuidString(),"-","_")</f>
        <v>nBFA3FFFE_8734_4BAC_A8E9_9EF203966067</v>
      </c>
    </row>
    <row r="151" spans="1:8" x14ac:dyDescent="0.35">
      <c r="A1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1" s="12" t="s">
        <v>735</v>
      </c>
      <c r="C151" s="13" t="s">
        <v>1488</v>
      </c>
      <c r="E151" s="12" t="str">
        <f>IF(NodesData[[#This Row],[Class Disambiguation]]="",NodesData[[#This Row],[Common Name]],NodesData[[#This Row],[Common Name]]&amp;" ("&amp;NodesData[[#This Row],[Class Disambiguation]]&amp;")")</f>
        <v>Employee</v>
      </c>
      <c r="G151" s="12" t="s">
        <v>736</v>
      </c>
      <c r="H151" s="19" t="str" cm="1">
        <f t="array" ref="H151">"n"&amp;SUBSTITUTE(CreateGuidString(),"-","_")</f>
        <v>nE8E56893_9E6B_4E32_B60B_8C07FA7F8438</v>
      </c>
    </row>
    <row r="152" spans="1:8" x14ac:dyDescent="0.35">
      <c r="A1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2" s="12" t="s">
        <v>737</v>
      </c>
      <c r="C152" s="13" t="s">
        <v>1489</v>
      </c>
      <c r="E152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G152" s="12" t="s">
        <v>738</v>
      </c>
      <c r="H152" s="19" t="str" cm="1">
        <f t="array" ref="H152">"n"&amp;SUBSTITUTE(CreateGuidString(),"-","_")</f>
        <v>n2AF43D85_1C4A_4282_B15A_B6C33F4EE3C9</v>
      </c>
    </row>
    <row r="153" spans="1:8" x14ac:dyDescent="0.35">
      <c r="A1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3" s="12" t="s">
        <v>739</v>
      </c>
      <c r="C153" s="13" t="s">
        <v>1490</v>
      </c>
      <c r="E153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G153" s="12" t="s">
        <v>740</v>
      </c>
      <c r="H153" s="19" t="str" cm="1">
        <f t="array" ref="H153">"n"&amp;SUBSTITUTE(CreateGuidString(),"-","_")</f>
        <v>n30BE06D8_AB79_4DCE_AAF5_C5537A646D7B</v>
      </c>
    </row>
    <row r="154" spans="1:8" x14ac:dyDescent="0.35">
      <c r="A1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4" s="12" t="s">
        <v>741</v>
      </c>
      <c r="C154" s="13" t="s">
        <v>1491</v>
      </c>
      <c r="E154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G154" s="12" t="s">
        <v>742</v>
      </c>
      <c r="H154" s="19" t="str" cm="1">
        <f t="array" ref="H154">"n"&amp;SUBSTITUTE(CreateGuidString(),"-","_")</f>
        <v>n44007857_9C0E_4229_94AA_EEFA1009A5F4</v>
      </c>
    </row>
    <row r="155" spans="1:8" x14ac:dyDescent="0.35">
      <c r="A1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5" s="12" t="s">
        <v>743</v>
      </c>
      <c r="C155" s="13" t="s">
        <v>1492</v>
      </c>
      <c r="E155" s="12" t="str">
        <f>IF(NodesData[[#This Row],[Class Disambiguation]]="",NodesData[[#This Row],[Common Name]],NodesData[[#This Row],[Common Name]]&amp;" ("&amp;NodesData[[#This Row],[Class Disambiguation]]&amp;")")</f>
        <v>Entitlement</v>
      </c>
      <c r="G155" s="12" t="s">
        <v>744</v>
      </c>
      <c r="H155" s="19" t="str" cm="1">
        <f t="array" ref="H155">"n"&amp;SUBSTITUTE(CreateGuidString(),"-","_")</f>
        <v>n7ADB2044_13D9_44FA_B467_00636190DD42</v>
      </c>
    </row>
    <row r="156" spans="1:8" x14ac:dyDescent="0.35">
      <c r="A1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6" s="12" t="s">
        <v>745</v>
      </c>
      <c r="C156" s="13" t="s">
        <v>1494</v>
      </c>
      <c r="E156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G156" s="12" t="s">
        <v>746</v>
      </c>
      <c r="H156" s="19" t="str" cm="1">
        <f t="array" ref="H156">"n"&amp;SUBSTITUTE(CreateGuidString(),"-","_")</f>
        <v>nB04A4AF8_05E6_4891_84E6_11C95F6E8F1D</v>
      </c>
    </row>
    <row r="157" spans="1:8" x14ac:dyDescent="0.35">
      <c r="A1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7" s="12" t="s">
        <v>747</v>
      </c>
      <c r="C157" s="13" t="s">
        <v>1495</v>
      </c>
      <c r="E157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G157" s="12" t="s">
        <v>748</v>
      </c>
      <c r="H157" s="19" t="str" cm="1">
        <f t="array" ref="H157">"n"&amp;SUBSTITUTE(CreateGuidString(),"-","_")</f>
        <v>n4DD94D7F_037B_4C91_B3A9_6C3F8D974CE5</v>
      </c>
    </row>
    <row r="158" spans="1:8" x14ac:dyDescent="0.35">
      <c r="A1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8" s="12" t="s">
        <v>749</v>
      </c>
      <c r="C158" s="13" t="s">
        <v>1496</v>
      </c>
      <c r="E158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G158" s="12" t="s">
        <v>750</v>
      </c>
      <c r="H158" s="19" t="str" cm="1">
        <f t="array" ref="H158">"n"&amp;SUBSTITUTE(CreateGuidString(),"-","_")</f>
        <v>nC811907B_B5B1_4823_89D5_CE9A2F2159AE</v>
      </c>
    </row>
    <row r="159" spans="1:8" x14ac:dyDescent="0.35">
      <c r="A1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59" s="12" t="s">
        <v>751</v>
      </c>
      <c r="C159" s="13" t="s">
        <v>1493</v>
      </c>
      <c r="E159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G159" s="12" t="s">
        <v>752</v>
      </c>
      <c r="H159" s="19" t="str" cm="1">
        <f t="array" ref="H159">"n"&amp;SUBSTITUTE(CreateGuidString(),"-","_")</f>
        <v>nD8FCDDF9_9090_4BFE_A05E_20B99A2111CA</v>
      </c>
    </row>
    <row r="160" spans="1:8" x14ac:dyDescent="0.35">
      <c r="A1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Entity</v>
      </c>
      <c r="B160" s="12" t="s">
        <v>753</v>
      </c>
      <c r="C160" s="13" t="s">
        <v>1497</v>
      </c>
      <c r="E160" s="12" t="str">
        <f>IF(NodesData[[#This Row],[Class Disambiguation]]="",NodesData[[#This Row],[Common Name]],NodesData[[#This Row],[Common Name]]&amp;" ("&amp;NodesData[[#This Row],[Class Disambiguation]]&amp;")")</f>
        <v>Entity</v>
      </c>
      <c r="G160" s="12" t="s">
        <v>754</v>
      </c>
      <c r="H160" s="19" t="str" cm="1">
        <f t="array" ref="H160">"n"&amp;SUBSTITUTE(CreateGuidString(),"-","_")</f>
        <v>n2A704AFE_EE51_4379_B2DF_4553412AA92F</v>
      </c>
    </row>
    <row r="161" spans="1:8" x14ac:dyDescent="0.35">
      <c r="A1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1" s="12" t="s">
        <v>755</v>
      </c>
      <c r="C161" s="13" t="s">
        <v>1498</v>
      </c>
      <c r="D161" s="12" t="s">
        <v>1270</v>
      </c>
      <c r="E161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G161" s="12" t="s">
        <v>756</v>
      </c>
      <c r="H161" s="19" t="str" cm="1">
        <f t="array" ref="H161">"n"&amp;SUBSTITUTE(CreateGuidString(),"-","_")</f>
        <v>n22A958F8_2D36_4CB1_B0F4_1713C2D1ADA0</v>
      </c>
    </row>
    <row r="162" spans="1:8" x14ac:dyDescent="0.35">
      <c r="A1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2" s="12" t="s">
        <v>757</v>
      </c>
      <c r="C162" s="13" t="s">
        <v>1499</v>
      </c>
      <c r="E162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G162" s="12" t="s">
        <v>758</v>
      </c>
      <c r="H162" s="19" t="str" cm="1">
        <f t="array" ref="H162">"n"&amp;SUBSTITUTE(CreateGuidString(),"-","_")</f>
        <v>n35AC03EC_679A_4A97_868B_4E2BEE085482</v>
      </c>
    </row>
    <row r="163" spans="1:8" x14ac:dyDescent="0.35">
      <c r="A1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3" s="12" t="s">
        <v>759</v>
      </c>
      <c r="C163" s="13" t="s">
        <v>1500</v>
      </c>
      <c r="E163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G163" s="12" t="s">
        <v>760</v>
      </c>
      <c r="H163" s="19" t="str" cm="1">
        <f t="array" ref="H163">"n"&amp;SUBSTITUTE(CreateGuidString(),"-","_")</f>
        <v>n0B0607DE_1D9A_4FA9_98C2_D43225A5F043</v>
      </c>
    </row>
    <row r="164" spans="1:8" x14ac:dyDescent="0.35">
      <c r="A1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4" s="12" t="s">
        <v>761</v>
      </c>
      <c r="C164" s="13" t="s">
        <v>1501</v>
      </c>
      <c r="E164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G164" s="12" t="s">
        <v>762</v>
      </c>
      <c r="H164" s="19" t="str" cm="1">
        <f t="array" ref="H164">"n"&amp;SUBSTITUTE(CreateGuidString(),"-","_")</f>
        <v>nAFAE6ED9_0CDF_46B1_ACFF_E31AC8BEDAE0</v>
      </c>
    </row>
    <row r="165" spans="1:8" x14ac:dyDescent="0.35">
      <c r="A1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5" s="12" t="s">
        <v>763</v>
      </c>
      <c r="C165" s="13" t="s">
        <v>1502</v>
      </c>
      <c r="E165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G165" s="12" t="s">
        <v>764</v>
      </c>
      <c r="H165" s="19" t="str" cm="1">
        <f t="array" ref="H165">"n"&amp;SUBSTITUTE(CreateGuidString(),"-","_")</f>
        <v>n25820D8D_2452_4EB7_A719_316145C82916</v>
      </c>
    </row>
    <row r="166" spans="1:8" x14ac:dyDescent="0.35">
      <c r="A1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6" s="12" t="s">
        <v>765</v>
      </c>
      <c r="C166" s="13" t="s">
        <v>1503</v>
      </c>
      <c r="E166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G166" s="12" t="s">
        <v>766</v>
      </c>
      <c r="H166" s="19" t="str" cm="1">
        <f t="array" ref="H166">"n"&amp;SUBSTITUTE(CreateGuidString(),"-","_")</f>
        <v>nFFB7A5C3_5074_4D69_9D1F_B697CFB687E2</v>
      </c>
    </row>
    <row r="167" spans="1:8" x14ac:dyDescent="0.35">
      <c r="A1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7" s="12" t="s">
        <v>1842</v>
      </c>
      <c r="C167" s="13" t="s">
        <v>1846</v>
      </c>
      <c r="E167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7" s="18"/>
      <c r="H167" s="20" t="str" cm="1">
        <f t="array" ref="H167">"n"&amp;SUBSTITUTE(CreateGuidString(),"-","_")</f>
        <v>nBDD6D645_728E_47C9_9E5A_830B4238CD39</v>
      </c>
    </row>
    <row r="168" spans="1:8" x14ac:dyDescent="0.35">
      <c r="A1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8" s="12" t="s">
        <v>1304</v>
      </c>
      <c r="C168" s="13" t="s">
        <v>1513</v>
      </c>
      <c r="E168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H168" s="19" t="str" cm="1">
        <f t="array" ref="H168">"n"&amp;SUBSTITUTE(CreateGuidString(),"-","_")</f>
        <v>n6F86338C_CBC9_44CE_A04F_A072DCE4599D</v>
      </c>
    </row>
    <row r="169" spans="1:8" x14ac:dyDescent="0.35">
      <c r="A1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69" s="12" t="s">
        <v>178</v>
      </c>
      <c r="C169" s="13" t="s">
        <v>1505</v>
      </c>
      <c r="E169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G169" s="12" t="s">
        <v>767</v>
      </c>
      <c r="H169" s="19" t="str" cm="1">
        <f t="array" ref="H169">"n"&amp;SUBSTITUTE(CreateGuidString(),"-","_")</f>
        <v>n8970F321_F562_4A9E_A409_66793F80E610</v>
      </c>
    </row>
    <row r="170" spans="1:8" x14ac:dyDescent="0.35">
      <c r="A1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0" s="12" t="s">
        <v>179</v>
      </c>
      <c r="C170" s="13" t="s">
        <v>1506</v>
      </c>
      <c r="D170" s="12" t="s">
        <v>1270</v>
      </c>
      <c r="E170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G170" s="12" t="s">
        <v>768</v>
      </c>
      <c r="H170" s="19" t="str" cm="1">
        <f t="array" ref="H170">"n"&amp;SUBSTITUTE(CreateGuidString(),"-","_")</f>
        <v>n4D85C45B_CCFB_4DEE_B982_02D4D0DCF3CF</v>
      </c>
    </row>
    <row r="171" spans="1:8" x14ac:dyDescent="0.35">
      <c r="A1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1" s="12" t="s">
        <v>769</v>
      </c>
      <c r="C171" s="13" t="s">
        <v>1507</v>
      </c>
      <c r="E171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G171" s="12" t="s">
        <v>770</v>
      </c>
      <c r="H171" s="19" t="str" cm="1">
        <f t="array" ref="H171">"n"&amp;SUBSTITUTE(CreateGuidString(),"-","_")</f>
        <v>nC517677C_44EB_4020_93F6_68ED7B86E2BB</v>
      </c>
    </row>
    <row r="172" spans="1:8" x14ac:dyDescent="0.35">
      <c r="A1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2" s="12" t="s">
        <v>771</v>
      </c>
      <c r="C172" s="13" t="s">
        <v>1508</v>
      </c>
      <c r="E172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G172" s="12" t="s">
        <v>772</v>
      </c>
      <c r="H172" s="19" t="str" cm="1">
        <f t="array" ref="H172">"n"&amp;SUBSTITUTE(CreateGuidString(),"-","_")</f>
        <v>n906746B1_057A_466A_9677_7C9968E63EAE</v>
      </c>
    </row>
    <row r="173" spans="1:8" x14ac:dyDescent="0.35">
      <c r="A1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3" s="12" t="s">
        <v>773</v>
      </c>
      <c r="C173" s="13" t="s">
        <v>1509</v>
      </c>
      <c r="E173" s="12" t="str">
        <f>IF(NodesData[[#This Row],[Class Disambiguation]]="",NodesData[[#This Row],[Common Name]],NodesData[[#This Row],[Common Name]]&amp;" ("&amp;NodesData[[#This Row],[Class Disambiguation]]&amp;")")</f>
        <v>Federated SSO</v>
      </c>
      <c r="G173" s="12" t="s">
        <v>774</v>
      </c>
      <c r="H173" s="19" t="str" cm="1">
        <f t="array" ref="H173">"n"&amp;SUBSTITUTE(CreateGuidString(),"-","_")</f>
        <v>nD4E2E8FA_44E2_4C91_8890_35E9255B169D</v>
      </c>
    </row>
    <row r="174" spans="1:8" x14ac:dyDescent="0.35">
      <c r="A1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4" s="12" t="s">
        <v>775</v>
      </c>
      <c r="C174" s="13" t="s">
        <v>1510</v>
      </c>
      <c r="E174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G174" s="12" t="s">
        <v>776</v>
      </c>
      <c r="H174" s="19" t="str" cm="1">
        <f t="array" ref="H174">"n"&amp;SUBSTITUTE(CreateGuidString(),"-","_")</f>
        <v>n2767D89E_E71F_4FC8_8795_7D76DE72136C</v>
      </c>
    </row>
    <row r="175" spans="1:8" x14ac:dyDescent="0.35">
      <c r="A1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5" s="12" t="s">
        <v>777</v>
      </c>
      <c r="C175" s="13" t="s">
        <v>1511</v>
      </c>
      <c r="D175" s="12" t="s">
        <v>1270</v>
      </c>
      <c r="E175" s="12" t="str">
        <f>IF(NodesData[[#This Row],[Class Disambiguation]]="",NodesData[[#This Row],[Common Name]],NodesData[[#This Row],[Common Name]]&amp;" ("&amp;NodesData[[#This Row],[Class Disambiguation]]&amp;")")</f>
        <v>FIM (Acronym)</v>
      </c>
      <c r="G175" s="12" t="s">
        <v>778</v>
      </c>
      <c r="H175" s="19" t="str" cm="1">
        <f t="array" ref="H175">"n"&amp;SUBSTITUTE(CreateGuidString(),"-","_")</f>
        <v>n568B7218_557D_48CD_9D34_781BAA903477</v>
      </c>
    </row>
    <row r="176" spans="1:8" x14ac:dyDescent="0.35">
      <c r="A1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6" s="32" t="s">
        <v>1922</v>
      </c>
      <c r="C176" s="13" t="s">
        <v>1931</v>
      </c>
      <c r="E176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F176" s="18"/>
      <c r="H176" s="20" t="str" cm="1">
        <f t="array" ref="H176">"n"&amp;SUBSTITUTE(CreateGuidString(),"-","_")</f>
        <v>n04A80049_BBF5_4FC8_9DB6_5B4DE8D2E87C</v>
      </c>
    </row>
    <row r="177" spans="1:8" x14ac:dyDescent="0.35">
      <c r="A1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7" s="12" t="s">
        <v>185</v>
      </c>
      <c r="C177" s="13" t="s">
        <v>1512</v>
      </c>
      <c r="E177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G177" s="12" t="s">
        <v>779</v>
      </c>
      <c r="H177" s="19" t="str" cm="1">
        <f t="array" ref="H177">"n"&amp;SUBSTITUTE(CreateGuidString(),"-","_")</f>
        <v>nF12C12A7_D287_437F_9DFD_821E01E1814F</v>
      </c>
    </row>
    <row r="178" spans="1:8" x14ac:dyDescent="0.35">
      <c r="A1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8" s="12" t="s">
        <v>1306</v>
      </c>
      <c r="C178" s="13" t="s">
        <v>1520</v>
      </c>
      <c r="E178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H178" s="19" t="str" cm="1">
        <f t="array" ref="H178">"n"&amp;SUBSTITUTE(CreateGuidString(),"-","_")</f>
        <v>nE808CE9F_F2CB_48EE_A7E3_63405F1A3CF7</v>
      </c>
    </row>
    <row r="179" spans="1:8" x14ac:dyDescent="0.35">
      <c r="A1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79" s="12" t="s">
        <v>186</v>
      </c>
      <c r="C179" s="13" t="s">
        <v>1514</v>
      </c>
      <c r="D179" s="12" t="s">
        <v>1270</v>
      </c>
      <c r="E179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G179" s="12" t="s">
        <v>780</v>
      </c>
      <c r="H179" s="19" t="str" cm="1">
        <f t="array" ref="H179">"n"&amp;SUBSTITUTE(CreateGuidString(),"-","_")</f>
        <v>nF3EF9815_2C07_4CB3_B40C_70CE1F1E136C</v>
      </c>
    </row>
    <row r="180" spans="1:8" x14ac:dyDescent="0.35">
      <c r="A1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0" s="12" t="s">
        <v>781</v>
      </c>
      <c r="C180" s="13" t="s">
        <v>1515</v>
      </c>
      <c r="E180" s="12" t="str">
        <f>IF(NodesData[[#This Row],[Class Disambiguation]]="",NodesData[[#This Row],[Common Name]],NodesData[[#This Row],[Common Name]]&amp;" ("&amp;NodesData[[#This Row],[Class Disambiguation]]&amp;")")</f>
        <v>Flexibility</v>
      </c>
      <c r="G180" s="12" t="s">
        <v>782</v>
      </c>
      <c r="H180" s="19" t="str" cm="1">
        <f t="array" ref="H180">"n"&amp;SUBSTITUTE(CreateGuidString(),"-","_")</f>
        <v>nE3080AC9_C764_46AF_BABD_85D248F69C3C</v>
      </c>
    </row>
    <row r="181" spans="1:8" x14ac:dyDescent="0.35">
      <c r="A1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1" s="12" t="s">
        <v>783</v>
      </c>
      <c r="C181" s="13" t="s">
        <v>1516</v>
      </c>
      <c r="E181" s="12" t="str">
        <f>IF(NodesData[[#This Row],[Class Disambiguation]]="",NodesData[[#This Row],[Common Name]],NodesData[[#This Row],[Common Name]]&amp;" ("&amp;NodesData[[#This Row],[Class Disambiguation]]&amp;")")</f>
        <v>Flow Analysis</v>
      </c>
      <c r="G181" s="12" t="s">
        <v>784</v>
      </c>
      <c r="H181" s="19" t="str" cm="1">
        <f t="array" ref="H181">"n"&amp;SUBSTITUTE(CreateGuidString(),"-","_")</f>
        <v>n36D539B6_3522_49D8_B094_FF0F4EFAE222</v>
      </c>
    </row>
    <row r="182" spans="1:8" x14ac:dyDescent="0.35">
      <c r="A1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2" s="12" t="s">
        <v>785</v>
      </c>
      <c r="C182" s="13" t="s">
        <v>1517</v>
      </c>
      <c r="E182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G182" s="12" t="s">
        <v>786</v>
      </c>
      <c r="H182" s="19" t="str" cm="1">
        <f t="array" ref="H182">"n"&amp;SUBSTITUTE(CreateGuidString(),"-","_")</f>
        <v>n6D3A8F47_AA79_40D7_8039_D049B6380037</v>
      </c>
    </row>
    <row r="183" spans="1:8" x14ac:dyDescent="0.35">
      <c r="A1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3" s="12" t="s">
        <v>787</v>
      </c>
      <c r="C183" s="13" t="s">
        <v>1518</v>
      </c>
      <c r="E183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G183" s="12" t="s">
        <v>788</v>
      </c>
      <c r="H183" s="19" t="str" cm="1">
        <f t="array" ref="H183">"n"&amp;SUBSTITUTE(CreateGuidString(),"-","_")</f>
        <v>nC84BE8AF_97FE_4025_A9CE_14564131C45F</v>
      </c>
    </row>
    <row r="184" spans="1:8" x14ac:dyDescent="0.35">
      <c r="A1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4" s="12" t="s">
        <v>192</v>
      </c>
      <c r="C184" s="13" t="s">
        <v>1519</v>
      </c>
      <c r="E184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G184" s="12" t="s">
        <v>789</v>
      </c>
      <c r="H184" s="19" t="str" cm="1">
        <f t="array" ref="H184">"n"&amp;SUBSTITUTE(CreateGuidString(),"-","_")</f>
        <v>n73292E2E_9F65_434B_85D6_05A5194A40B2</v>
      </c>
    </row>
    <row r="185" spans="1:8" x14ac:dyDescent="0.35">
      <c r="A1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5" s="12" t="s">
        <v>1300</v>
      </c>
      <c r="C185" s="13" t="s">
        <v>1523</v>
      </c>
      <c r="E185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H185" s="19" t="str" cm="1">
        <f t="array" ref="H185">"n"&amp;SUBSTITUTE(CreateGuidString(),"-","_")</f>
        <v>n54B5797A_AF6A_4F9C_842C_33F7173EF8D0</v>
      </c>
    </row>
    <row r="186" spans="1:8" x14ac:dyDescent="0.35">
      <c r="A1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6" s="12" t="s">
        <v>790</v>
      </c>
      <c r="C186" s="13" t="s">
        <v>1521</v>
      </c>
      <c r="E186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G186" s="12" t="s">
        <v>791</v>
      </c>
      <c r="H186" s="19" t="str" cm="1">
        <f t="array" ref="H186">"n"&amp;SUBSTITUTE(CreateGuidString(),"-","_")</f>
        <v>n697FCFAB_72C8_435C_819F_69D34EC04D44</v>
      </c>
    </row>
    <row r="187" spans="1:8" x14ac:dyDescent="0.35">
      <c r="A1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7" s="12" t="s">
        <v>792</v>
      </c>
      <c r="C187" s="13" t="s">
        <v>1522</v>
      </c>
      <c r="E187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G187" s="12" t="s">
        <v>793</v>
      </c>
      <c r="H187" s="19" t="str" cm="1">
        <f t="array" ref="H187">"n"&amp;SUBSTITUTE(CreateGuidString(),"-","_")</f>
        <v>n54CFF507_AB0A_4989_BE24_070C5D54AB9D</v>
      </c>
    </row>
    <row r="188" spans="1:8" x14ac:dyDescent="0.35">
      <c r="A1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8" s="12" t="s">
        <v>1307</v>
      </c>
      <c r="C188" s="13" t="s">
        <v>1524</v>
      </c>
      <c r="E188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H188" s="19" t="str" cm="1">
        <f t="array" ref="H188">"n"&amp;SUBSTITUTE(CreateGuidString(),"-","_")</f>
        <v>n23125A83_657A_469B_A2D1_C2B78BDDDC70</v>
      </c>
    </row>
    <row r="189" spans="1:8" x14ac:dyDescent="0.35">
      <c r="A1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89" s="12" t="s">
        <v>1305</v>
      </c>
      <c r="C189" s="13" t="s">
        <v>1525</v>
      </c>
      <c r="E189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H189" s="19" t="str" cm="1">
        <f t="array" ref="H189">"n"&amp;SUBSTITUTE(CreateGuidString(),"-","_")</f>
        <v>n39BA3A3A_8444_412B_8126_55AFD2FC290F</v>
      </c>
    </row>
    <row r="190" spans="1:8" x14ac:dyDescent="0.35">
      <c r="A1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0" s="12" t="s">
        <v>1325</v>
      </c>
      <c r="C190" s="13" t="s">
        <v>1527</v>
      </c>
      <c r="E190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H190" s="19" t="str" cm="1">
        <f t="array" ref="H190">"n"&amp;SUBSTITUTE(CreateGuidString(),"-","_")</f>
        <v>n832C7605_7514_49DD_AF8C_BA344A0F66F1</v>
      </c>
    </row>
    <row r="191" spans="1:8" x14ac:dyDescent="0.35">
      <c r="A1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1" s="12" t="s">
        <v>794</v>
      </c>
      <c r="C191" s="13" t="s">
        <v>1526</v>
      </c>
      <c r="E191" s="12" t="str">
        <f>IF(NodesData[[#This Row],[Class Disambiguation]]="",NodesData[[#This Row],[Common Name]],NodesData[[#This Row],[Common Name]]&amp;" ("&amp;NodesData[[#This Row],[Class Disambiguation]]&amp;")")</f>
        <v>Guest Account</v>
      </c>
      <c r="G191" s="12" t="s">
        <v>795</v>
      </c>
      <c r="H191" s="19" t="str" cm="1">
        <f t="array" ref="H191">"n"&amp;SUBSTITUTE(CreateGuidString(),"-","_")</f>
        <v>n697C30AA_5FE8_460A_BDBA_F73F11E3ACDC</v>
      </c>
    </row>
    <row r="192" spans="1:8" x14ac:dyDescent="0.35">
      <c r="A1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2" s="12" t="s">
        <v>1308</v>
      </c>
      <c r="C192" s="13" t="s">
        <v>1528</v>
      </c>
      <c r="E192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H192" s="19" t="str" cm="1">
        <f t="array" ref="H192">"n"&amp;SUBSTITUTE(CreateGuidString(),"-","_")</f>
        <v>n8E73D8DF_B00C_4FF2_A1FA_B2026768098F</v>
      </c>
    </row>
    <row r="193" spans="1:8" x14ac:dyDescent="0.35">
      <c r="A1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3" s="12" t="s">
        <v>1309</v>
      </c>
      <c r="C193" s="13" t="s">
        <v>1566</v>
      </c>
      <c r="E193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H193" s="19" t="str" cm="1">
        <f t="array" ref="H193">"n"&amp;SUBSTITUTE(CreateGuidString(),"-","_")</f>
        <v>n8D73E77A_77E6_4190_8AD9_52B4EC227D6A</v>
      </c>
    </row>
    <row r="194" spans="1:8" x14ac:dyDescent="0.35">
      <c r="A1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4" s="12" t="s">
        <v>796</v>
      </c>
      <c r="C194" s="13" t="s">
        <v>1529</v>
      </c>
      <c r="E194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G194" s="12" t="s">
        <v>797</v>
      </c>
      <c r="H194" s="19" t="str" cm="1">
        <f t="array" ref="H194">"n"&amp;SUBSTITUTE(CreateGuidString(),"-","_")</f>
        <v>nBF3AB5D2_872B_45B0_B1E1_A924166451D7</v>
      </c>
    </row>
    <row r="195" spans="1:8" x14ac:dyDescent="0.35">
      <c r="A1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5" s="12" t="s">
        <v>798</v>
      </c>
      <c r="C195" s="13" t="s">
        <v>1530</v>
      </c>
      <c r="E195" s="12" t="str">
        <f>IF(NodesData[[#This Row],[Class Disambiguation]]="",NodesData[[#This Row],[Common Name]],NodesData[[#This Row],[Common Name]]&amp;" ("&amp;NodesData[[#This Row],[Class Disambiguation]]&amp;")")</f>
        <v>Human Error</v>
      </c>
      <c r="G195" s="12" t="s">
        <v>799</v>
      </c>
      <c r="H195" s="19" t="str" cm="1">
        <f t="array" ref="H195">"n"&amp;SUBSTITUTE(CreateGuidString(),"-","_")</f>
        <v>nC0D5CC5E_C76B_403A_8252_AAF03AB66EE8</v>
      </c>
    </row>
    <row r="196" spans="1:8" x14ac:dyDescent="0.35">
      <c r="A1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6" s="12" t="s">
        <v>800</v>
      </c>
      <c r="C196" s="13" t="s">
        <v>1531</v>
      </c>
      <c r="E196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G196" s="12" t="s">
        <v>801</v>
      </c>
      <c r="H196" s="19" t="str" cm="1">
        <f t="array" ref="H196">"n"&amp;SUBSTITUTE(CreateGuidString(),"-","_")</f>
        <v>n22482647_05D8_451F_9881_B334B1CCC546</v>
      </c>
    </row>
    <row r="197" spans="1:8" x14ac:dyDescent="0.35">
      <c r="A1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7" s="12" t="s">
        <v>201</v>
      </c>
      <c r="C197" s="13" t="s">
        <v>1532</v>
      </c>
      <c r="D197" s="12" t="s">
        <v>1270</v>
      </c>
      <c r="E197" s="12" t="str">
        <f>IF(NodesData[[#This Row],[Class Disambiguation]]="",NodesData[[#This Row],[Common Name]],NodesData[[#This Row],[Common Name]]&amp;" ("&amp;NodesData[[#This Row],[Class Disambiguation]]&amp;")")</f>
        <v>IAG (Acronym)</v>
      </c>
      <c r="G197" s="12" t="s">
        <v>802</v>
      </c>
      <c r="H197" s="19" t="str" cm="1">
        <f t="array" ref="H197">"n"&amp;SUBSTITUTE(CreateGuidString(),"-","_")</f>
        <v>nD07714D9_3D0D_479B_8D78_0DFC96CBBDAA</v>
      </c>
    </row>
    <row r="198" spans="1:8" x14ac:dyDescent="0.35">
      <c r="A1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8" s="12" t="s">
        <v>804</v>
      </c>
      <c r="C198" s="13" t="s">
        <v>1534</v>
      </c>
      <c r="D198" s="12" t="s">
        <v>1270</v>
      </c>
      <c r="E198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G198" s="12" t="s">
        <v>805</v>
      </c>
      <c r="H198" s="19" t="str" cm="1">
        <f t="array" ref="H198">"n"&amp;SUBSTITUTE(CreateGuidString(),"-","_")</f>
        <v>n14C4639F_0C22_482A_A76B_025271F2BB4F</v>
      </c>
    </row>
    <row r="199" spans="1:8" x14ac:dyDescent="0.35">
      <c r="A1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199" s="12" t="s">
        <v>806</v>
      </c>
      <c r="C199" s="13" t="s">
        <v>1535</v>
      </c>
      <c r="E199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G199" s="12" t="s">
        <v>807</v>
      </c>
      <c r="H199" s="19" t="str" cm="1">
        <f t="array" ref="H199">"n"&amp;SUBSTITUTE(CreateGuidString(),"-","_")</f>
        <v>n544FBF8B_45CE_49DF_BE19_993C6E3C49D9</v>
      </c>
    </row>
    <row r="200" spans="1:8" x14ac:dyDescent="0.35">
      <c r="A2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0" s="12" t="s">
        <v>202</v>
      </c>
      <c r="C200" s="13" t="s">
        <v>1533</v>
      </c>
      <c r="D200" s="12" t="s">
        <v>1270</v>
      </c>
      <c r="E200" s="12" t="str">
        <f>IF(NodesData[[#This Row],[Class Disambiguation]]="",NodesData[[#This Row],[Common Name]],NodesData[[#This Row],[Common Name]]&amp;" ("&amp;NodesData[[#This Row],[Class Disambiguation]]&amp;")")</f>
        <v>IAM (Acronym)</v>
      </c>
      <c r="G200" s="12" t="s">
        <v>803</v>
      </c>
      <c r="H200" s="19" t="str" cm="1">
        <f t="array" ref="H200">"n"&amp;SUBSTITUTE(CreateGuidString(),"-","_")</f>
        <v>n98DFC7DB_B7A9_413F_AC76_64202BF52120</v>
      </c>
    </row>
    <row r="201" spans="1:8" x14ac:dyDescent="0.35">
      <c r="A2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1" s="12" t="s">
        <v>808</v>
      </c>
      <c r="C201" s="13" t="s">
        <v>1536</v>
      </c>
      <c r="D201" s="12" t="s">
        <v>1270</v>
      </c>
      <c r="E201" s="12" t="str">
        <f>IF(NodesData[[#This Row],[Class Disambiguation]]="",NodesData[[#This Row],[Common Name]],NodesData[[#This Row],[Common Name]]&amp;" ("&amp;NodesData[[#This Row],[Class Disambiguation]]&amp;")")</f>
        <v>IAP (Acronym)</v>
      </c>
      <c r="G201" s="12" t="s">
        <v>809</v>
      </c>
      <c r="H201" s="19" t="str" cm="1">
        <f t="array" ref="H201">"n"&amp;SUBSTITUTE(CreateGuidString(),"-","_")</f>
        <v>nD74DE3CA_7708_4E93_A2B2_D64C1CC3E6BB</v>
      </c>
    </row>
    <row r="202" spans="1:8" x14ac:dyDescent="0.35">
      <c r="A2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2" s="12" t="s">
        <v>810</v>
      </c>
      <c r="C202" s="13" t="s">
        <v>1537</v>
      </c>
      <c r="D202" s="12" t="s">
        <v>1270</v>
      </c>
      <c r="E202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G202" s="12" t="s">
        <v>811</v>
      </c>
      <c r="H202" s="19" t="str" cm="1">
        <f t="array" ref="H202">"n"&amp;SUBSTITUTE(CreateGuidString(),"-","_")</f>
        <v>nE5468AB4_F7EC_4DBA_8B4C_68B95D2C61D8</v>
      </c>
    </row>
    <row r="203" spans="1:8" x14ac:dyDescent="0.35">
      <c r="A2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3" s="12" t="s">
        <v>812</v>
      </c>
      <c r="C203" s="13" t="s">
        <v>1538</v>
      </c>
      <c r="E203" s="12" t="str">
        <f>IF(NodesData[[#This Row],[Class Disambiguation]]="",NodesData[[#This Row],[Common Name]],NodesData[[#This Row],[Common Name]]&amp;" ("&amp;NodesData[[#This Row],[Class Disambiguation]]&amp;")")</f>
        <v>Ideal Type</v>
      </c>
      <c r="G203" s="12" t="s">
        <v>813</v>
      </c>
      <c r="H203" s="19" t="str" cm="1">
        <f t="array" ref="H203">"n"&amp;SUBSTITUTE(CreateGuidString(),"-","_")</f>
        <v>n44C0A783_5E1D_4120_92A6_1366515BB0A9</v>
      </c>
    </row>
    <row r="204" spans="1:8" x14ac:dyDescent="0.35">
      <c r="A2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4" s="12" t="s">
        <v>814</v>
      </c>
      <c r="C204" s="13" t="s">
        <v>1539</v>
      </c>
      <c r="E204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G204" s="12" t="s">
        <v>815</v>
      </c>
      <c r="H204" s="19" t="str" cm="1">
        <f t="array" ref="H204">"n"&amp;SUBSTITUTE(CreateGuidString(),"-","_")</f>
        <v>nC8AB9C16_7989_4BBE_B6C9_D0450BFF1ADE</v>
      </c>
    </row>
    <row r="205" spans="1:8" x14ac:dyDescent="0.35">
      <c r="A2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5" s="12" t="s">
        <v>816</v>
      </c>
      <c r="C205" s="13" t="s">
        <v>1540</v>
      </c>
      <c r="E205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G205" s="12" t="s">
        <v>817</v>
      </c>
      <c r="H205" s="19" t="str" cm="1">
        <f t="array" ref="H205">"n"&amp;SUBSTITUTE(CreateGuidString(),"-","_")</f>
        <v>nFACCBE94_5226_4CB3_A76F_1E63C581A725</v>
      </c>
    </row>
    <row r="206" spans="1:8" x14ac:dyDescent="0.35">
      <c r="A2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6" s="12" t="s">
        <v>818</v>
      </c>
      <c r="C206" s="13" t="s">
        <v>1541</v>
      </c>
      <c r="E206" s="12" t="str">
        <f>IF(NodesData[[#This Row],[Class Disambiguation]]="",NodesData[[#This Row],[Common Name]],NodesData[[#This Row],[Common Name]]&amp;" ("&amp;NodesData[[#This Row],[Class Disambiguation]]&amp;")")</f>
        <v>Identifier</v>
      </c>
      <c r="G206" s="12" t="s">
        <v>819</v>
      </c>
      <c r="H206" s="19" t="str" cm="1">
        <f t="array" ref="H206">"n"&amp;SUBSTITUTE(CreateGuidString(),"-","_")</f>
        <v>n762C5D5D_1C35_46ED_9152_763EE19F0D53</v>
      </c>
    </row>
    <row r="207" spans="1:8" x14ac:dyDescent="0.35">
      <c r="A2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7" s="12" t="s">
        <v>211</v>
      </c>
      <c r="C207" s="13" t="s">
        <v>1542</v>
      </c>
      <c r="E207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G207" s="12" t="s">
        <v>820</v>
      </c>
      <c r="H207" s="19" t="str" cm="1">
        <f t="array" ref="H207">"n"&amp;SUBSTITUTE(CreateGuidString(),"-","_")</f>
        <v>n87D582A5_4409_455F_819C_D4FE49EEEB75</v>
      </c>
    </row>
    <row r="208" spans="1:8" x14ac:dyDescent="0.35">
      <c r="A2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8" s="12" t="s">
        <v>821</v>
      </c>
      <c r="C208" s="13" t="s">
        <v>1543</v>
      </c>
      <c r="E208" s="12" t="str">
        <f>IF(NodesData[[#This Row],[Class Disambiguation]]="",NodesData[[#This Row],[Common Name]],NodesData[[#This Row],[Common Name]]&amp;" ("&amp;NodesData[[#This Row],[Class Disambiguation]]&amp;")")</f>
        <v>Identity</v>
      </c>
      <c r="G208" s="12" t="s">
        <v>822</v>
      </c>
      <c r="H208" s="19" t="str" cm="1">
        <f t="array" ref="H208">"n"&amp;SUBSTITUTE(CreateGuidString(),"-","_")</f>
        <v>n1AC1CE6D_71D5_4DFB_9F10_BE85B7BAE76B</v>
      </c>
    </row>
    <row r="209" spans="1:8" x14ac:dyDescent="0.35">
      <c r="A2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09" s="12" t="s">
        <v>213</v>
      </c>
      <c r="C209" s="13" t="s">
        <v>1544</v>
      </c>
      <c r="E209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G209" s="12" t="s">
        <v>823</v>
      </c>
      <c r="H209" s="19" t="str" cm="1">
        <f t="array" ref="H209">"n"&amp;SUBSTITUTE(CreateGuidString(),"-","_")</f>
        <v>n3C36FA64_F674_404C_917A_FF2B904D3F1C</v>
      </c>
    </row>
    <row r="210" spans="1:8" x14ac:dyDescent="0.35">
      <c r="A2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0" s="12" t="s">
        <v>214</v>
      </c>
      <c r="C210" s="13" t="s">
        <v>1545</v>
      </c>
      <c r="E210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G210" s="12" t="s">
        <v>824</v>
      </c>
      <c r="H210" s="19" t="str" cm="1">
        <f t="array" ref="H210">"n"&amp;SUBSTITUTE(CreateGuidString(),"-","_")</f>
        <v>n15D68FFA_22EF_47A9_BFA3_F3FDB91C0692</v>
      </c>
    </row>
    <row r="211" spans="1:8" x14ac:dyDescent="0.35">
      <c r="A2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1" s="12" t="s">
        <v>215</v>
      </c>
      <c r="C211" s="13" t="s">
        <v>1546</v>
      </c>
      <c r="E211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G211" s="12" t="s">
        <v>825</v>
      </c>
      <c r="H211" s="19" t="str" cm="1">
        <f t="array" ref="H211">"n"&amp;SUBSTITUTE(CreateGuidString(),"-","_")</f>
        <v>n4ECE86A7_ACD5_466F_A9CE_11F737D93332</v>
      </c>
    </row>
    <row r="212" spans="1:8" x14ac:dyDescent="0.35">
      <c r="A2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2" s="12" t="s">
        <v>217</v>
      </c>
      <c r="C212" s="13" t="s">
        <v>1548</v>
      </c>
      <c r="E212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G212" s="12" t="s">
        <v>826</v>
      </c>
      <c r="H212" s="19" t="str" cm="1">
        <f t="array" ref="H212">"n"&amp;SUBSTITUTE(CreateGuidString(),"-","_")</f>
        <v>nC8170DC9_550E_406A_8769_42FE5B637637</v>
      </c>
    </row>
    <row r="213" spans="1:8" x14ac:dyDescent="0.35">
      <c r="A2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3" s="12" t="s">
        <v>827</v>
      </c>
      <c r="C213" s="13" t="s">
        <v>1549</v>
      </c>
      <c r="E213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G213" s="12" t="s">
        <v>828</v>
      </c>
      <c r="H213" s="19" t="str" cm="1">
        <f t="array" ref="H213">"n"&amp;SUBSTITUTE(CreateGuidString(),"-","_")</f>
        <v>n854736D9_B5B7_4147_83C7_E95042D23BBA</v>
      </c>
    </row>
    <row r="214" spans="1:8" x14ac:dyDescent="0.35">
      <c r="A2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4" s="32" t="s">
        <v>1924</v>
      </c>
      <c r="C214" s="13" t="s">
        <v>1932</v>
      </c>
      <c r="E214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F214" s="18"/>
      <c r="H214" s="20" t="str" cm="1">
        <f t="array" ref="H214">"n"&amp;SUBSTITUTE(CreateGuidString(),"-","_")</f>
        <v>n47482A2F_C66C_4D6B_B5AB_E7E4D5E99EAA</v>
      </c>
    </row>
    <row r="215" spans="1:8" x14ac:dyDescent="0.35">
      <c r="A2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5" s="12" t="s">
        <v>220</v>
      </c>
      <c r="C215" s="13" t="s">
        <v>1551</v>
      </c>
      <c r="E215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G215" s="12" t="s">
        <v>829</v>
      </c>
      <c r="H215" s="19" t="str" cm="1">
        <f t="array" ref="H215">"n"&amp;SUBSTITUTE(CreateGuidString(),"-","_")</f>
        <v>nCF36985D_B53F_4EA0_ADA8_586F8EF3ABA6</v>
      </c>
    </row>
    <row r="216" spans="1:8" x14ac:dyDescent="0.35">
      <c r="A2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6" s="12" t="s">
        <v>221</v>
      </c>
      <c r="C216" s="13" t="s">
        <v>1552</v>
      </c>
      <c r="E216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G216" s="12" t="s">
        <v>830</v>
      </c>
      <c r="H216" s="19" t="str" cm="1">
        <f t="array" ref="H216">"n"&amp;SUBSTITUTE(CreateGuidString(),"-","_")</f>
        <v>n1E7AAD9F_0B0A_457D_AD77_B16C3935A4BF</v>
      </c>
    </row>
    <row r="217" spans="1:8" x14ac:dyDescent="0.35">
      <c r="A2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7" s="12" t="s">
        <v>222</v>
      </c>
      <c r="C217" s="13" t="s">
        <v>1553</v>
      </c>
      <c r="E217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G217" s="12" t="s">
        <v>831</v>
      </c>
      <c r="H217" s="19" t="str" cm="1">
        <f t="array" ref="H217">"n"&amp;SUBSTITUTE(CreateGuidString(),"-","_")</f>
        <v>n341C8FB5_2582_4FF8_BE66_4B3D0B4434E3</v>
      </c>
    </row>
    <row r="218" spans="1:8" x14ac:dyDescent="0.35">
      <c r="A2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8" s="12" t="s">
        <v>832</v>
      </c>
      <c r="C218" s="13" t="s">
        <v>1554</v>
      </c>
      <c r="E218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G218" s="12" t="s">
        <v>833</v>
      </c>
      <c r="H218" s="19" t="str" cm="1">
        <f t="array" ref="H218">"n"&amp;SUBSTITUTE(CreateGuidString(),"-","_")</f>
        <v>nCFDD79DF_8050_4E47_8F56_D6E7931C1590</v>
      </c>
    </row>
    <row r="219" spans="1:8" x14ac:dyDescent="0.35">
      <c r="A2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19" s="12" t="s">
        <v>834</v>
      </c>
      <c r="C219" s="13" t="s">
        <v>1555</v>
      </c>
      <c r="E219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G219" s="12" t="s">
        <v>835</v>
      </c>
      <c r="H219" s="19" t="str" cm="1">
        <f t="array" ref="H219">"n"&amp;SUBSTITUTE(CreateGuidString(),"-","_")</f>
        <v>n27A1653F_CABF_4D2D_92C6_7C3840526A4D</v>
      </c>
    </row>
    <row r="220" spans="1:8" x14ac:dyDescent="0.35">
      <c r="A2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0" s="12" t="s">
        <v>836</v>
      </c>
      <c r="C220" s="13" t="s">
        <v>1556</v>
      </c>
      <c r="E220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G220" s="12" t="s">
        <v>837</v>
      </c>
      <c r="H220" s="19" t="str" cm="1">
        <f t="array" ref="H220">"n"&amp;SUBSTITUTE(CreateGuidString(),"-","_")</f>
        <v>n3A43773B_21A5_4870_8CA1_0C3F087A582D</v>
      </c>
    </row>
    <row r="221" spans="1:8" x14ac:dyDescent="0.35">
      <c r="A2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1" s="12" t="s">
        <v>226</v>
      </c>
      <c r="C221" s="13" t="s">
        <v>1557</v>
      </c>
      <c r="E221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G221" s="12" t="s">
        <v>838</v>
      </c>
      <c r="H221" s="19" t="str" cm="1">
        <f t="array" ref="H221">"n"&amp;SUBSTITUTE(CreateGuidString(),"-","_")</f>
        <v>n3B08CD51_9286_4CBC_B9BF_76054C602785</v>
      </c>
    </row>
    <row r="222" spans="1:8" x14ac:dyDescent="0.35">
      <c r="A2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2" s="12" t="s">
        <v>839</v>
      </c>
      <c r="C222" s="13" t="s">
        <v>1558</v>
      </c>
      <c r="E222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G222" s="12" t="s">
        <v>840</v>
      </c>
      <c r="H222" s="19" t="str" cm="1">
        <f t="array" ref="H222">"n"&amp;SUBSTITUTE(CreateGuidString(),"-","_")</f>
        <v>nA41EB39C_98C3_4D76_B867_0E3BE98DA1BB</v>
      </c>
    </row>
    <row r="223" spans="1:8" x14ac:dyDescent="0.35">
      <c r="A2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3" s="12" t="s">
        <v>841</v>
      </c>
      <c r="C223" s="13" t="s">
        <v>1559</v>
      </c>
      <c r="E223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G223" s="12" t="s">
        <v>842</v>
      </c>
      <c r="H223" s="19" t="str" cm="1">
        <f t="array" ref="H223">"n"&amp;SUBSTITUTE(CreateGuidString(),"-","_")</f>
        <v>n2EA4B5D9_3C70_429F_A5E4_FBD3B86131AC</v>
      </c>
    </row>
    <row r="224" spans="1:8" x14ac:dyDescent="0.35">
      <c r="A2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4" s="12" t="s">
        <v>843</v>
      </c>
      <c r="C224" s="13" t="s">
        <v>1560</v>
      </c>
      <c r="E224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G224" s="12" t="s">
        <v>844</v>
      </c>
      <c r="H224" s="19" t="str" cm="1">
        <f t="array" ref="H224">"n"&amp;SUBSTITUTE(CreateGuidString(),"-","_")</f>
        <v>nD3FD487B_4975_4CAA_B56A_3425C95CCE61</v>
      </c>
    </row>
    <row r="225" spans="1:8" x14ac:dyDescent="0.35">
      <c r="A2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5" s="12" t="s">
        <v>845</v>
      </c>
      <c r="C225" s="13" t="s">
        <v>1561</v>
      </c>
      <c r="E225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G225" s="12" t="s">
        <v>846</v>
      </c>
      <c r="H225" s="19" t="str" cm="1">
        <f t="array" ref="H225">"n"&amp;SUBSTITUTE(CreateGuidString(),"-","_")</f>
        <v>n25B360CC_DDE6_4FF7_93F2_BFB5814DD3D5</v>
      </c>
    </row>
    <row r="226" spans="1:8" x14ac:dyDescent="0.35">
      <c r="A2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6" s="30" t="s">
        <v>1915</v>
      </c>
      <c r="C226" s="13" t="s">
        <v>1933</v>
      </c>
      <c r="E226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F226" s="18"/>
      <c r="H226" s="20" t="str" cm="1">
        <f t="array" ref="H226">"n"&amp;SUBSTITUTE(CreateGuidString(),"-","_")</f>
        <v>nB56B79A2_C0E5_4F06_8A56_508D6FB9A1E2</v>
      </c>
    </row>
    <row r="227" spans="1:8" x14ac:dyDescent="0.35">
      <c r="A2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7" s="12" t="s">
        <v>847</v>
      </c>
      <c r="C227" s="13" t="s">
        <v>1547</v>
      </c>
      <c r="E227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G227" s="12" t="s">
        <v>848</v>
      </c>
      <c r="H227" s="19" t="str" cm="1">
        <f t="array" ref="H227">"n"&amp;SUBSTITUTE(CreateGuidString(),"-","_")</f>
        <v>n6257FBD9_ECBE_457F_B311_60AE78308B78</v>
      </c>
    </row>
    <row r="228" spans="1:8" x14ac:dyDescent="0.35">
      <c r="A2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8" s="12" t="s">
        <v>849</v>
      </c>
      <c r="C228" s="13" t="s">
        <v>1550</v>
      </c>
      <c r="E228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G228" s="12" t="s">
        <v>850</v>
      </c>
      <c r="H228" s="19" t="str" cm="1">
        <f t="array" ref="H228">"n"&amp;SUBSTITUTE(CreateGuidString(),"-","_")</f>
        <v>n294191C3_173C_4BF4_B806_ED07A85FD634</v>
      </c>
    </row>
    <row r="229" spans="1:8" x14ac:dyDescent="0.35">
      <c r="A2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29" s="12" t="s">
        <v>851</v>
      </c>
      <c r="C229" s="13" t="s">
        <v>1562</v>
      </c>
      <c r="D229" s="12" t="s">
        <v>1270</v>
      </c>
      <c r="E229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G229" s="12" t="s">
        <v>852</v>
      </c>
      <c r="H229" s="19" t="str" cm="1">
        <f t="array" ref="H229">"n"&amp;SUBSTITUTE(CreateGuidString(),"-","_")</f>
        <v>n94C6B34A_0418_4E79_84D6_72E86708946B</v>
      </c>
    </row>
    <row r="230" spans="1:8" x14ac:dyDescent="0.35">
      <c r="A2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0" s="12" t="s">
        <v>853</v>
      </c>
      <c r="C230" s="13" t="s">
        <v>1563</v>
      </c>
      <c r="D230" s="12" t="s">
        <v>1270</v>
      </c>
      <c r="E230" s="12" t="str">
        <f>IF(NodesData[[#This Row],[Class Disambiguation]]="",NodesData[[#This Row],[Common Name]],NodesData[[#This Row],[Common Name]]&amp;" ("&amp;NodesData[[#This Row],[Class Disambiguation]]&amp;")")</f>
        <v>IdP (Acronym)</v>
      </c>
      <c r="G230" s="12" t="s">
        <v>854</v>
      </c>
      <c r="H230" s="19" t="str" cm="1">
        <f t="array" ref="H230">"n"&amp;SUBSTITUTE(CreateGuidString(),"-","_")</f>
        <v>n38DAE764_5872_4967_9AF1_D0B52737E5F0</v>
      </c>
    </row>
    <row r="231" spans="1:8" x14ac:dyDescent="0.35">
      <c r="A2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1" s="33" t="s">
        <v>1926</v>
      </c>
      <c r="C231" s="13" t="s">
        <v>1935</v>
      </c>
      <c r="E231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F231" s="18"/>
      <c r="H231" s="20" t="str" cm="1">
        <f t="array" ref="H231">"n"&amp;SUBSTITUTE(CreateGuidString(),"-","_")</f>
        <v>nB0E7E4F0_F3F0_4C49_9D0E_941C9344807C</v>
      </c>
    </row>
    <row r="232" spans="1:8" x14ac:dyDescent="0.35">
      <c r="A2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2" s="12" t="s">
        <v>855</v>
      </c>
      <c r="C232" s="13" t="s">
        <v>1564</v>
      </c>
      <c r="D232" s="12" t="s">
        <v>1270</v>
      </c>
      <c r="E232" s="12" t="str">
        <f>IF(NodesData[[#This Row],[Class Disambiguation]]="",NodesData[[#This Row],[Common Name]],NodesData[[#This Row],[Common Name]]&amp;" ("&amp;NodesData[[#This Row],[Class Disambiguation]]&amp;")")</f>
        <v>IMG (Acronym)</v>
      </c>
      <c r="G232" s="12" t="s">
        <v>856</v>
      </c>
      <c r="H232" s="19" t="str" cm="1">
        <f t="array" ref="H232">"n"&amp;SUBSTITUTE(CreateGuidString(),"-","_")</f>
        <v>n96E98581_1D30_44CA_B67D_8D98E5C3B2EA</v>
      </c>
    </row>
    <row r="233" spans="1:8" x14ac:dyDescent="0.35">
      <c r="A2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3" s="12" t="s">
        <v>857</v>
      </c>
      <c r="C233" s="13" t="s">
        <v>1565</v>
      </c>
      <c r="E233" s="12" t="str">
        <f>IF(NodesData[[#This Row],[Class Disambiguation]]="",NodesData[[#This Row],[Common Name]],NodesData[[#This Row],[Common Name]]&amp;" ("&amp;NodesData[[#This Row],[Class Disambiguation]]&amp;")")</f>
        <v>Impersonation</v>
      </c>
      <c r="G233" s="12" t="s">
        <v>858</v>
      </c>
      <c r="H233" s="19" t="str" cm="1">
        <f t="array" ref="H233">"n"&amp;SUBSTITUTE(CreateGuidString(),"-","_")</f>
        <v>n33D9BF7B_395C_4BDD_8A0E_FD906E407181</v>
      </c>
    </row>
    <row r="234" spans="1:8" x14ac:dyDescent="0.35">
      <c r="A2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4" s="12" t="s">
        <v>1298</v>
      </c>
      <c r="C234" s="13" t="s">
        <v>1584</v>
      </c>
      <c r="E234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H234" s="19" t="str" cm="1">
        <f t="array" ref="H234">"n"&amp;SUBSTITUTE(CreateGuidString(),"-","_")</f>
        <v>nFA00DA05_CE5D_445F_B537_B3B271BE19E6</v>
      </c>
    </row>
    <row r="235" spans="1:8" x14ac:dyDescent="0.35">
      <c r="A2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5" s="12" t="s">
        <v>859</v>
      </c>
      <c r="C235" s="13" t="s">
        <v>1567</v>
      </c>
      <c r="E235" s="12" t="str">
        <f>IF(NodesData[[#This Row],[Class Disambiguation]]="",NodesData[[#This Row],[Common Name]],NodesData[[#This Row],[Common Name]]&amp;" ("&amp;NodesData[[#This Row],[Class Disambiguation]]&amp;")")</f>
        <v>Information</v>
      </c>
      <c r="G235" s="12" t="s">
        <v>860</v>
      </c>
      <c r="H235" s="19" t="str" cm="1">
        <f t="array" ref="H235">"n"&amp;SUBSTITUTE(CreateGuidString(),"-","_")</f>
        <v>nA75AAAC1_28A7_45F4_B043_4100F7A3A6FF</v>
      </c>
    </row>
    <row r="236" spans="1:8" x14ac:dyDescent="0.35">
      <c r="A2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6" s="12" t="s">
        <v>861</v>
      </c>
      <c r="C236" s="13" t="s">
        <v>1568</v>
      </c>
      <c r="E236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G236" s="12" t="s">
        <v>862</v>
      </c>
      <c r="H236" s="19" t="str" cm="1">
        <f t="array" ref="H236">"n"&amp;SUBSTITUTE(CreateGuidString(),"-","_")</f>
        <v>nFDFF06C5_2CCF_4BF5_AB83_3C8144D9953F</v>
      </c>
    </row>
    <row r="237" spans="1:8" x14ac:dyDescent="0.35">
      <c r="A2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7" s="12" t="s">
        <v>863</v>
      </c>
      <c r="C237" s="13" t="s">
        <v>1569</v>
      </c>
      <c r="E237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G237" s="12" t="s">
        <v>864</v>
      </c>
      <c r="H237" s="19" t="str" cm="1">
        <f t="array" ref="H237">"n"&amp;SUBSTITUTE(CreateGuidString(),"-","_")</f>
        <v>nF722A8EC_FCCB_4A57_9807_00B9F71BC3B0</v>
      </c>
    </row>
    <row r="238" spans="1:8" x14ac:dyDescent="0.35">
      <c r="A2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8" s="12" t="s">
        <v>865</v>
      </c>
      <c r="C238" s="13" t="s">
        <v>1570</v>
      </c>
      <c r="E238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G238" s="12" t="s">
        <v>866</v>
      </c>
      <c r="H238" s="19" t="str" cm="1">
        <f t="array" ref="H238">"n"&amp;SUBSTITUTE(CreateGuidString(),"-","_")</f>
        <v>nE7FCED00_05E0_447F_8167_6191C8D30A4A</v>
      </c>
    </row>
    <row r="239" spans="1:8" x14ac:dyDescent="0.35">
      <c r="A2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39" s="12" t="s">
        <v>867</v>
      </c>
      <c r="C239" s="13" t="s">
        <v>1571</v>
      </c>
      <c r="E239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G239" s="12" t="s">
        <v>868</v>
      </c>
      <c r="H239" s="19" t="str" cm="1">
        <f t="array" ref="H239">"n"&amp;SUBSTITUTE(CreateGuidString(),"-","_")</f>
        <v>nB1E0B0C7_E4EE_4E7A_8724_45A675BEC42B</v>
      </c>
    </row>
    <row r="240" spans="1:8" x14ac:dyDescent="0.35">
      <c r="A2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0" s="12" t="s">
        <v>247</v>
      </c>
      <c r="C240" s="13" t="s">
        <v>1572</v>
      </c>
      <c r="E240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G240" s="12" t="s">
        <v>869</v>
      </c>
      <c r="H240" s="19" t="str" cm="1">
        <f t="array" ref="H240">"n"&amp;SUBSTITUTE(CreateGuidString(),"-","_")</f>
        <v>nEC7BF6DF_5F5F_47CE_B643_BF9E6051BAFE</v>
      </c>
    </row>
    <row r="241" spans="1:8" x14ac:dyDescent="0.35">
      <c r="A2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1" s="12" t="s">
        <v>248</v>
      </c>
      <c r="C241" s="13" t="s">
        <v>1573</v>
      </c>
      <c r="E241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G241" s="12" t="s">
        <v>870</v>
      </c>
      <c r="H241" s="19" t="str" cm="1">
        <f t="array" ref="H241">"n"&amp;SUBSTITUTE(CreateGuidString(),"-","_")</f>
        <v>n338923B0_1E07_494D_BFB4_981FC1D31731</v>
      </c>
    </row>
    <row r="242" spans="1:8" x14ac:dyDescent="0.35">
      <c r="A2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2" s="12" t="s">
        <v>1294</v>
      </c>
      <c r="C242" s="13" t="s">
        <v>1574</v>
      </c>
      <c r="E242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H242" s="19" t="str" cm="1">
        <f t="array" ref="H242">"n"&amp;SUBSTITUTE(CreateGuidString(),"-","_")</f>
        <v>n742310B7_C5F6_47A2_9C06_BA065696F157</v>
      </c>
    </row>
    <row r="243" spans="1:8" x14ac:dyDescent="0.35">
      <c r="A2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3" s="12" t="s">
        <v>250</v>
      </c>
      <c r="C243" s="13" t="s">
        <v>1575</v>
      </c>
      <c r="E243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G243" s="12" t="s">
        <v>871</v>
      </c>
      <c r="H243" s="19" t="str" cm="1">
        <f t="array" ref="H243">"n"&amp;SUBSTITUTE(CreateGuidString(),"-","_")</f>
        <v>n1A21984B_DC70_49B5_B11B_8C461F626744</v>
      </c>
    </row>
    <row r="244" spans="1:8" x14ac:dyDescent="0.35">
      <c r="A2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</v>
      </c>
      <c r="B244" s="12" t="s">
        <v>251</v>
      </c>
      <c r="C244" s="13" t="s">
        <v>1576</v>
      </c>
      <c r="E244" s="12" t="str">
        <f>IF(NodesData[[#This Row],[Class Disambiguation]]="",NodesData[[#This Row],[Common Name]],NodesData[[#This Row],[Common Name]]&amp;" ("&amp;NodesData[[#This Row],[Class Disambiguation]]&amp;")")</f>
        <v>Insider</v>
      </c>
      <c r="G244" s="12" t="s">
        <v>872</v>
      </c>
      <c r="H244" s="19" t="str" cm="1">
        <f t="array" ref="H244">"n"&amp;SUBSTITUTE(CreateGuidString(),"-","_")</f>
        <v>n5E7A7AE2_CEC6_4C31_967A_27064F50BCDA</v>
      </c>
    </row>
    <row r="245" spans="1:8" x14ac:dyDescent="0.35">
      <c r="A2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5" s="12" t="s">
        <v>252</v>
      </c>
      <c r="C245" s="13" t="s">
        <v>1577</v>
      </c>
      <c r="E245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G245" s="12" t="s">
        <v>873</v>
      </c>
      <c r="H245" s="19" t="str" cm="1">
        <f t="array" ref="H245">"n"&amp;SUBSTITUTE(CreateGuidString(),"-","_")</f>
        <v>n30ADC155_0C4E_475B_A4CB_3C9B1B824AE7</v>
      </c>
    </row>
    <row r="246" spans="1:8" x14ac:dyDescent="0.35">
      <c r="A2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6" s="12" t="s">
        <v>253</v>
      </c>
      <c r="C246" s="13" t="s">
        <v>1578</v>
      </c>
      <c r="E246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G246" s="12" t="s">
        <v>874</v>
      </c>
      <c r="H246" s="19" t="str" cm="1">
        <f t="array" ref="H246">"n"&amp;SUBSTITUTE(CreateGuidString(),"-","_")</f>
        <v>n8F52C560_B620_4CF3_8749_951E02D4BB8C</v>
      </c>
    </row>
    <row r="247" spans="1:8" x14ac:dyDescent="0.35">
      <c r="A2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7" s="12" t="s">
        <v>875</v>
      </c>
      <c r="C247" s="13" t="s">
        <v>1579</v>
      </c>
      <c r="E247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G247" s="12" t="s">
        <v>876</v>
      </c>
      <c r="H247" s="19" t="str" cm="1">
        <f t="array" ref="H247">"n"&amp;SUBSTITUTE(CreateGuidString(),"-","_")</f>
        <v>n691AD144_8C47_45CE_B05F_86ABCD66CFC7</v>
      </c>
    </row>
    <row r="248" spans="1:8" x14ac:dyDescent="0.35">
      <c r="A2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8" s="12" t="s">
        <v>877</v>
      </c>
      <c r="C248" s="13" t="s">
        <v>1580</v>
      </c>
      <c r="E248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G248" s="12" t="s">
        <v>878</v>
      </c>
      <c r="H248" s="19" t="str" cm="1">
        <f t="array" ref="H248">"n"&amp;SUBSTITUTE(CreateGuidString(),"-","_")</f>
        <v>n1FFB3CA9_9EF3_4741_9493_A7026415E6F3</v>
      </c>
    </row>
    <row r="249" spans="1:8" x14ac:dyDescent="0.35">
      <c r="A2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49" s="12" t="s">
        <v>879</v>
      </c>
      <c r="C249" s="13" t="s">
        <v>1581</v>
      </c>
      <c r="E249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G249" s="12" t="s">
        <v>880</v>
      </c>
      <c r="H249" s="19" t="str" cm="1">
        <f t="array" ref="H249">"n"&amp;SUBSTITUTE(CreateGuidString(),"-","_")</f>
        <v>nBD05EF56_5E42_4A31_8134_42B821700883</v>
      </c>
    </row>
    <row r="250" spans="1:8" x14ac:dyDescent="0.35">
      <c r="A2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0" s="12" t="s">
        <v>881</v>
      </c>
      <c r="C250" s="13" t="s">
        <v>1582</v>
      </c>
      <c r="E250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G250" s="12" t="s">
        <v>882</v>
      </c>
      <c r="H250" s="19" t="str" cm="1">
        <f t="array" ref="H250">"n"&amp;SUBSTITUTE(CreateGuidString(),"-","_")</f>
        <v>nF3CAAD48_5CE4_4D86_A59F_92D0271548BD</v>
      </c>
    </row>
    <row r="251" spans="1:8" x14ac:dyDescent="0.35">
      <c r="A2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1" s="12" t="s">
        <v>883</v>
      </c>
      <c r="C251" s="13" t="s">
        <v>1583</v>
      </c>
      <c r="E251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G251" s="12" t="s">
        <v>884</v>
      </c>
      <c r="H251" s="19" t="str" cm="1">
        <f t="array" ref="H251">"n"&amp;SUBSTITUTE(CreateGuidString(),"-","_")</f>
        <v>n8E9BA645_7AB8_4EAB_83EF_E608B2E52B4E</v>
      </c>
    </row>
    <row r="252" spans="1:8" x14ac:dyDescent="0.35">
      <c r="A2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2" s="12" t="s">
        <v>1310</v>
      </c>
      <c r="C252" s="13" t="s">
        <v>1597</v>
      </c>
      <c r="E252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H252" s="19" t="str" cm="1">
        <f t="array" ref="H252">"n"&amp;SUBSTITUTE(CreateGuidString(),"-","_")</f>
        <v>n0DFBEF04_F728_4F68_A754_62843F58FB27</v>
      </c>
    </row>
    <row r="253" spans="1:8" x14ac:dyDescent="0.35">
      <c r="A2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3" s="12" t="s">
        <v>885</v>
      </c>
      <c r="C253" s="13" t="s">
        <v>1585</v>
      </c>
      <c r="E253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G253" s="12" t="s">
        <v>886</v>
      </c>
      <c r="H253" s="19" t="str" cm="1">
        <f t="array" ref="H253">"n"&amp;SUBSTITUTE(CreateGuidString(),"-","_")</f>
        <v>nCE2DB875_D31E_44C1_A0AE_F5C9F3D86CEF</v>
      </c>
    </row>
    <row r="254" spans="1:8" x14ac:dyDescent="0.35">
      <c r="A2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4" s="12" t="s">
        <v>887</v>
      </c>
      <c r="C254" s="13" t="s">
        <v>1586</v>
      </c>
      <c r="E254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G254" s="12" t="s">
        <v>888</v>
      </c>
      <c r="H254" s="19" t="str" cm="1">
        <f t="array" ref="H254">"n"&amp;SUBSTITUTE(CreateGuidString(),"-","_")</f>
        <v>nC1F1BF37_6377_4867_9054_68FE5970CA11</v>
      </c>
    </row>
    <row r="255" spans="1:8" x14ac:dyDescent="0.35">
      <c r="A2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5" s="12" t="s">
        <v>1341</v>
      </c>
      <c r="C255" s="13" t="s">
        <v>1840</v>
      </c>
      <c r="E255" s="18" t="str">
        <f>IF(NodesData[[#This Row],[Class Disambiguation]]="",NodesData[[#This Row],[Common Name]],NodesData[[#This Row],[Common Name]]&amp;" ("&amp;NodesData[[#This Row],[Class Disambiguation]]&amp;")")</f>
        <v>IT Component</v>
      </c>
      <c r="F255" s="18"/>
      <c r="H255" s="19" t="str" cm="1">
        <f t="array" ref="H255">"n"&amp;SUBSTITUTE(CreateGuidString(),"-","_")</f>
        <v>n73CD2BA2_771C_4807_ACA7_416BC845CF06</v>
      </c>
    </row>
    <row r="256" spans="1:8" x14ac:dyDescent="0.35">
      <c r="A2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6" s="12" t="s">
        <v>1342</v>
      </c>
      <c r="C256" s="13" t="s">
        <v>1844</v>
      </c>
      <c r="E256" s="18" t="str">
        <f>IF(NodesData[[#This Row],[Class Disambiguation]]="",NodesData[[#This Row],[Common Name]],NodesData[[#This Row],[Common Name]]&amp;" ("&amp;NodesData[[#This Row],[Class Disambiguation]]&amp;")")</f>
        <v>IT Hardware</v>
      </c>
      <c r="F256" s="18"/>
      <c r="H256" s="20" t="str" cm="1">
        <f t="array" ref="H256">"n"&amp;SUBSTITUTE(CreateGuidString(),"-","_")</f>
        <v>nCD3CBD3E_EEE7_48CC_BA34_F34BCD80FE59</v>
      </c>
    </row>
    <row r="257" spans="1:8" x14ac:dyDescent="0.35">
      <c r="A2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7" s="12" t="s">
        <v>1344</v>
      </c>
      <c r="C257" s="13" t="s">
        <v>1845</v>
      </c>
      <c r="E257" s="18" t="str">
        <f>IF(NodesData[[#This Row],[Class Disambiguation]]="",NodesData[[#This Row],[Common Name]],NodesData[[#This Row],[Common Name]]&amp;" ("&amp;NodesData[[#This Row],[Class Disambiguation]]&amp;")")</f>
        <v>IT Software</v>
      </c>
      <c r="F257" s="18"/>
      <c r="H257" s="20" t="str" cm="1">
        <f t="array" ref="H257">"n"&amp;SUBSTITUTE(CreateGuidString(),"-","_")</f>
        <v>nBCF3927F_305D_4965_BD66_AE447B758C87</v>
      </c>
    </row>
    <row r="258" spans="1:8" x14ac:dyDescent="0.35">
      <c r="A2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8" s="12" t="s">
        <v>261</v>
      </c>
      <c r="C258" s="13" t="s">
        <v>1587</v>
      </c>
      <c r="E258" s="12" t="str">
        <f>IF(NodesData[[#This Row],[Class Disambiguation]]="",NodesData[[#This Row],[Common Name]],NodesData[[#This Row],[Common Name]]&amp;" ("&amp;NodesData[[#This Row],[Class Disambiguation]]&amp;")")</f>
        <v>IT System</v>
      </c>
      <c r="G258" s="12" t="s">
        <v>889</v>
      </c>
      <c r="H258" s="19" t="str" cm="1">
        <f t="array" ref="H258">"n"&amp;SUBSTITUTE(CreateGuidString(),"-","_")</f>
        <v>nEEFBF799_7AA6_4F9A_8147_02D9BEC6F66E</v>
      </c>
    </row>
    <row r="259" spans="1:8" x14ac:dyDescent="0.35">
      <c r="A2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59" s="12" t="s">
        <v>890</v>
      </c>
      <c r="C259" s="13" t="s">
        <v>1588</v>
      </c>
      <c r="D259" s="12" t="s">
        <v>1270</v>
      </c>
      <c r="E259" s="12" t="str">
        <f>IF(NodesData[[#This Row],[Class Disambiguation]]="",NodesData[[#This Row],[Common Name]],NodesData[[#This Row],[Common Name]]&amp;" ("&amp;NodesData[[#This Row],[Class Disambiguation]]&amp;")")</f>
        <v>JML (Acronym)</v>
      </c>
      <c r="G259" s="12" t="s">
        <v>891</v>
      </c>
      <c r="H259" s="19" t="str" cm="1">
        <f t="array" ref="H259">"n"&amp;SUBSTITUTE(CreateGuidString(),"-","_")</f>
        <v>nE3216913_DFB7_462C_A036_031D2FB8901D</v>
      </c>
    </row>
    <row r="260" spans="1:8" x14ac:dyDescent="0.35">
      <c r="A2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</v>
      </c>
      <c r="B260" s="12" t="s">
        <v>892</v>
      </c>
      <c r="C260" s="13" t="s">
        <v>1589</v>
      </c>
      <c r="E260" s="12" t="str">
        <f>IF(NodesData[[#This Row],[Class Disambiguation]]="",NodesData[[#This Row],[Common Name]],NodesData[[#This Row],[Common Name]]&amp;" ("&amp;NodesData[[#This Row],[Class Disambiguation]]&amp;")")</f>
        <v>Joiner</v>
      </c>
      <c r="G260" s="12" t="s">
        <v>893</v>
      </c>
      <c r="H260" s="19" t="str" cm="1">
        <f t="array" ref="H260">"n"&amp;SUBSTITUTE(CreateGuidString(),"-","_")</f>
        <v>nFE4A6034_8BD9_4B88_89C0_BC9681D894DE</v>
      </c>
    </row>
    <row r="261" spans="1:8" x14ac:dyDescent="0.35">
      <c r="A2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1" s="12" t="s">
        <v>894</v>
      </c>
      <c r="C261" s="13" t="s">
        <v>1590</v>
      </c>
      <c r="E261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G261" s="12" t="s">
        <v>895</v>
      </c>
      <c r="H261" s="19" t="str" cm="1">
        <f t="array" ref="H261">"n"&amp;SUBSTITUTE(CreateGuidString(),"-","_")</f>
        <v>n51E01C4F_D89A_4FD4_892C_2C6358B7DB5E</v>
      </c>
    </row>
    <row r="262" spans="1:8" x14ac:dyDescent="0.35">
      <c r="A2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2" s="12" t="s">
        <v>896</v>
      </c>
      <c r="C262" s="13" t="s">
        <v>1591</v>
      </c>
      <c r="E262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G262" s="12" t="s">
        <v>897</v>
      </c>
      <c r="H262" s="19" t="str" cm="1">
        <f t="array" ref="H262">"n"&amp;SUBSTITUTE(CreateGuidString(),"-","_")</f>
        <v>n04B6A6EC_D002_4DEF_B6A4_B08F87FE6EA1</v>
      </c>
    </row>
    <row r="263" spans="1:8" x14ac:dyDescent="0.35">
      <c r="A2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3" s="12" t="s">
        <v>898</v>
      </c>
      <c r="C263" s="13" t="s">
        <v>1592</v>
      </c>
      <c r="E263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G263" s="12" t="s">
        <v>899</v>
      </c>
      <c r="H263" s="19" t="str" cm="1">
        <f t="array" ref="H263">"n"&amp;SUBSTITUTE(CreateGuidString(),"-","_")</f>
        <v>nF89C9A46_755D_4136_AC1C_9B89A107ADAF</v>
      </c>
    </row>
    <row r="264" spans="1:8" x14ac:dyDescent="0.35">
      <c r="A2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4" s="12" t="s">
        <v>900</v>
      </c>
      <c r="C264" s="13" t="s">
        <v>1593</v>
      </c>
      <c r="E264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G264" s="12" t="s">
        <v>901</v>
      </c>
      <c r="H264" s="19" t="str" cm="1">
        <f t="array" ref="H264">"n"&amp;SUBSTITUTE(CreateGuidString(),"-","_")</f>
        <v>n3F1D8DAF_CE15_4F97_ADC8_C24234EDFEBF</v>
      </c>
    </row>
    <row r="265" spans="1:8" x14ac:dyDescent="0.35">
      <c r="A2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5" s="12" t="s">
        <v>902</v>
      </c>
      <c r="C265" s="13" t="s">
        <v>1594</v>
      </c>
      <c r="E265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G265" s="12" t="s">
        <v>903</v>
      </c>
      <c r="H265" s="19" t="str" cm="1">
        <f t="array" ref="H265">"n"&amp;SUBSTITUTE(CreateGuidString(),"-","_")</f>
        <v>n20E9ADE3_C268_46CC_AC16_833C3DF38321</v>
      </c>
    </row>
    <row r="266" spans="1:8" x14ac:dyDescent="0.35">
      <c r="A2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6" s="12" t="s">
        <v>904</v>
      </c>
      <c r="C266" s="13" t="s">
        <v>1595</v>
      </c>
      <c r="E266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G266" s="12" t="s">
        <v>905</v>
      </c>
      <c r="H266" s="19" t="str" cm="1">
        <f t="array" ref="H266">"n"&amp;SUBSTITUTE(CreateGuidString(),"-","_")</f>
        <v>n0A5E2015_59C5_4644_A296_B5CA0AE2A80C</v>
      </c>
    </row>
    <row r="267" spans="1:8" x14ac:dyDescent="0.35">
      <c r="A2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7" s="12" t="s">
        <v>906</v>
      </c>
      <c r="C267" s="13" t="s">
        <v>1596</v>
      </c>
      <c r="E267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G267" s="12" t="s">
        <v>907</v>
      </c>
      <c r="H267" s="19" t="str" cm="1">
        <f t="array" ref="H267">"n"&amp;SUBSTITUTE(CreateGuidString(),"-","_")</f>
        <v>n33E19E64_2FC8_424B_B624_11E8AC69B16E</v>
      </c>
    </row>
    <row r="268" spans="1:8" x14ac:dyDescent="0.35">
      <c r="A2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8" s="12" t="s">
        <v>1311</v>
      </c>
      <c r="C268" s="13" t="s">
        <v>1599</v>
      </c>
      <c r="E268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H268" s="19" t="str" cm="1">
        <f t="array" ref="H268">"n"&amp;SUBSTITUTE(CreateGuidString(),"-","_")</f>
        <v>n33B2A7DF_1A5C_45B2_9AA9_A86E98546488</v>
      </c>
    </row>
    <row r="269" spans="1:8" x14ac:dyDescent="0.35">
      <c r="A2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69" s="12" t="s">
        <v>2</v>
      </c>
      <c r="C269" s="13" t="s">
        <v>1598</v>
      </c>
      <c r="E269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H269" s="19" t="str" cm="1">
        <f t="array" ref="H269">"n"&amp;SUBSTITUTE(CreateGuidString(),"-","_")</f>
        <v>nAB741396_E500_4976_AB6C_88DE9070A34C</v>
      </c>
    </row>
    <row r="270" spans="1:8" x14ac:dyDescent="0.35">
      <c r="A2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0" s="12" t="s">
        <v>1313</v>
      </c>
      <c r="C270" s="13" t="s">
        <v>1620</v>
      </c>
      <c r="E270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H270" s="19" t="str" cm="1">
        <f t="array" ref="H270">"n"&amp;SUBSTITUTE(CreateGuidString(),"-","_")</f>
        <v>n9B16A34D_2710_4415_94E3_D5C08C0141B9</v>
      </c>
    </row>
    <row r="271" spans="1:8" x14ac:dyDescent="0.35">
      <c r="A2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1" s="12" t="s">
        <v>910</v>
      </c>
      <c r="C271" s="13" t="s">
        <v>1601</v>
      </c>
      <c r="E271" s="12" t="str">
        <f>IF(NodesData[[#This Row],[Class Disambiguation]]="",NodesData[[#This Row],[Common Name]],NodesData[[#This Row],[Common Name]]&amp;" ("&amp;NodesData[[#This Row],[Class Disambiguation]]&amp;")")</f>
        <v>KYC Registry</v>
      </c>
      <c r="G271" s="12" t="s">
        <v>911</v>
      </c>
      <c r="H271" s="19" t="str" cm="1">
        <f t="array" ref="H271">"n"&amp;SUBSTITUTE(CreateGuidString(),"-","_")</f>
        <v>n3819D895_B67E_4C83_B2F1_8B820DD9C12B</v>
      </c>
    </row>
    <row r="272" spans="1:8" x14ac:dyDescent="0.35">
      <c r="A2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2" s="12" t="s">
        <v>908</v>
      </c>
      <c r="C272" s="13" t="s">
        <v>1600</v>
      </c>
      <c r="D272" s="12" t="s">
        <v>1270</v>
      </c>
      <c r="E272" s="12" t="str">
        <f>IF(NodesData[[#This Row],[Class Disambiguation]]="",NodesData[[#This Row],[Common Name]],NodesData[[#This Row],[Common Name]]&amp;" ("&amp;NodesData[[#This Row],[Class Disambiguation]]&amp;")")</f>
        <v>KYC (Acronym)</v>
      </c>
      <c r="G272" s="12" t="s">
        <v>909</v>
      </c>
      <c r="H272" s="19" t="str" cm="1">
        <f t="array" ref="H272">"n"&amp;SUBSTITUTE(CreateGuidString(),"-","_")</f>
        <v>n3811F88A_3582_4A3F_AD91_BE3FAC26BC1D</v>
      </c>
    </row>
    <row r="273" spans="1:8" x14ac:dyDescent="0.35">
      <c r="A2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3" s="12" t="s">
        <v>912</v>
      </c>
      <c r="C273" s="13" t="s">
        <v>1602</v>
      </c>
      <c r="E273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G273" s="12" t="s">
        <v>913</v>
      </c>
      <c r="H273" s="19" t="str" cm="1">
        <f t="array" ref="H273">"n"&amp;SUBSTITUTE(CreateGuidString(),"-","_")</f>
        <v>n0BA83A59_1826_4553_939F_857CF87D1150</v>
      </c>
    </row>
    <row r="274" spans="1:8" x14ac:dyDescent="0.35">
      <c r="A2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4" s="12" t="s">
        <v>914</v>
      </c>
      <c r="C274" s="13" t="s">
        <v>1603</v>
      </c>
      <c r="E274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G274" s="12" t="s">
        <v>915</v>
      </c>
      <c r="H274" s="19" t="str" cm="1">
        <f t="array" ref="H274">"n"&amp;SUBSTITUTE(CreateGuidString(),"-","_")</f>
        <v>n510D0BD9_B578_4990_860F_65D173E8E9C0</v>
      </c>
    </row>
    <row r="275" spans="1:8" x14ac:dyDescent="0.35">
      <c r="A2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5" s="12" t="s">
        <v>916</v>
      </c>
      <c r="C275" s="13" t="s">
        <v>1604</v>
      </c>
      <c r="D275" s="12" t="s">
        <v>1270</v>
      </c>
      <c r="E275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G275" s="12" t="s">
        <v>917</v>
      </c>
      <c r="H275" s="19" t="str" cm="1">
        <f t="array" ref="H275">"n"&amp;SUBSTITUTE(CreateGuidString(),"-","_")</f>
        <v>n8E486F01_1D1E_481F_91C9_E7F6CB1E086D</v>
      </c>
    </row>
    <row r="276" spans="1:8" x14ac:dyDescent="0.35">
      <c r="A2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6" s="12" t="s">
        <v>918</v>
      </c>
      <c r="C276" s="13" t="s">
        <v>1605</v>
      </c>
      <c r="E276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G276" s="12" t="s">
        <v>919</v>
      </c>
      <c r="H276" s="19" t="str" cm="1">
        <f t="array" ref="H276">"n"&amp;SUBSTITUTE(CreateGuidString(),"-","_")</f>
        <v>n78B8CA65_AC72_44FD_800D_772CE7723A4F</v>
      </c>
    </row>
    <row r="277" spans="1:8" x14ac:dyDescent="0.35">
      <c r="A2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7" s="12" t="s">
        <v>920</v>
      </c>
      <c r="C277" s="13" t="s">
        <v>1606</v>
      </c>
      <c r="E277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G277" s="12" t="s">
        <v>921</v>
      </c>
      <c r="H277" s="19" t="str" cm="1">
        <f t="array" ref="H277">"n"&amp;SUBSTITUTE(CreateGuidString(),"-","_")</f>
        <v>nAE0D3ACB_89AD_4D1C_9C63_8FE5D6BC7397</v>
      </c>
    </row>
    <row r="278" spans="1:8" x14ac:dyDescent="0.35">
      <c r="A2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8" s="12" t="s">
        <v>922</v>
      </c>
      <c r="C278" s="13" t="s">
        <v>1607</v>
      </c>
      <c r="E278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G278" s="12" t="s">
        <v>923</v>
      </c>
      <c r="H278" s="19" t="str" cm="1">
        <f t="array" ref="H278">"n"&amp;SUBSTITUTE(CreateGuidString(),"-","_")</f>
        <v>n7CA6E3ED_B471_4008_8A94_D10EE2CEE09A</v>
      </c>
    </row>
    <row r="279" spans="1:8" x14ac:dyDescent="0.35">
      <c r="A2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79" s="12" t="s">
        <v>924</v>
      </c>
      <c r="C279" s="13" t="s">
        <v>1608</v>
      </c>
      <c r="E279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G279" s="12" t="s">
        <v>925</v>
      </c>
      <c r="H279" s="19" t="str" cm="1">
        <f t="array" ref="H279">"n"&amp;SUBSTITUTE(CreateGuidString(),"-","_")</f>
        <v>nCC76A166_9D57_4102_ACDD_D8E6B041E026</v>
      </c>
    </row>
    <row r="280" spans="1:8" x14ac:dyDescent="0.35">
      <c r="A2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0" s="12" t="s">
        <v>926</v>
      </c>
      <c r="C280" s="13" t="s">
        <v>1609</v>
      </c>
      <c r="D280" s="12" t="s">
        <v>1270</v>
      </c>
      <c r="E280" s="12" t="str">
        <f>IF(NodesData[[#This Row],[Class Disambiguation]]="",NodesData[[#This Row],[Common Name]],NodesData[[#This Row],[Common Name]]&amp;" ("&amp;NodesData[[#This Row],[Class Disambiguation]]&amp;")")</f>
        <v>LEI (Acronym)</v>
      </c>
      <c r="G280" s="12" t="s">
        <v>927</v>
      </c>
      <c r="H280" s="19" t="str" cm="1">
        <f t="array" ref="H280">"n"&amp;SUBSTITUTE(CreateGuidString(),"-","_")</f>
        <v>n56F7C981_C8B2_430F_850D_6D1BF60156DC</v>
      </c>
    </row>
    <row r="281" spans="1:8" x14ac:dyDescent="0.35">
      <c r="A2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1" s="12" t="s">
        <v>928</v>
      </c>
      <c r="C281" s="13" t="s">
        <v>1610</v>
      </c>
      <c r="E281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G281" s="12" t="s">
        <v>929</v>
      </c>
      <c r="H281" s="19" t="str" cm="1">
        <f t="array" ref="H281">"n"&amp;SUBSTITUTE(CreateGuidString(),"-","_")</f>
        <v>n6CDE4EA0_85F9_4109_BA6F_A704B5B3A915</v>
      </c>
    </row>
    <row r="282" spans="1:8" x14ac:dyDescent="0.35">
      <c r="A2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2" s="12" t="s">
        <v>930</v>
      </c>
      <c r="C282" s="13" t="s">
        <v>1611</v>
      </c>
      <c r="E282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G282" s="12" t="s">
        <v>931</v>
      </c>
      <c r="H282" s="19" t="str" cm="1">
        <f t="array" ref="H282">"n"&amp;SUBSTITUTE(CreateGuidString(),"-","_")</f>
        <v>n4F728FCD_E103_41C5_99A5_729B8B8916EC</v>
      </c>
    </row>
    <row r="283" spans="1:8" x14ac:dyDescent="0.35">
      <c r="A2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3" s="12" t="s">
        <v>932</v>
      </c>
      <c r="C283" s="13" t="s">
        <v>1612</v>
      </c>
      <c r="D283" s="12" t="s">
        <v>1270</v>
      </c>
      <c r="E283" s="12" t="str">
        <f>IF(NodesData[[#This Row],[Class Disambiguation]]="",NodesData[[#This Row],[Common Name]],NodesData[[#This Row],[Common Name]]&amp;" ("&amp;NodesData[[#This Row],[Class Disambiguation]]&amp;")")</f>
        <v>LOA (Acronym)</v>
      </c>
      <c r="G283" s="12" t="s">
        <v>933</v>
      </c>
      <c r="H283" s="19" t="str" cm="1">
        <f t="array" ref="H283">"n"&amp;SUBSTITUTE(CreateGuidString(),"-","_")</f>
        <v>n39367785_2E85_4A7C_AAF7_D75410A7B27B</v>
      </c>
    </row>
    <row r="284" spans="1:8" x14ac:dyDescent="0.35">
      <c r="A2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4" s="12" t="s">
        <v>1296</v>
      </c>
      <c r="C284" s="13" t="s">
        <v>1613</v>
      </c>
      <c r="E284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H284" s="19" t="str" cm="1">
        <f t="array" ref="H284">"n"&amp;SUBSTITUTE(CreateGuidString(),"-","_")</f>
        <v>n2FFB5F9F_3AFA_4AEF_B125_F257E0D255BA</v>
      </c>
    </row>
    <row r="285" spans="1:8" x14ac:dyDescent="0.35">
      <c r="A2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5" s="12" t="s">
        <v>285</v>
      </c>
      <c r="C285" s="13" t="s">
        <v>1614</v>
      </c>
      <c r="E285" s="12" t="str">
        <f>IF(NodesData[[#This Row],[Class Disambiguation]]="",NodesData[[#This Row],[Common Name]],NodesData[[#This Row],[Common Name]]&amp;" ("&amp;NodesData[[#This Row],[Class Disambiguation]]&amp;")")</f>
        <v>Logic Bomb</v>
      </c>
      <c r="G285" s="12" t="s">
        <v>934</v>
      </c>
      <c r="H285" s="19" t="str" cm="1">
        <f t="array" ref="H285">"n"&amp;SUBSTITUTE(CreateGuidString(),"-","_")</f>
        <v>n37A6D70F_AA32_411F_B768_9A37AD7D0758</v>
      </c>
    </row>
    <row r="286" spans="1:8" x14ac:dyDescent="0.35">
      <c r="A2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</v>
      </c>
      <c r="B286" s="12" t="s">
        <v>286</v>
      </c>
      <c r="C286" s="13" t="s">
        <v>1615</v>
      </c>
      <c r="E286" s="12" t="str">
        <f>IF(NodesData[[#This Row],[Class Disambiguation]]="",NodesData[[#This Row],[Common Name]],NodesData[[#This Row],[Common Name]]&amp;" ("&amp;NodesData[[#This Row],[Class Disambiguation]]&amp;")")</f>
        <v>Login</v>
      </c>
      <c r="G286" s="12" t="s">
        <v>935</v>
      </c>
      <c r="H286" s="19" t="str" cm="1">
        <f t="array" ref="H286">"n"&amp;SUBSTITUTE(CreateGuidString(),"-","_")</f>
        <v>n036D15C3_6AF7_4495_9B32_4F8876021EC0</v>
      </c>
    </row>
    <row r="287" spans="1:8" x14ac:dyDescent="0.35">
      <c r="A2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7" s="12" t="s">
        <v>287</v>
      </c>
      <c r="C287" s="13" t="s">
        <v>1616</v>
      </c>
      <c r="D287" s="12" t="s">
        <v>1270</v>
      </c>
      <c r="E287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G287" s="12" t="s">
        <v>936</v>
      </c>
      <c r="H287" s="19" t="str" cm="1">
        <f t="array" ref="H287">"n"&amp;SUBSTITUTE(CreateGuidString(),"-","_")</f>
        <v>nF99928B2_7C17_4E2A_B38C_9616B4A44576</v>
      </c>
    </row>
    <row r="288" spans="1:8" x14ac:dyDescent="0.35">
      <c r="A2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8" s="12" t="s">
        <v>288</v>
      </c>
      <c r="C288" s="13" t="s">
        <v>1617</v>
      </c>
      <c r="E288" s="12" t="str">
        <f>IF(NodesData[[#This Row],[Class Disambiguation]]="",NodesData[[#This Row],[Common Name]],NodesData[[#This Row],[Common Name]]&amp;" ("&amp;NodesData[[#This Row],[Class Disambiguation]]&amp;")")</f>
        <v>Login Name</v>
      </c>
      <c r="G288" s="12" t="s">
        <v>937</v>
      </c>
      <c r="H288" s="19" t="str" cm="1">
        <f t="array" ref="H288">"n"&amp;SUBSTITUTE(CreateGuidString(),"-","_")</f>
        <v>nAE7AC7FC_EC2D_49E4_8578_D0B3123EA73F</v>
      </c>
    </row>
    <row r="289" spans="1:8" x14ac:dyDescent="0.35">
      <c r="A2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89" s="12" t="s">
        <v>938</v>
      </c>
      <c r="C289" s="13" t="s">
        <v>1618</v>
      </c>
      <c r="E289" s="12" t="str">
        <f>IF(NodesData[[#This Row],[Class Disambiguation]]="",NodesData[[#This Row],[Common Name]],NodesData[[#This Row],[Common Name]]&amp;" ("&amp;NodesData[[#This Row],[Class Disambiguation]]&amp;")")</f>
        <v>Mechanism</v>
      </c>
      <c r="G289" s="12" t="s">
        <v>939</v>
      </c>
      <c r="H289" s="19" t="str" cm="1">
        <f t="array" ref="H289">"n"&amp;SUBSTITUTE(CreateGuidString(),"-","_")</f>
        <v>n0895A386_57E2_4639_92ED_E466F3044098</v>
      </c>
    </row>
    <row r="290" spans="1:8" x14ac:dyDescent="0.35">
      <c r="A2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0" s="12" t="s">
        <v>940</v>
      </c>
      <c r="C290" s="13" t="s">
        <v>1619</v>
      </c>
      <c r="E290" s="12" t="str">
        <f>IF(NodesData[[#This Row],[Class Disambiguation]]="",NodesData[[#This Row],[Common Name]],NodesData[[#This Row],[Common Name]]&amp;" ("&amp;NodesData[[#This Row],[Class Disambiguation]]&amp;")")</f>
        <v>Metadirectory</v>
      </c>
      <c r="G290" s="12" t="s">
        <v>941</v>
      </c>
      <c r="H290" s="19" t="str" cm="1">
        <f t="array" ref="H290">"n"&amp;SUBSTITUTE(CreateGuidString(),"-","_")</f>
        <v>nE300976D_0687_44D4_AA64_FED05601FDF8</v>
      </c>
    </row>
    <row r="291" spans="1:8" x14ac:dyDescent="0.35">
      <c r="A2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1" s="12" t="s">
        <v>942</v>
      </c>
      <c r="C291" s="13" t="s">
        <v>1621</v>
      </c>
      <c r="E291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G291" s="12" t="s">
        <v>943</v>
      </c>
      <c r="H291" s="19" t="str" cm="1">
        <f t="array" ref="H291">"n"&amp;SUBSTITUTE(CreateGuidString(),"-","_")</f>
        <v>nDC34745D_CFCC_4A66_99E2_8F445F277F3D</v>
      </c>
    </row>
    <row r="292" spans="1:8" x14ac:dyDescent="0.35">
      <c r="A2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2" s="12" t="s">
        <v>944</v>
      </c>
      <c r="C292" s="13" t="s">
        <v>1622</v>
      </c>
      <c r="E292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G292" s="12" t="s">
        <v>945</v>
      </c>
      <c r="H292" s="19" t="str" cm="1">
        <f t="array" ref="H292">"n"&amp;SUBSTITUTE(CreateGuidString(),"-","_")</f>
        <v>n9F553BC4_1196_46C0_B3BB_927682A36A2F</v>
      </c>
    </row>
    <row r="293" spans="1:8" x14ac:dyDescent="0.35">
      <c r="A2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3" s="11" t="s">
        <v>1839</v>
      </c>
      <c r="C293" s="13" t="s">
        <v>1624</v>
      </c>
      <c r="E293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H293" s="19" t="str" cm="1">
        <f t="array" ref="H293">"n"&amp;SUBSTITUTE(CreateGuidString(),"-","_")</f>
        <v>nA9C99E5C_C115_4014_AA18_D3742C5255D8</v>
      </c>
    </row>
    <row r="294" spans="1:8" x14ac:dyDescent="0.35">
      <c r="A2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4" s="12" t="s">
        <v>305</v>
      </c>
      <c r="C294" s="13" t="s">
        <v>1623</v>
      </c>
      <c r="E294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G294" s="12" t="s">
        <v>946</v>
      </c>
      <c r="H294" s="19" t="str" cm="1">
        <f t="array" ref="H294">"n"&amp;SUBSTITUTE(CreateGuidString(),"-","_")</f>
        <v>nBEEF8762_0AF0_4016_BBC0_FB03E661E49D</v>
      </c>
    </row>
    <row r="295" spans="1:8" x14ac:dyDescent="0.35">
      <c r="A2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5" s="12" t="s">
        <v>947</v>
      </c>
      <c r="C295" s="13" t="s">
        <v>1630</v>
      </c>
      <c r="E295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G295" s="12" t="s">
        <v>948</v>
      </c>
      <c r="H295" s="19" t="str" cm="1">
        <f t="array" ref="H295">"n"&amp;SUBSTITUTE(CreateGuidString(),"-","_")</f>
        <v>n735C96D7_A62D_41CF_BA46_1F837C253080</v>
      </c>
    </row>
    <row r="296" spans="1:8" x14ac:dyDescent="0.35">
      <c r="A2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6" s="12" t="s">
        <v>307</v>
      </c>
      <c r="C296" s="13" t="s">
        <v>1625</v>
      </c>
      <c r="E296" s="12" t="str">
        <f>IF(NodesData[[#This Row],[Class Disambiguation]]="",NodesData[[#This Row],[Common Name]],NodesData[[#This Row],[Common Name]]&amp;" ("&amp;NodesData[[#This Row],[Class Disambiguation]]&amp;")")</f>
        <v>Need-to-Know</v>
      </c>
      <c r="G296" s="12" t="s">
        <v>949</v>
      </c>
      <c r="H296" s="19" t="str" cm="1">
        <f t="array" ref="H296">"n"&amp;SUBSTITUTE(CreateGuidString(),"-","_")</f>
        <v>nBA9DDEEC_EB7C_44E8_9262_0E361010B83B</v>
      </c>
    </row>
    <row r="297" spans="1:8" x14ac:dyDescent="0.35">
      <c r="A2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297" s="12" t="s">
        <v>950</v>
      </c>
      <c r="C297" s="13" t="s">
        <v>1626</v>
      </c>
      <c r="E297" s="12" t="str">
        <f>IF(NodesData[[#This Row],[Class Disambiguation]]="",NodesData[[#This Row],[Common Name]],NodesData[[#This Row],[Common Name]]&amp;" ("&amp;NodesData[[#This Row],[Class Disambiguation]]&amp;")")</f>
        <v>New Joiner</v>
      </c>
      <c r="G297" s="12" t="s">
        <v>951</v>
      </c>
      <c r="H297" s="19" t="str" cm="1">
        <f t="array" ref="H297">"n"&amp;SUBSTITUTE(CreateGuidString(),"-","_")</f>
        <v>n118590B7_E27A_4405_AD9B_6D025A8C28E2</v>
      </c>
    </row>
    <row r="298" spans="1:8" x14ac:dyDescent="0.35">
      <c r="A2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298" s="12" t="s">
        <v>952</v>
      </c>
      <c r="C298" s="13" t="s">
        <v>1627</v>
      </c>
      <c r="E298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G298" s="12" t="s">
        <v>953</v>
      </c>
      <c r="H298" s="19" t="str" cm="1">
        <f t="array" ref="H298">"n"&amp;SUBSTITUTE(CreateGuidString(),"-","_")</f>
        <v>nF151EED2_CCAF_4031_B8CC_8743747F408D</v>
      </c>
    </row>
    <row r="299" spans="1:8" x14ac:dyDescent="0.35">
      <c r="A2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Nonworker</v>
      </c>
      <c r="B299" s="12" t="s">
        <v>954</v>
      </c>
      <c r="C299" s="13" t="s">
        <v>1628</v>
      </c>
      <c r="E299" s="12" t="str">
        <f>IF(NodesData[[#This Row],[Class Disambiguation]]="",NodesData[[#This Row],[Common Name]],NodesData[[#This Row],[Common Name]]&amp;" ("&amp;NodesData[[#This Row],[Class Disambiguation]]&amp;")")</f>
        <v>Nonworker</v>
      </c>
      <c r="G299" s="12" t="s">
        <v>955</v>
      </c>
      <c r="H299" s="19" t="str" cm="1">
        <f t="array" ref="H299">"n"&amp;SUBSTITUTE(CreateGuidString(),"-","_")</f>
        <v>nC66DA6E1_DC3C_4263_A31E_4BAAF21E2A63</v>
      </c>
    </row>
    <row r="300" spans="1:8" x14ac:dyDescent="0.35">
      <c r="A3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0" s="12" t="s">
        <v>312</v>
      </c>
      <c r="C300" s="13" t="s">
        <v>1629</v>
      </c>
      <c r="E300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G300" s="12" t="s">
        <v>956</v>
      </c>
      <c r="H300" s="19" t="str" cm="1">
        <f t="array" ref="H300">"n"&amp;SUBSTITUTE(CreateGuidString(),"-","_")</f>
        <v>n4B0ED76D_F264_4359_8FD7_CFE23638EE95</v>
      </c>
    </row>
    <row r="301" spans="1:8" x14ac:dyDescent="0.35">
      <c r="A3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1" s="12" t="s">
        <v>957</v>
      </c>
      <c r="C301" s="13" t="s">
        <v>1633</v>
      </c>
      <c r="D301" s="12" t="s">
        <v>1270</v>
      </c>
      <c r="E301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G301" s="12" t="s">
        <v>958</v>
      </c>
      <c r="H301" s="19" t="str" cm="1">
        <f t="array" ref="H301">"n"&amp;SUBSTITUTE(CreateGuidString(),"-","_")</f>
        <v>nEF03ABB3_67EE_43A9_B6D6_C9A349B855C7</v>
      </c>
    </row>
    <row r="302" spans="1:8" x14ac:dyDescent="0.35">
      <c r="A3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Object</v>
      </c>
      <c r="B302" s="12" t="s">
        <v>959</v>
      </c>
      <c r="C302" s="13" t="s">
        <v>1631</v>
      </c>
      <c r="E302" s="12" t="str">
        <f>IF(NodesData[[#This Row],[Class Disambiguation]]="",NodesData[[#This Row],[Common Name]],NodesData[[#This Row],[Common Name]]&amp;" ("&amp;NodesData[[#This Row],[Class Disambiguation]]&amp;")")</f>
        <v>Object</v>
      </c>
      <c r="G302" s="12" t="s">
        <v>960</v>
      </c>
      <c r="H302" s="19" t="str" cm="1">
        <f t="array" ref="H302">"n"&amp;SUBSTITUTE(CreateGuidString(),"-","_")</f>
        <v>nEE850D27_2382_4E8C_B94C_D8E5139DBE24</v>
      </c>
    </row>
    <row r="303" spans="1:8" x14ac:dyDescent="0.35">
      <c r="A3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3" s="12" t="s">
        <v>961</v>
      </c>
      <c r="C303" s="13" t="s">
        <v>1632</v>
      </c>
      <c r="E303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G303" s="12" t="s">
        <v>962</v>
      </c>
      <c r="H303" s="19" t="str" cm="1">
        <f t="array" ref="H303">"n"&amp;SUBSTITUTE(CreateGuidString(),"-","_")</f>
        <v>n59701985_818C_4905_9DD2_F7AD482132E1</v>
      </c>
    </row>
    <row r="304" spans="1:8" x14ac:dyDescent="0.35">
      <c r="A3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4" s="12" t="s">
        <v>1318</v>
      </c>
      <c r="C304" s="13" t="s">
        <v>1650</v>
      </c>
      <c r="E304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H304" s="19" t="str" cm="1">
        <f t="array" ref="H304">"n"&amp;SUBSTITUTE(CreateGuidString(),"-","_")</f>
        <v>nAD9C63E1_360C_446E_8770_4FE74346BB0F</v>
      </c>
    </row>
    <row r="305" spans="1:8" x14ac:dyDescent="0.35">
      <c r="A3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5" s="12" t="s">
        <v>963</v>
      </c>
      <c r="C305" s="13" t="s">
        <v>1634</v>
      </c>
      <c r="D305" s="12" t="s">
        <v>1270</v>
      </c>
      <c r="E305" s="12" t="str">
        <f>IF(NodesData[[#This Row],[Class Disambiguation]]="",NodesData[[#This Row],[Common Name]],NodesData[[#This Row],[Common Name]]&amp;" ("&amp;NodesData[[#This Row],[Class Disambiguation]]&amp;")")</f>
        <v>OPA (Acronym)</v>
      </c>
      <c r="G305" s="12" t="s">
        <v>964</v>
      </c>
      <c r="H305" s="19" t="str" cm="1">
        <f t="array" ref="H305">"n"&amp;SUBSTITUTE(CreateGuidString(),"-","_")</f>
        <v>n1F5FB8AA_CF08_4B0C_B59F_3A94CDFBAE9F</v>
      </c>
    </row>
    <row r="306" spans="1:8" x14ac:dyDescent="0.35">
      <c r="A3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06" s="12" t="s">
        <v>965</v>
      </c>
      <c r="C306" s="13" t="s">
        <v>1635</v>
      </c>
      <c r="E306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G306" s="12" t="s">
        <v>966</v>
      </c>
      <c r="H306" s="19" t="str" cm="1">
        <f t="array" ref="H306">"n"&amp;SUBSTITUTE(CreateGuidString(),"-","_")</f>
        <v>nAC69EA1F_FA4D_42F1_AFE4_180E30117582</v>
      </c>
    </row>
    <row r="307" spans="1:8" x14ac:dyDescent="0.35">
      <c r="A3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07" s="12" t="s">
        <v>967</v>
      </c>
      <c r="C307" s="13" t="s">
        <v>1636</v>
      </c>
      <c r="E307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G307" s="12" t="s">
        <v>968</v>
      </c>
      <c r="H307" s="19" t="str" cm="1">
        <f t="array" ref="H307">"n"&amp;SUBSTITUTE(CreateGuidString(),"-","_")</f>
        <v>nF87C8F85_1C83_49B1_8CC9_D4F6E9D3A1C9</v>
      </c>
    </row>
    <row r="308" spans="1:8" x14ac:dyDescent="0.35">
      <c r="A3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08" s="12" t="s">
        <v>969</v>
      </c>
      <c r="C308" s="13" t="s">
        <v>1637</v>
      </c>
      <c r="E308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G308" s="12" t="s">
        <v>970</v>
      </c>
      <c r="H308" s="19" t="str" cm="1">
        <f t="array" ref="H308">"n"&amp;SUBSTITUTE(CreateGuidString(),"-","_")</f>
        <v>n26CACFDC_2AC6_4E65_8D5C_FC1A86B55EE3</v>
      </c>
    </row>
    <row r="309" spans="1:8" x14ac:dyDescent="0.35">
      <c r="A3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09" s="12" t="s">
        <v>971</v>
      </c>
      <c r="C309" s="13" t="s">
        <v>1638</v>
      </c>
      <c r="E309" s="12" t="str">
        <f>IF(NodesData[[#This Row],[Class Disambiguation]]="",NodesData[[#This Row],[Common Name]],NodesData[[#This Row],[Common Name]]&amp;" ("&amp;NodesData[[#This Row],[Class Disambiguation]]&amp;")")</f>
        <v>Ordinal Scale</v>
      </c>
      <c r="G309" s="12" t="s">
        <v>972</v>
      </c>
      <c r="H309" s="19" t="str" cm="1">
        <f t="array" ref="H309">"n"&amp;SUBSTITUTE(CreateGuidString(),"-","_")</f>
        <v>n104A6F69_E7A3_46A5_AF39_C54AD5F2A554</v>
      </c>
    </row>
    <row r="310" spans="1:8" x14ac:dyDescent="0.35">
      <c r="A3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0" s="12" t="s">
        <v>1266</v>
      </c>
      <c r="C310" s="13" t="s">
        <v>1639</v>
      </c>
      <c r="E310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G310" s="12" t="s">
        <v>973</v>
      </c>
      <c r="H310" s="19" t="str" cm="1">
        <f t="array" ref="H310">"n"&amp;SUBSTITUTE(CreateGuidString(),"-","_")</f>
        <v>n6D4EB567_125D_44B4_ABCF_840F44A13D6F</v>
      </c>
    </row>
    <row r="311" spans="1:8" x14ac:dyDescent="0.35">
      <c r="A3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1" s="12" t="s">
        <v>1267</v>
      </c>
      <c r="C311" s="13" t="s">
        <v>1640</v>
      </c>
      <c r="E311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G311" s="12" t="s">
        <v>974</v>
      </c>
      <c r="H311" s="19" t="str" cm="1">
        <f t="array" ref="H311">"n"&amp;SUBSTITUTE(CreateGuidString(),"-","_")</f>
        <v>n3D23FB41_9328_4140_BDE2_7D4A8AB3445D</v>
      </c>
    </row>
    <row r="312" spans="1:8" x14ac:dyDescent="0.35">
      <c r="A3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</v>
      </c>
      <c r="B312" s="12" t="s">
        <v>975</v>
      </c>
      <c r="C312" s="13" t="s">
        <v>1641</v>
      </c>
      <c r="E312" s="12" t="str">
        <f>IF(NodesData[[#This Row],[Class Disambiguation]]="",NodesData[[#This Row],[Common Name]],NodesData[[#This Row],[Common Name]]&amp;" ("&amp;NodesData[[#This Row],[Class Disambiguation]]&amp;")")</f>
        <v>Orphan</v>
      </c>
      <c r="G312" s="12" t="s">
        <v>976</v>
      </c>
      <c r="H312" s="19" t="str" cm="1">
        <f t="array" ref="H312">"n"&amp;SUBSTITUTE(CreateGuidString(),"-","_")</f>
        <v>n93EDA495_D72A_49FD_9AEA_9599455D91A0</v>
      </c>
    </row>
    <row r="313" spans="1:8" x14ac:dyDescent="0.35">
      <c r="A3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3" s="12" t="s">
        <v>329</v>
      </c>
      <c r="C313" s="13" t="s">
        <v>1642</v>
      </c>
      <c r="E313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G313" s="12" t="s">
        <v>977</v>
      </c>
      <c r="H313" s="19" t="str" cm="1">
        <f t="array" ref="H313">"n"&amp;SUBSTITUTE(CreateGuidString(),"-","_")</f>
        <v>nBFE7D657_CAB1_4160_A815_EBB3A5687F97</v>
      </c>
    </row>
    <row r="314" spans="1:8" x14ac:dyDescent="0.35">
      <c r="A3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4" s="12" t="s">
        <v>978</v>
      </c>
      <c r="C314" s="13" t="s">
        <v>1643</v>
      </c>
      <c r="E314" s="12" t="str">
        <f>IF(NodesData[[#This Row],[Class Disambiguation]]="",NodesData[[#This Row],[Common Name]],NodesData[[#This Row],[Common Name]]&amp;" ("&amp;NodesData[[#This Row],[Class Disambiguation]]&amp;")")</f>
        <v>Orphan File</v>
      </c>
      <c r="G314" s="12" t="s">
        <v>979</v>
      </c>
      <c r="H314" s="19" t="str" cm="1">
        <f t="array" ref="H314">"n"&amp;SUBSTITUTE(CreateGuidString(),"-","_")</f>
        <v>n88E2814C_D909_4D46_8127_1AA0696A9525</v>
      </c>
    </row>
    <row r="315" spans="1:8" x14ac:dyDescent="0.35">
      <c r="A3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5" s="12" t="s">
        <v>980</v>
      </c>
      <c r="C315" s="13" t="s">
        <v>1644</v>
      </c>
      <c r="E315" s="12" t="str">
        <f>IF(NodesData[[#This Row],[Class Disambiguation]]="",NodesData[[#This Row],[Common Name]],NodesData[[#This Row],[Common Name]]&amp;" ("&amp;NodesData[[#This Row],[Class Disambiguation]]&amp;")")</f>
        <v>Orphan Object</v>
      </c>
      <c r="G315" s="12" t="s">
        <v>981</v>
      </c>
      <c r="H315" s="19" t="str" cm="1">
        <f t="array" ref="H315">"n"&amp;SUBSTITUTE(CreateGuidString(),"-","_")</f>
        <v>n22166AAE_9528_4099_A502_7E0CEBB1FB11</v>
      </c>
    </row>
    <row r="316" spans="1:8" x14ac:dyDescent="0.35">
      <c r="A3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16" s="12" t="s">
        <v>982</v>
      </c>
      <c r="C316" s="13" t="s">
        <v>1645</v>
      </c>
      <c r="E316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G316" s="12" t="s">
        <v>983</v>
      </c>
      <c r="H316" s="19" t="str" cm="1">
        <f t="array" ref="H316">"n"&amp;SUBSTITUTE(CreateGuidString(),"-","_")</f>
        <v>n962F8878_89D5_448B_80E0_E78C54A961C8</v>
      </c>
    </row>
    <row r="317" spans="1:8" x14ac:dyDescent="0.35">
      <c r="A3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17" s="12" t="s">
        <v>984</v>
      </c>
      <c r="C317" s="13" t="s">
        <v>1646</v>
      </c>
      <c r="E317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G317" s="12" t="s">
        <v>985</v>
      </c>
      <c r="H317" s="19" t="str" cm="1">
        <f t="array" ref="H317">"n"&amp;SUBSTITUTE(CreateGuidString(),"-","_")</f>
        <v>n4EC49D37_AF31_4D74_AEC7_5EF61087EDB2</v>
      </c>
    </row>
    <row r="318" spans="1:8" x14ac:dyDescent="0.35">
      <c r="A3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18" s="12" t="s">
        <v>986</v>
      </c>
      <c r="C318" s="13" t="s">
        <v>1647</v>
      </c>
      <c r="E318" s="12" t="str">
        <f>IF(NodesData[[#This Row],[Class Disambiguation]]="",NodesData[[#This Row],[Common Name]],NodesData[[#This Row],[Common Name]]&amp;" ("&amp;NodesData[[#This Row],[Class Disambiguation]]&amp;")")</f>
        <v>Orphan Role</v>
      </c>
      <c r="G318" s="12" t="s">
        <v>987</v>
      </c>
      <c r="H318" s="19" t="str" cm="1">
        <f t="array" ref="H318">"n"&amp;SUBSTITUTE(CreateGuidString(),"-","_")</f>
        <v>nB2FB2FF0_E021_41E6_8DCB_C43ED92B4A88</v>
      </c>
    </row>
    <row r="319" spans="1:8" x14ac:dyDescent="0.35">
      <c r="A3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19" s="12" t="s">
        <v>988</v>
      </c>
      <c r="C319" s="13" t="s">
        <v>1648</v>
      </c>
      <c r="E319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G319" s="12" t="s">
        <v>989</v>
      </c>
      <c r="H319" s="19" t="str" cm="1">
        <f t="array" ref="H319">"n"&amp;SUBSTITUTE(CreateGuidString(),"-","_")</f>
        <v>n9A7BE678_9398_40AF_A9F6_E8C902A8A6C6</v>
      </c>
    </row>
    <row r="320" spans="1:8" x14ac:dyDescent="0.35">
      <c r="A3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0" s="12" t="s">
        <v>990</v>
      </c>
      <c r="C320" s="13" t="s">
        <v>1649</v>
      </c>
      <c r="E320" s="12" t="str">
        <f>IF(NodesData[[#This Row],[Class Disambiguation]]="",NodesData[[#This Row],[Common Name]],NodesData[[#This Row],[Common Name]]&amp;" ("&amp;NodesData[[#This Row],[Class Disambiguation]]&amp;")")</f>
        <v>Orphan System</v>
      </c>
      <c r="G320" s="12" t="s">
        <v>991</v>
      </c>
      <c r="H320" s="19" t="str" cm="1">
        <f t="array" ref="H320">"n"&amp;SUBSTITUTE(CreateGuidString(),"-","_")</f>
        <v>nA5DBDB5D_177E_4234_BF24_DFF78E6F1641</v>
      </c>
    </row>
    <row r="321" spans="1:8" x14ac:dyDescent="0.35">
      <c r="A3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1" s="12" t="s">
        <v>1299</v>
      </c>
      <c r="C321" s="13" t="s">
        <v>1652</v>
      </c>
      <c r="E321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H321" s="19" t="str" cm="1">
        <f t="array" ref="H321">"n"&amp;SUBSTITUTE(CreateGuidString(),"-","_")</f>
        <v>n35E33E4B_E47D_455E_8F95_5FE820D5DA76</v>
      </c>
    </row>
    <row r="322" spans="1:8" x14ac:dyDescent="0.35">
      <c r="A3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2" s="12" t="s">
        <v>339</v>
      </c>
      <c r="C322" s="13" t="s">
        <v>1651</v>
      </c>
      <c r="E322" s="12" t="str">
        <f>IF(NodesData[[#This Row],[Class Disambiguation]]="",NodesData[[#This Row],[Common Name]],NodesData[[#This Row],[Common Name]]&amp;" ("&amp;NodesData[[#This Row],[Class Disambiguation]]&amp;")")</f>
        <v>Outsider</v>
      </c>
      <c r="G322" s="12" t="s">
        <v>992</v>
      </c>
      <c r="H322" s="19" t="str" cm="1">
        <f t="array" ref="H322">"n"&amp;SUBSTITUTE(CreateGuidString(),"-","_")</f>
        <v>nBEA20D56_4BB7_463E_B734_D8708E21B83A</v>
      </c>
    </row>
    <row r="323" spans="1:8" x14ac:dyDescent="0.35">
      <c r="A3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3" s="12" t="s">
        <v>1314</v>
      </c>
      <c r="C323" s="13" t="s">
        <v>1654</v>
      </c>
      <c r="E323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H323" s="19" t="str" cm="1">
        <f t="array" ref="H323">"n"&amp;SUBSTITUTE(CreateGuidString(),"-","_")</f>
        <v>nEC1D673B_9A32_4841_ABCE_700551AC3822</v>
      </c>
    </row>
    <row r="324" spans="1:8" x14ac:dyDescent="0.35">
      <c r="A3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4" s="12" t="s">
        <v>993</v>
      </c>
      <c r="C324" s="13" t="s">
        <v>1653</v>
      </c>
      <c r="E324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G324" s="12" t="s">
        <v>994</v>
      </c>
      <c r="H324" s="19" t="str" cm="1">
        <f t="array" ref="H324">"n"&amp;SUBSTITUTE(CreateGuidString(),"-","_")</f>
        <v>n76F7601A_158E_4738_8D0D_60304A233FFB</v>
      </c>
    </row>
    <row r="325" spans="1:8" x14ac:dyDescent="0.35">
      <c r="A3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5" s="12" t="s">
        <v>1328</v>
      </c>
      <c r="C325" s="13" t="s">
        <v>1655</v>
      </c>
      <c r="E325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H325" s="19" t="str" cm="1">
        <f t="array" ref="H325">"n"&amp;SUBSTITUTE(CreateGuidString(),"-","_")</f>
        <v>n0B19DE4A_1338_4D3A_AE2B_CD67936FB987</v>
      </c>
    </row>
    <row r="326" spans="1:8" x14ac:dyDescent="0.35">
      <c r="A3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26" s="12" t="s">
        <v>343</v>
      </c>
      <c r="C326" s="13" t="s">
        <v>1656</v>
      </c>
      <c r="E326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G326" s="12" t="s">
        <v>995</v>
      </c>
      <c r="H326" s="19" t="str" cm="1">
        <f t="array" ref="H326">"n"&amp;SUBSTITUTE(CreateGuidString(),"-","_")</f>
        <v>n86C39A04_0A3E_4A3C_BBC4_70F6CBD75FA4</v>
      </c>
    </row>
    <row r="327" spans="1:8" x14ac:dyDescent="0.35">
      <c r="A3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27" s="12" t="s">
        <v>996</v>
      </c>
      <c r="C327" s="13" t="s">
        <v>1657</v>
      </c>
      <c r="E327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G327" s="12" t="s">
        <v>997</v>
      </c>
      <c r="H327" s="19" t="str" cm="1">
        <f t="array" ref="H327">"n"&amp;SUBSTITUTE(CreateGuidString(),"-","_")</f>
        <v>nF3126B60_DCC6_4A82_8F5E_288BEB071DAC</v>
      </c>
    </row>
    <row r="328" spans="1:8" x14ac:dyDescent="0.35">
      <c r="A3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28" s="12" t="s">
        <v>3</v>
      </c>
      <c r="C328" s="13" t="s">
        <v>1658</v>
      </c>
      <c r="E328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G328" s="12" t="s">
        <v>998</v>
      </c>
      <c r="H328" s="19" t="str" cm="1">
        <f t="array" ref="H328">"n"&amp;SUBSTITUTE(CreateGuidString(),"-","_")</f>
        <v>nA2BAE3C2_99AF_4230_AFB6_85AB3819975F</v>
      </c>
    </row>
    <row r="329" spans="1:8" x14ac:dyDescent="0.35">
      <c r="A3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29" s="12" t="s">
        <v>1324</v>
      </c>
      <c r="C329" s="13" t="s">
        <v>1659</v>
      </c>
      <c r="E329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H329" s="19" t="str" cm="1">
        <f t="array" ref="H329">"n"&amp;SUBSTITUTE(CreateGuidString(),"-","_")</f>
        <v>n2B6F0C5B_DCB8_4149_BCDB_712700EC1742</v>
      </c>
    </row>
    <row r="330" spans="1:8" x14ac:dyDescent="0.35">
      <c r="A3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0" s="12" t="s">
        <v>344</v>
      </c>
      <c r="C330" s="13" t="s">
        <v>1663</v>
      </c>
      <c r="E330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G330" s="12" t="s">
        <v>999</v>
      </c>
      <c r="H330" s="19" t="str" cm="1">
        <f t="array" ref="H330">"n"&amp;SUBSTITUTE(CreateGuidString(),"-","_")</f>
        <v>nD0097DAB_A295_4AE7_8E8D_DA9F81D59801</v>
      </c>
    </row>
    <row r="331" spans="1:8" x14ac:dyDescent="0.35">
      <c r="A3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People</v>
      </c>
      <c r="B331" s="12" t="s">
        <v>1268</v>
      </c>
      <c r="C331" s="13" t="s">
        <v>1660</v>
      </c>
      <c r="E331" s="12" t="str">
        <f>IF(NodesData[[#This Row],[Class Disambiguation]]="",NodesData[[#This Row],[Common Name]],NodesData[[#This Row],[Common Name]]&amp;" ("&amp;NodesData[[#This Row],[Class Disambiguation]]&amp;")")</f>
        <v>People</v>
      </c>
      <c r="G331" s="12" t="s">
        <v>1000</v>
      </c>
      <c r="H331" s="19" t="str" cm="1">
        <f t="array" ref="H331">"n"&amp;SUBSTITUTE(CreateGuidString(),"-","_")</f>
        <v>n7CC0699E_1E28_4C9E_9595_865D3D1F8278</v>
      </c>
    </row>
    <row r="332" spans="1:8" x14ac:dyDescent="0.35">
      <c r="A3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2" s="12" t="s">
        <v>1001</v>
      </c>
      <c r="C332" s="13" t="s">
        <v>1661</v>
      </c>
      <c r="E332" s="12" t="str">
        <f>IF(NodesData[[#This Row],[Class Disambiguation]]="",NodesData[[#This Row],[Common Name]],NodesData[[#This Row],[Common Name]]&amp;" ("&amp;NodesData[[#This Row],[Class Disambiguation]]&amp;")")</f>
        <v>Permission</v>
      </c>
      <c r="G332" s="12" t="s">
        <v>1002</v>
      </c>
      <c r="H332" s="19" t="str" cm="1">
        <f t="array" ref="H332">"n"&amp;SUBSTITUTE(CreateGuidString(),"-","_")</f>
        <v>n5BE2C356_F8F3_48B9_BFB6_26A68C2C9F6C</v>
      </c>
    </row>
    <row r="333" spans="1:8" x14ac:dyDescent="0.35">
      <c r="A3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</v>
      </c>
      <c r="B333" s="12" t="s">
        <v>350</v>
      </c>
      <c r="C333" s="13" t="s">
        <v>1662</v>
      </c>
      <c r="E333" s="12" t="str">
        <f>IF(NodesData[[#This Row],[Class Disambiguation]]="",NodesData[[#This Row],[Common Name]],NodesData[[#This Row],[Common Name]]&amp;" ("&amp;NodesData[[#This Row],[Class Disambiguation]]&amp;")")</f>
        <v>Persona</v>
      </c>
      <c r="G333" s="12" t="s">
        <v>1003</v>
      </c>
      <c r="H333" s="19" t="str" cm="1">
        <f t="array" ref="H333">"n"&amp;SUBSTITUTE(CreateGuidString(),"-","_")</f>
        <v>n3061EA49_92BA_404E_BB26_C456E6B0E38C</v>
      </c>
    </row>
    <row r="334" spans="1:8" x14ac:dyDescent="0.35">
      <c r="A3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4" s="12" t="s">
        <v>1327</v>
      </c>
      <c r="C334" s="13" t="s">
        <v>1684</v>
      </c>
      <c r="E334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H334" s="19" t="str" cm="1">
        <f t="array" ref="H334">"n"&amp;SUBSTITUTE(CreateGuidString(),"-","_")</f>
        <v>n2FC111C5_B1C7_4C62_B4BE_A9D064B3B9E4</v>
      </c>
    </row>
    <row r="335" spans="1:8" x14ac:dyDescent="0.35">
      <c r="A3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5" s="12" t="s">
        <v>1319</v>
      </c>
      <c r="C335" s="13" t="s">
        <v>1664</v>
      </c>
      <c r="E335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H335" s="19" t="str" cm="1">
        <f t="array" ref="H335">"n"&amp;SUBSTITUTE(CreateGuidString(),"-","_")</f>
        <v>n489353BC_DC26_4452_B08A_CE002D71DFE9</v>
      </c>
    </row>
    <row r="336" spans="1:8" x14ac:dyDescent="0.35">
      <c r="A3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36" s="12" t="s">
        <v>1004</v>
      </c>
      <c r="C336" s="13" t="s">
        <v>1665</v>
      </c>
      <c r="D336" s="12" t="s">
        <v>1270</v>
      </c>
      <c r="E336" s="12" t="str">
        <f>IF(NodesData[[#This Row],[Class Disambiguation]]="",NodesData[[#This Row],[Common Name]],NodesData[[#This Row],[Common Name]]&amp;" ("&amp;NodesData[[#This Row],[Class Disambiguation]]&amp;")")</f>
        <v>PMS (Acronym)</v>
      </c>
      <c r="G336" s="12" t="s">
        <v>1005</v>
      </c>
      <c r="H336" s="19" t="str" cm="1">
        <f t="array" ref="H336">"n"&amp;SUBSTITUTE(CreateGuidString(),"-","_")</f>
        <v>n938B2FC1_89C8_447E_9854_0BE87DFCDAC8</v>
      </c>
    </row>
    <row r="337" spans="1:8" x14ac:dyDescent="0.35">
      <c r="A3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</v>
      </c>
      <c r="B337" s="12" t="s">
        <v>1006</v>
      </c>
      <c r="C337" s="13" t="s">
        <v>1666</v>
      </c>
      <c r="E337" s="12" t="str">
        <f>IF(NodesData[[#This Row],[Class Disambiguation]]="",NodesData[[#This Row],[Common Name]],NodesData[[#This Row],[Common Name]]&amp;" ("&amp;NodesData[[#This Row],[Class Disambiguation]]&amp;")")</f>
        <v>Policy</v>
      </c>
      <c r="G337" s="12" t="s">
        <v>1007</v>
      </c>
      <c r="H337" s="19" t="str" cm="1">
        <f t="array" ref="H337">"n"&amp;SUBSTITUTE(CreateGuidString(),"-","_")</f>
        <v>nE76FE074_572F_429F_8562_CD419E4C8826</v>
      </c>
    </row>
    <row r="338" spans="1:8" x14ac:dyDescent="0.35">
      <c r="A3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38" s="12" t="s">
        <v>1008</v>
      </c>
      <c r="C338" s="13" t="s">
        <v>1667</v>
      </c>
      <c r="E338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G338" s="12" t="s">
        <v>1009</v>
      </c>
      <c r="H338" s="19" t="str" cm="1">
        <f t="array" ref="H338">"n"&amp;SUBSTITUTE(CreateGuidString(),"-","_")</f>
        <v>nF70AD468_D0D4_4FC3_930D_83AE1C1DA059</v>
      </c>
    </row>
    <row r="339" spans="1:8" x14ac:dyDescent="0.35">
      <c r="A3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39" s="12" t="s">
        <v>1010</v>
      </c>
      <c r="C339" s="13" t="s">
        <v>1668</v>
      </c>
      <c r="E339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G339" s="12" t="s">
        <v>1011</v>
      </c>
      <c r="H339" s="19" t="str" cm="1">
        <f t="array" ref="H339">"n"&amp;SUBSTITUTE(CreateGuidString(),"-","_")</f>
        <v>n2FC97A67_04E0_4744_9FA6_683AC08AFD87</v>
      </c>
    </row>
    <row r="340" spans="1:8" x14ac:dyDescent="0.35">
      <c r="A3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0" s="12" t="s">
        <v>1012</v>
      </c>
      <c r="C340" s="13" t="s">
        <v>1669</v>
      </c>
      <c r="E340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G340" s="12" t="s">
        <v>1013</v>
      </c>
      <c r="H340" s="19" t="str" cm="1">
        <f t="array" ref="H340">"n"&amp;SUBSTITUTE(CreateGuidString(),"-","_")</f>
        <v>nC957C60D_B110_46CF_9F0F_E1E3708A5738</v>
      </c>
    </row>
    <row r="341" spans="1:8" x14ac:dyDescent="0.35">
      <c r="A3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1" s="12" t="s">
        <v>1014</v>
      </c>
      <c r="C341" s="13" t="s">
        <v>1670</v>
      </c>
      <c r="E341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G341" s="12" t="s">
        <v>1015</v>
      </c>
      <c r="H341" s="19" t="str" cm="1">
        <f t="array" ref="H341">"n"&amp;SUBSTITUTE(CreateGuidString(),"-","_")</f>
        <v>n3374A45C_D657_43B4_83E5_F5CF8D8BC9BA</v>
      </c>
    </row>
    <row r="342" spans="1:8" x14ac:dyDescent="0.35">
      <c r="A3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2" s="12" t="s">
        <v>1016</v>
      </c>
      <c r="C342" s="13" t="s">
        <v>1671</v>
      </c>
      <c r="E342" s="12" t="str">
        <f>IF(NodesData[[#This Row],[Class Disambiguation]]="",NodesData[[#This Row],[Common Name]],NodesData[[#This Row],[Common Name]]&amp;" ("&amp;NodesData[[#This Row],[Class Disambiguation]]&amp;")")</f>
        <v>Policy Mining</v>
      </c>
      <c r="G342" s="12" t="s">
        <v>1017</v>
      </c>
      <c r="H342" s="19" t="str" cm="1">
        <f t="array" ref="H342">"n"&amp;SUBSTITUTE(CreateGuidString(),"-","_")</f>
        <v>nA1351A74_6CF2_4D00_B260_EBDD36891CAB</v>
      </c>
    </row>
    <row r="343" spans="1:8" x14ac:dyDescent="0.35">
      <c r="A3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3" s="12" t="s">
        <v>1018</v>
      </c>
      <c r="C343" s="13" t="s">
        <v>1672</v>
      </c>
      <c r="E343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G343" s="12" t="s">
        <v>1019</v>
      </c>
      <c r="H343" s="19" t="str" cm="1">
        <f t="array" ref="H343">"n"&amp;SUBSTITUTE(CreateGuidString(),"-","_")</f>
        <v>nC575C343_CF3C_4960_8D3B_073E6713C891</v>
      </c>
    </row>
    <row r="344" spans="1:8" x14ac:dyDescent="0.35">
      <c r="A3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4" s="12" t="s">
        <v>1295</v>
      </c>
      <c r="C344" s="13" t="s">
        <v>1673</v>
      </c>
      <c r="E344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H344" s="19" t="str" cm="1">
        <f t="array" ref="H344">"n"&amp;SUBSTITUTE(CreateGuidString(),"-","_")</f>
        <v>n44F7CFDB_06F3_4F60_9F79_564B50C1B714</v>
      </c>
    </row>
    <row r="345" spans="1:8" x14ac:dyDescent="0.35">
      <c r="A3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5" s="12" t="s">
        <v>1020</v>
      </c>
      <c r="C345" s="13" t="s">
        <v>1674</v>
      </c>
      <c r="E345" s="12" t="str">
        <f>IF(NodesData[[#This Row],[Class Disambiguation]]="",NodesData[[#This Row],[Common Name]],NodesData[[#This Row],[Common Name]]&amp;" ("&amp;NodesData[[#This Row],[Class Disambiguation]]&amp;")")</f>
        <v>Pre-approval</v>
      </c>
      <c r="G345" s="12" t="s">
        <v>1021</v>
      </c>
      <c r="H345" s="19" t="str" cm="1">
        <f t="array" ref="H345">"n"&amp;SUBSTITUTE(CreateGuidString(),"-","_")</f>
        <v>n67C26181_2E46_4783_AE5F_E649D546D64F</v>
      </c>
    </row>
    <row r="346" spans="1:8" x14ac:dyDescent="0.35">
      <c r="A3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46" s="12" t="s">
        <v>1022</v>
      </c>
      <c r="C346" s="13" t="s">
        <v>1675</v>
      </c>
      <c r="E346" s="12" t="str">
        <f>IF(NodesData[[#This Row],[Class Disambiguation]]="",NodesData[[#This Row],[Common Name]],NodesData[[#This Row],[Common Name]]&amp;" ("&amp;NodesData[[#This Row],[Class Disambiguation]]&amp;")")</f>
        <v>Principal</v>
      </c>
      <c r="G346" s="12" t="s">
        <v>1023</v>
      </c>
      <c r="H346" s="19" t="str" cm="1">
        <f t="array" ref="H346">"n"&amp;SUBSTITUTE(CreateGuidString(),"-","_")</f>
        <v>n4928549D_3FCA_4372_A3AC_ECCA7DB701B6</v>
      </c>
    </row>
    <row r="347" spans="1:8" x14ac:dyDescent="0.35">
      <c r="A3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47" s="12" t="s">
        <v>364</v>
      </c>
      <c r="C347" s="13" t="s">
        <v>1676</v>
      </c>
      <c r="E347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G347" s="12" t="s">
        <v>1024</v>
      </c>
      <c r="H347" s="19" t="str" cm="1">
        <f t="array" ref="H347">"n"&amp;SUBSTITUTE(CreateGuidString(),"-","_")</f>
        <v>nCD0961FC_102A_44DD_A75D_39AC7123D7CA</v>
      </c>
    </row>
    <row r="348" spans="1:8" x14ac:dyDescent="0.35">
      <c r="A3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48" s="12" t="s">
        <v>1025</v>
      </c>
      <c r="C348" s="13" t="s">
        <v>1677</v>
      </c>
      <c r="E348" s="12" t="str">
        <f>IF(NodesData[[#This Row],[Class Disambiguation]]="",NodesData[[#This Row],[Common Name]],NodesData[[#This Row],[Common Name]]&amp;" ("&amp;NodesData[[#This Row],[Class Disambiguation]]&amp;")")</f>
        <v>Privilege</v>
      </c>
      <c r="G348" s="12" t="s">
        <v>1026</v>
      </c>
      <c r="H348" s="19" t="str" cm="1">
        <f t="array" ref="H348">"n"&amp;SUBSTITUTE(CreateGuidString(),"-","_")</f>
        <v>nD8FF08AC_5166_4E44_801A_19C347B9F900</v>
      </c>
    </row>
    <row r="349" spans="1:8" x14ac:dyDescent="0.35">
      <c r="A3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49" s="12" t="s">
        <v>366</v>
      </c>
      <c r="C349" s="13" t="s">
        <v>1678</v>
      </c>
      <c r="E349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G349" s="12" t="s">
        <v>1027</v>
      </c>
      <c r="H349" s="19" t="str" cm="1">
        <f t="array" ref="H349">"n"&amp;SUBSTITUTE(CreateGuidString(),"-","_")</f>
        <v>nCF616767_041A_45C8_9ED5_9D923CEABFF9</v>
      </c>
    </row>
    <row r="350" spans="1:8" x14ac:dyDescent="0.35">
      <c r="A3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0" s="12" t="s">
        <v>1028</v>
      </c>
      <c r="C350" s="13" t="s">
        <v>1679</v>
      </c>
      <c r="E350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G350" s="12" t="s">
        <v>1029</v>
      </c>
      <c r="H350" s="19" t="str" cm="1">
        <f t="array" ref="H350">"n"&amp;SUBSTITUTE(CreateGuidString(),"-","_")</f>
        <v>nCF2EE2AE_3531_443E_98B1_1A5C8A8B17EA</v>
      </c>
    </row>
    <row r="351" spans="1:8" x14ac:dyDescent="0.35">
      <c r="A3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1" s="12" t="s">
        <v>1030</v>
      </c>
      <c r="C351" s="13" t="s">
        <v>1680</v>
      </c>
      <c r="E351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G351" s="12" t="s">
        <v>1031</v>
      </c>
      <c r="H351" s="19" t="str" cm="1">
        <f t="array" ref="H351">"n"&amp;SUBSTITUTE(CreateGuidString(),"-","_")</f>
        <v>n945070B2_8AD8_4727_8ED9_4C7FE7F1CA60</v>
      </c>
    </row>
    <row r="352" spans="1:8" x14ac:dyDescent="0.35">
      <c r="A3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2" s="12" t="s">
        <v>1032</v>
      </c>
      <c r="C352" s="13" t="s">
        <v>1681</v>
      </c>
      <c r="E352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G352" s="12" t="s">
        <v>1033</v>
      </c>
      <c r="H352" s="19" t="str" cm="1">
        <f t="array" ref="H352">"n"&amp;SUBSTITUTE(CreateGuidString(),"-","_")</f>
        <v>n966D6DD2_1D27_488F_B4CF_8C0FD5E5E5A8</v>
      </c>
    </row>
    <row r="353" spans="1:8" x14ac:dyDescent="0.35">
      <c r="A3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3" s="12" t="s">
        <v>369</v>
      </c>
      <c r="C353" s="13" t="s">
        <v>1682</v>
      </c>
      <c r="E353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G353" s="12" t="s">
        <v>1034</v>
      </c>
      <c r="H353" s="19" t="str" cm="1">
        <f t="array" ref="H353">"n"&amp;SUBSTITUTE(CreateGuidString(),"-","_")</f>
        <v>nA4DD6437_C456_477E_9CE7_E3F29B69A493</v>
      </c>
    </row>
    <row r="354" spans="1:8" x14ac:dyDescent="0.35">
      <c r="A3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4" s="12" t="s">
        <v>1035</v>
      </c>
      <c r="C354" s="13" t="s">
        <v>1683</v>
      </c>
      <c r="E354" s="12" t="str">
        <f>IF(NodesData[[#This Row],[Class Disambiguation]]="",NodesData[[#This Row],[Common Name]],NodesData[[#This Row],[Common Name]]&amp;" ("&amp;NodesData[[#This Row],[Class Disambiguation]]&amp;")")</f>
        <v>Provisioning</v>
      </c>
      <c r="G354" s="12" t="s">
        <v>1036</v>
      </c>
      <c r="H354" s="19" t="str" cm="1">
        <f t="array" ref="H354">"n"&amp;SUBSTITUTE(CreateGuidString(),"-","_")</f>
        <v>n3AF15D61_ACBA_4822_BBC5_B7D247DBB293</v>
      </c>
    </row>
    <row r="355" spans="1:8" x14ac:dyDescent="0.35">
      <c r="A3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5" s="12" t="s">
        <v>376</v>
      </c>
      <c r="C355" s="13" t="s">
        <v>1689</v>
      </c>
      <c r="E355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G355" s="12" t="s">
        <v>1037</v>
      </c>
      <c r="H355" s="19" t="str" cm="1">
        <f t="array" ref="H355">"n"&amp;SUBSTITUTE(CreateGuidString(),"-","_")</f>
        <v>n2D3F8769_7305_4836_9294_5C13CE9C11E7</v>
      </c>
    </row>
    <row r="356" spans="1:8" x14ac:dyDescent="0.35">
      <c r="A3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56" s="12" t="s">
        <v>378</v>
      </c>
      <c r="C356" s="13" t="s">
        <v>1685</v>
      </c>
      <c r="E356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G356" s="12" t="s">
        <v>1038</v>
      </c>
      <c r="H356" s="19" t="str" cm="1">
        <f t="array" ref="H356">"n"&amp;SUBSTITUTE(CreateGuidString(),"-","_")</f>
        <v>nE9F74088_7223_4A90_B237_E34BB28D9985</v>
      </c>
    </row>
    <row r="357" spans="1:8" x14ac:dyDescent="0.35">
      <c r="A3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57" s="12" t="s">
        <v>1039</v>
      </c>
      <c r="C357" s="13" t="s">
        <v>1686</v>
      </c>
      <c r="D357" s="12" t="s">
        <v>1270</v>
      </c>
      <c r="E357" s="12" t="str">
        <f>IF(NodesData[[#This Row],[Class Disambiguation]]="",NodesData[[#This Row],[Common Name]],NodesData[[#This Row],[Common Name]]&amp;" ("&amp;NodesData[[#This Row],[Class Disambiguation]]&amp;")")</f>
        <v>RA (Acronym)</v>
      </c>
      <c r="G357" s="12" t="s">
        <v>1040</v>
      </c>
      <c r="H357" s="19" t="str" cm="1">
        <f t="array" ref="H357">"n"&amp;SUBSTITUTE(CreateGuidString(),"-","_")</f>
        <v>nD8A4ABDD_317F_451F_9E76_8B4AFAEA24C0</v>
      </c>
    </row>
    <row r="358" spans="1:8" x14ac:dyDescent="0.35">
      <c r="A3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58" s="12" t="s">
        <v>1041</v>
      </c>
      <c r="C358" s="13" t="s">
        <v>1687</v>
      </c>
      <c r="E358" s="12" t="str">
        <f>IF(NodesData[[#This Row],[Class Disambiguation]]="",NodesData[[#This Row],[Common Name]],NodesData[[#This Row],[Common Name]]&amp;" ("&amp;NodesData[[#This Row],[Class Disambiguation]]&amp;")")</f>
        <v>Ratio Scale</v>
      </c>
      <c r="G358" s="12" t="s">
        <v>1042</v>
      </c>
      <c r="H358" s="19" t="str" cm="1">
        <f t="array" ref="H358">"n"&amp;SUBSTITUTE(CreateGuidString(),"-","_")</f>
        <v>n993FBE76_632D_460A_89D2_103DA0193C41</v>
      </c>
    </row>
    <row r="359" spans="1:8" x14ac:dyDescent="0.35">
      <c r="A3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59" s="12" t="s">
        <v>1043</v>
      </c>
      <c r="C359" s="13" t="s">
        <v>1688</v>
      </c>
      <c r="D359" s="12" t="s">
        <v>1270</v>
      </c>
      <c r="E359" s="12" t="str">
        <f>IF(NodesData[[#This Row],[Class Disambiguation]]="",NodesData[[#This Row],[Common Name]],NodesData[[#This Row],[Common Name]]&amp;" ("&amp;NodesData[[#This Row],[Class Disambiguation]]&amp;")")</f>
        <v>RBA (Acronym)</v>
      </c>
      <c r="G359" s="12" t="s">
        <v>1044</v>
      </c>
      <c r="H359" s="19" t="str" cm="1">
        <f t="array" ref="H359">"n"&amp;SUBSTITUTE(CreateGuidString(),"-","_")</f>
        <v>n44898AC7_5E4E_464E_953E_9556E4EDC1C6</v>
      </c>
    </row>
    <row r="360" spans="1:8" x14ac:dyDescent="0.35">
      <c r="A3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0" s="12" t="s">
        <v>1045</v>
      </c>
      <c r="C360" s="13" t="s">
        <v>1692</v>
      </c>
      <c r="E360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G360" s="12" t="s">
        <v>1046</v>
      </c>
      <c r="H360" s="19" t="str" cm="1">
        <f t="array" ref="H360">"n"&amp;SUBSTITUTE(CreateGuidString(),"-","_")</f>
        <v>nBDD582EE_DB5F_4848_AA26_2F2D709799F0</v>
      </c>
    </row>
    <row r="361" spans="1:8" x14ac:dyDescent="0.35">
      <c r="A3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1" s="12" t="s">
        <v>1047</v>
      </c>
      <c r="C361" s="13" t="s">
        <v>1690</v>
      </c>
      <c r="E361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G361" s="12" t="s">
        <v>1048</v>
      </c>
      <c r="H361" s="19" t="str" cm="1">
        <f t="array" ref="H361">"n"&amp;SUBSTITUTE(CreateGuidString(),"-","_")</f>
        <v>n19863054_0F97_402C_A0F3_AE203FC5D8A8</v>
      </c>
    </row>
    <row r="362" spans="1:8" x14ac:dyDescent="0.35">
      <c r="A3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2" s="12" t="s">
        <v>1049</v>
      </c>
      <c r="C362" s="13" t="s">
        <v>1691</v>
      </c>
      <c r="E362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G362" s="12" t="s">
        <v>1050</v>
      </c>
      <c r="H362" s="19" t="str" cm="1">
        <f t="array" ref="H362">"n"&amp;SUBSTITUTE(CreateGuidString(),"-","_")</f>
        <v>n4D9E7340_9178_4386_9128_2BFE2240C0A8</v>
      </c>
    </row>
    <row r="363" spans="1:8" x14ac:dyDescent="0.35">
      <c r="A3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3" s="12" t="s">
        <v>1051</v>
      </c>
      <c r="C363" s="13" t="s">
        <v>1701</v>
      </c>
      <c r="E363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G363" s="12" t="s">
        <v>1052</v>
      </c>
      <c r="H363" s="19" t="str" cm="1">
        <f t="array" ref="H363">"n"&amp;SUBSTITUTE(CreateGuidString(),"-","_")</f>
        <v>nE8A332F0_DA62_4755_85E8_ABA86E45234B</v>
      </c>
    </row>
    <row r="364" spans="1:8" x14ac:dyDescent="0.35">
      <c r="A3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4" s="12" t="s">
        <v>1053</v>
      </c>
      <c r="C364" s="13" t="s">
        <v>1693</v>
      </c>
      <c r="E364" s="12" t="str">
        <f>IF(NodesData[[#This Row],[Class Disambiguation]]="",NodesData[[#This Row],[Common Name]],NodesData[[#This Row],[Common Name]]&amp;" ("&amp;NodesData[[#This Row],[Class Disambiguation]]&amp;")")</f>
        <v>Rejoiner</v>
      </c>
      <c r="G364" s="12" t="s">
        <v>1054</v>
      </c>
      <c r="H364" s="19" t="str" cm="1">
        <f t="array" ref="H364">"n"&amp;SUBSTITUTE(CreateGuidString(),"-","_")</f>
        <v>n36F8D830_728F_4AE8_93DE_606F08A44470</v>
      </c>
    </row>
    <row r="365" spans="1:8" x14ac:dyDescent="0.35">
      <c r="A3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5" s="12" t="s">
        <v>1055</v>
      </c>
      <c r="C365" s="13" t="s">
        <v>1694</v>
      </c>
      <c r="E365" s="12" t="str">
        <f>IF(NodesData[[#This Row],[Class Disambiguation]]="",NodesData[[#This Row],[Common Name]],NodesData[[#This Row],[Common Name]]&amp;" ("&amp;NodesData[[#This Row],[Class Disambiguation]]&amp;")")</f>
        <v>Relying Party</v>
      </c>
      <c r="G365" s="12" t="s">
        <v>1056</v>
      </c>
      <c r="H365" s="19" t="str" cm="1">
        <f t="array" ref="H365">"n"&amp;SUBSTITUTE(CreateGuidString(),"-","_")</f>
        <v>nAF9B8973_6877_4422_8D7E_B5F4E5BD8F1A</v>
      </c>
    </row>
    <row r="366" spans="1:8" x14ac:dyDescent="0.35">
      <c r="A3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66" s="12" t="s">
        <v>1057</v>
      </c>
      <c r="C366" s="13" t="s">
        <v>1695</v>
      </c>
      <c r="E366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G366" s="12" t="s">
        <v>1058</v>
      </c>
      <c r="H366" s="19" t="str" cm="1">
        <f t="array" ref="H366">"n"&amp;SUBSTITUTE(CreateGuidString(),"-","_")</f>
        <v>nD2D99354_0AD0_47C5_AE7A_723817B6375F</v>
      </c>
    </row>
    <row r="367" spans="1:8" x14ac:dyDescent="0.35">
      <c r="A3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67" s="12" t="s">
        <v>1059</v>
      </c>
      <c r="C367" s="13" t="s">
        <v>1696</v>
      </c>
      <c r="E367" s="12" t="str">
        <f>IF(NodesData[[#This Row],[Class Disambiguation]]="",NodesData[[#This Row],[Common Name]],NodesData[[#This Row],[Common Name]]&amp;" ("&amp;NodesData[[#This Row],[Class Disambiguation]]&amp;")")</f>
        <v>Repeatability</v>
      </c>
      <c r="G367" s="12" t="s">
        <v>1060</v>
      </c>
      <c r="H367" s="19" t="str" cm="1">
        <f t="array" ref="H367">"n"&amp;SUBSTITUTE(CreateGuidString(),"-","_")</f>
        <v>nA904C265_A212_48DA_BA6B_3946A5E86917</v>
      </c>
    </row>
    <row r="368" spans="1:8" x14ac:dyDescent="0.35">
      <c r="A3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68" s="12" t="s">
        <v>1061</v>
      </c>
      <c r="C368" s="13" t="s">
        <v>1697</v>
      </c>
      <c r="E368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G368" s="12" t="s">
        <v>1062</v>
      </c>
      <c r="H368" s="19" t="str" cm="1">
        <f t="array" ref="H368">"n"&amp;SUBSTITUTE(CreateGuidString(),"-","_")</f>
        <v>nACEA40CA_5560_45B3_AF5E_637FECCC40CE</v>
      </c>
    </row>
    <row r="369" spans="1:8" x14ac:dyDescent="0.35">
      <c r="A3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69" s="12" t="s">
        <v>1063</v>
      </c>
      <c r="C369" s="13" t="s">
        <v>1698</v>
      </c>
      <c r="E369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G369" s="12" t="s">
        <v>1064</v>
      </c>
      <c r="H369" s="19" t="str" cm="1">
        <f t="array" ref="H369">"n"&amp;SUBSTITUTE(CreateGuidString(),"-","_")</f>
        <v>n21738FC1_2210_41DF_BC5E_9BA896DC0141</v>
      </c>
    </row>
    <row r="370" spans="1:8" x14ac:dyDescent="0.35">
      <c r="A3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0" s="12" t="s">
        <v>1065</v>
      </c>
      <c r="C370" s="13" t="s">
        <v>1699</v>
      </c>
      <c r="E370" s="12" t="str">
        <f>IF(NodesData[[#This Row],[Class Disambiguation]]="",NodesData[[#This Row],[Common Name]],NodesData[[#This Row],[Common Name]]&amp;" ("&amp;NodesData[[#This Row],[Class Disambiguation]]&amp;")")</f>
        <v>Revocation</v>
      </c>
      <c r="G370" s="12" t="s">
        <v>1066</v>
      </c>
      <c r="H370" s="19" t="str" cm="1">
        <f t="array" ref="H370">"n"&amp;SUBSTITUTE(CreateGuidString(),"-","_")</f>
        <v>n431B3068_E580_4043_A601_A1EAB378679F</v>
      </c>
    </row>
    <row r="371" spans="1:8" x14ac:dyDescent="0.35">
      <c r="A3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1" s="12" t="s">
        <v>1067</v>
      </c>
      <c r="C371" s="13" t="s">
        <v>1700</v>
      </c>
      <c r="D371" s="12" t="s">
        <v>1270</v>
      </c>
      <c r="E371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G371" s="12" t="s">
        <v>1068</v>
      </c>
      <c r="H371" s="19" t="str" cm="1">
        <f t="array" ref="H371">"n"&amp;SUBSTITUTE(CreateGuidString(),"-","_")</f>
        <v>nA6333F7E_EDA2_45AB_9EE5_DDD27A30F4DF</v>
      </c>
    </row>
    <row r="372" spans="1:8" x14ac:dyDescent="0.35">
      <c r="A3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2" s="12" t="s">
        <v>1069</v>
      </c>
      <c r="C372" s="13" t="s">
        <v>1728</v>
      </c>
      <c r="E372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G372" s="12" t="s">
        <v>1070</v>
      </c>
      <c r="H372" s="19" t="str" cm="1">
        <f t="array" ref="H372">"n"&amp;SUBSTITUTE(CreateGuidString(),"-","_")</f>
        <v>n5D4AE802_8561_456D_9E3D_0DF0733F3854</v>
      </c>
    </row>
    <row r="373" spans="1:8" x14ac:dyDescent="0.35">
      <c r="A3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</v>
      </c>
      <c r="B373" s="12" t="s">
        <v>1071</v>
      </c>
      <c r="C373" s="13" t="s">
        <v>1702</v>
      </c>
      <c r="E373" s="12" t="str">
        <f>IF(NodesData[[#This Row],[Class Disambiguation]]="",NodesData[[#This Row],[Common Name]],NodesData[[#This Row],[Common Name]]&amp;" ("&amp;NodesData[[#This Row],[Class Disambiguation]]&amp;")")</f>
        <v>Role</v>
      </c>
      <c r="G373" s="12" t="s">
        <v>1072</v>
      </c>
      <c r="H373" s="19" t="str" cm="1">
        <f t="array" ref="H373">"n"&amp;SUBSTITUTE(CreateGuidString(),"-","_")</f>
        <v>n2A613D93_898C_4687_AC4B_8D56A857D18A</v>
      </c>
    </row>
    <row r="374" spans="1:8" x14ac:dyDescent="0.35">
      <c r="A3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4" s="12" t="s">
        <v>1073</v>
      </c>
      <c r="C374" s="13" t="s">
        <v>1704</v>
      </c>
      <c r="E374" s="12" t="str">
        <f>IF(NodesData[[#This Row],[Class Disambiguation]]="",NodesData[[#This Row],[Common Name]],NodesData[[#This Row],[Common Name]]&amp;" ("&amp;NodesData[[#This Row],[Class Disambiguation]]&amp;")")</f>
        <v>Role Bloating</v>
      </c>
      <c r="G374" s="12" t="s">
        <v>1074</v>
      </c>
      <c r="H374" s="19" t="str" cm="1">
        <f t="array" ref="H374">"n"&amp;SUBSTITUTE(CreateGuidString(),"-","_")</f>
        <v>n188697EC_ED01_4786_AEF9_E450A8C11161</v>
      </c>
    </row>
    <row r="375" spans="1:8" x14ac:dyDescent="0.35">
      <c r="A3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5" s="12" t="s">
        <v>1075</v>
      </c>
      <c r="C375" s="13" t="s">
        <v>1705</v>
      </c>
      <c r="E375" s="12" t="str">
        <f>IF(NodesData[[#This Row],[Class Disambiguation]]="",NodesData[[#This Row],[Common Name]],NodesData[[#This Row],[Common Name]]&amp;" ("&amp;NodesData[[#This Row],[Class Disambiguation]]&amp;")")</f>
        <v>Role Capacity</v>
      </c>
      <c r="G375" s="12" t="s">
        <v>1076</v>
      </c>
      <c r="H375" s="19" t="str" cm="1">
        <f t="array" ref="H375">"n"&amp;SUBSTITUTE(CreateGuidString(),"-","_")</f>
        <v>n6BB26775_DCFC_4038_82D0_6C98E177BC82</v>
      </c>
    </row>
    <row r="376" spans="1:8" x14ac:dyDescent="0.35">
      <c r="A3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76" s="12" t="s">
        <v>1077</v>
      </c>
      <c r="C376" s="13" t="s">
        <v>1706</v>
      </c>
      <c r="E376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G376" s="12" t="s">
        <v>1078</v>
      </c>
      <c r="H376" s="19" t="str" cm="1">
        <f t="array" ref="H376">"n"&amp;SUBSTITUTE(CreateGuidString(),"-","_")</f>
        <v>n58B185F8_B8F3_4C7B_9D9F_0E1A21A68B17</v>
      </c>
    </row>
    <row r="377" spans="1:8" x14ac:dyDescent="0.35">
      <c r="A3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77" s="12" t="s">
        <v>1079</v>
      </c>
      <c r="C377" s="13" t="s">
        <v>1707</v>
      </c>
      <c r="E377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G377" s="12" t="s">
        <v>1080</v>
      </c>
      <c r="H377" s="19" t="str" cm="1">
        <f t="array" ref="H377">"n"&amp;SUBSTITUTE(CreateGuidString(),"-","_")</f>
        <v>nCC66D83D_18BC_4D6D_8EF1_17BAB95CE7FF</v>
      </c>
    </row>
    <row r="378" spans="1:8" x14ac:dyDescent="0.35">
      <c r="A3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78" s="12" t="s">
        <v>1081</v>
      </c>
      <c r="C378" s="13" t="s">
        <v>1708</v>
      </c>
      <c r="E378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G378" s="12" t="s">
        <v>1082</v>
      </c>
      <c r="H378" s="19" t="str" cm="1">
        <f t="array" ref="H378">"n"&amp;SUBSTITUTE(CreateGuidString(),"-","_")</f>
        <v>nFDE84E6E_F2B9_481E_9F88_862B5B3804A9</v>
      </c>
    </row>
    <row r="379" spans="1:8" x14ac:dyDescent="0.35">
      <c r="A3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79" s="12" t="s">
        <v>1083</v>
      </c>
      <c r="C379" s="13" t="s">
        <v>1709</v>
      </c>
      <c r="E379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G379" s="12" t="s">
        <v>1084</v>
      </c>
      <c r="H379" s="19" t="str" cm="1">
        <f t="array" ref="H379">"n"&amp;SUBSTITUTE(CreateGuidString(),"-","_")</f>
        <v>nBA498220_4623_4FAE_8828_62E1FD020E3B</v>
      </c>
    </row>
    <row r="380" spans="1:8" x14ac:dyDescent="0.35">
      <c r="A3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0" s="12" t="s">
        <v>1085</v>
      </c>
      <c r="C380" s="13" t="s">
        <v>1703</v>
      </c>
      <c r="E380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G380" s="12" t="s">
        <v>1086</v>
      </c>
      <c r="H380" s="19" t="str" cm="1">
        <f t="array" ref="H380">"n"&amp;SUBSTITUTE(CreateGuidString(),"-","_")</f>
        <v>n70EB1376_6243_4E13_82D3_373CC8CFDE6C</v>
      </c>
    </row>
    <row r="381" spans="1:8" x14ac:dyDescent="0.35">
      <c r="A3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1" s="12" t="s">
        <v>1087</v>
      </c>
      <c r="C381" s="13" t="s">
        <v>1710</v>
      </c>
      <c r="D381" s="12" t="s">
        <v>1270</v>
      </c>
      <c r="E381" s="12" t="str">
        <f>IF(NodesData[[#This Row],[Class Disambiguation]]="",NodesData[[#This Row],[Common Name]],NodesData[[#This Row],[Common Name]]&amp;" ("&amp;NodesData[[#This Row],[Class Disambiguation]]&amp;")")</f>
        <v>RP (Acronym)</v>
      </c>
      <c r="G381" s="12" t="s">
        <v>1088</v>
      </c>
      <c r="H381" s="19" t="str" cm="1">
        <f t="array" ref="H381">"n"&amp;SUBSTITUTE(CreateGuidString(),"-","_")</f>
        <v>n31B1E93D_9FA4_484B_BC73_A35ECDD58873</v>
      </c>
    </row>
    <row r="382" spans="1:8" x14ac:dyDescent="0.35">
      <c r="A3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2" s="12" t="s">
        <v>407</v>
      </c>
      <c r="C382" s="13" t="s">
        <v>1711</v>
      </c>
      <c r="E382" s="12" t="str">
        <f>IF(NodesData[[#This Row],[Class Disambiguation]]="",NodesData[[#This Row],[Common Name]],NodesData[[#This Row],[Common Name]]&amp;" ("&amp;NodesData[[#This Row],[Class Disambiguation]]&amp;")")</f>
        <v>SAM Database</v>
      </c>
      <c r="G382" s="12" t="s">
        <v>1089</v>
      </c>
      <c r="H382" s="19" t="str" cm="1">
        <f t="array" ref="H382">"n"&amp;SUBSTITUTE(CreateGuidString(),"-","_")</f>
        <v>n29A526FD_2A54_4128_9D11_30F08A92DC09</v>
      </c>
    </row>
    <row r="383" spans="1:8" x14ac:dyDescent="0.35">
      <c r="A3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3" s="12" t="s">
        <v>408</v>
      </c>
      <c r="C383" s="13" t="s">
        <v>1712</v>
      </c>
      <c r="D383" s="12" t="s">
        <v>1270</v>
      </c>
      <c r="E383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G383" s="12" t="s">
        <v>1090</v>
      </c>
      <c r="H383" s="19" t="str" cm="1">
        <f t="array" ref="H383">"n"&amp;SUBSTITUTE(CreateGuidString(),"-","_")</f>
        <v>n01B1FD04_FF8E_499C_AA49_C4D6BA36C3F5</v>
      </c>
    </row>
    <row r="384" spans="1:8" x14ac:dyDescent="0.35">
      <c r="A3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4" s="12" t="s">
        <v>1093</v>
      </c>
      <c r="C384" s="13" t="s">
        <v>1714</v>
      </c>
      <c r="D384" s="12" t="s">
        <v>1270</v>
      </c>
      <c r="E384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G384" s="12" t="s">
        <v>1094</v>
      </c>
      <c r="H384" s="19" t="str" cm="1">
        <f t="array" ref="H384">"n"&amp;SUBSTITUTE(CreateGuidString(),"-","_")</f>
        <v>n24D061C3_3F8E_45E5_A514_C81ECDA4CA1F</v>
      </c>
    </row>
    <row r="385" spans="1:8" x14ac:dyDescent="0.35">
      <c r="A3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85" s="12" t="s">
        <v>1095</v>
      </c>
      <c r="C385" s="13" t="s">
        <v>1715</v>
      </c>
      <c r="D385" s="12" t="s">
        <v>1270</v>
      </c>
      <c r="E385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G385" s="12" t="s">
        <v>1096</v>
      </c>
      <c r="H385" s="19" t="str" cm="1">
        <f t="array" ref="H385">"n"&amp;SUBSTITUTE(CreateGuidString(),"-","_")</f>
        <v>n5E6C5020_3440_477E_B3D8_D3C50FD714FF</v>
      </c>
    </row>
    <row r="386" spans="1:8" x14ac:dyDescent="0.35">
      <c r="A3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86" s="12" t="s">
        <v>1097</v>
      </c>
      <c r="C386" s="13" t="s">
        <v>1716</v>
      </c>
      <c r="D386" s="12" t="s">
        <v>1270</v>
      </c>
      <c r="E386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G386" s="12" t="s">
        <v>1098</v>
      </c>
      <c r="H386" s="19" t="str" cm="1">
        <f t="array" ref="H386">"n"&amp;SUBSTITUTE(CreateGuidString(),"-","_")</f>
        <v>nF8B31B60_0527_4C1E_98C2_BAF0E24F0BBF</v>
      </c>
    </row>
    <row r="387" spans="1:8" x14ac:dyDescent="0.35">
      <c r="A3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7" s="12" t="s">
        <v>1091</v>
      </c>
      <c r="C387" s="13" t="s">
        <v>1713</v>
      </c>
      <c r="D387" s="12" t="s">
        <v>1270</v>
      </c>
      <c r="E387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G387" s="12" t="s">
        <v>1092</v>
      </c>
      <c r="H387" s="19" t="str" cm="1">
        <f t="array" ref="H387">"n"&amp;SUBSTITUTE(CreateGuidString(),"-","_")</f>
        <v>nF247BC81_03E9_4884_B09A_80433AC0D7D0</v>
      </c>
    </row>
    <row r="388" spans="1:8" x14ac:dyDescent="0.35">
      <c r="A3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Scoping</v>
      </c>
      <c r="B388" s="12" t="s">
        <v>1099</v>
      </c>
      <c r="C388" s="13" t="s">
        <v>1717</v>
      </c>
      <c r="E388" s="12" t="str">
        <f>IF(NodesData[[#This Row],[Class Disambiguation]]="",NodesData[[#This Row],[Common Name]],NodesData[[#This Row],[Common Name]]&amp;" ("&amp;NodesData[[#This Row],[Class Disambiguation]]&amp;")")</f>
        <v>Scoping</v>
      </c>
      <c r="G388" s="12" t="s">
        <v>1100</v>
      </c>
      <c r="H388" s="19" t="str" cm="1">
        <f t="array" ref="H388">"n"&amp;SUBSTITUTE(CreateGuidString(),"-","_")</f>
        <v>n2ACE2EEC_320C_49B6_B42D_C86BBA38F281</v>
      </c>
    </row>
    <row r="389" spans="1:8" x14ac:dyDescent="0.35">
      <c r="A3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89" s="12" t="s">
        <v>1101</v>
      </c>
      <c r="C389" s="13" t="s">
        <v>1718</v>
      </c>
      <c r="D389" s="12" t="s">
        <v>1270</v>
      </c>
      <c r="E389" s="12" t="str">
        <f>IF(NodesData[[#This Row],[Class Disambiguation]]="",NodesData[[#This Row],[Common Name]],NodesData[[#This Row],[Common Name]]&amp;" ("&amp;NodesData[[#This Row],[Class Disambiguation]]&amp;")")</f>
        <v>SD (Acronym)</v>
      </c>
      <c r="G389" s="12" t="s">
        <v>1102</v>
      </c>
      <c r="H389" s="19" t="str" cm="1">
        <f t="array" ref="H389">"n"&amp;SUBSTITUTE(CreateGuidString(),"-","_")</f>
        <v>nD7B90576_1599_4DD0_A012_FBE90CE07312</v>
      </c>
    </row>
    <row r="390" spans="1:8" x14ac:dyDescent="0.35">
      <c r="A3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0" s="12" t="s">
        <v>1103</v>
      </c>
      <c r="C390" s="13" t="s">
        <v>1719</v>
      </c>
      <c r="D390" s="12" t="s">
        <v>1270</v>
      </c>
      <c r="E390" s="12" t="str">
        <f>IF(NodesData[[#This Row],[Class Disambiguation]]="",NodesData[[#This Row],[Common Name]],NodesData[[#This Row],[Common Name]]&amp;" ("&amp;NodesData[[#This Row],[Class Disambiguation]]&amp;")")</f>
        <v>SDP (Acronym)</v>
      </c>
      <c r="G390" s="12" t="s">
        <v>1104</v>
      </c>
      <c r="H390" s="19" t="str" cm="1">
        <f t="array" ref="H390">"n"&amp;SUBSTITUTE(CreateGuidString(),"-","_")</f>
        <v>nF4506762_BC6E_441B_9549_6B96D23E3F14</v>
      </c>
    </row>
    <row r="391" spans="1:8" x14ac:dyDescent="0.35">
      <c r="A3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1" s="12" t="s">
        <v>1105</v>
      </c>
      <c r="C391" s="13" t="s">
        <v>1720</v>
      </c>
      <c r="E391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G391" s="12" t="s">
        <v>1106</v>
      </c>
      <c r="H391" s="19" t="str" cm="1">
        <f t="array" ref="H391">"n"&amp;SUBSTITUTE(CreateGuidString(),"-","_")</f>
        <v>nD002D02D_5E7A_48AC_B043_B96CBE4E62B1</v>
      </c>
    </row>
    <row r="392" spans="1:8" x14ac:dyDescent="0.35">
      <c r="A3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2" s="12" t="s">
        <v>1107</v>
      </c>
      <c r="C392" s="13" t="s">
        <v>1721</v>
      </c>
      <c r="E392" s="12" t="str">
        <f>IF(NodesData[[#This Row],[Class Disambiguation]]="",NodesData[[#This Row],[Common Name]],NodesData[[#This Row],[Common Name]]&amp;" ("&amp;NodesData[[#This Row],[Class Disambiguation]]&amp;")")</f>
        <v>Secure System</v>
      </c>
      <c r="G392" s="12" t="s">
        <v>1108</v>
      </c>
      <c r="H392" s="19" t="str" cm="1">
        <f t="array" ref="H392">"n"&amp;SUBSTITUTE(CreateGuidString(),"-","_")</f>
        <v>n60FFB18C_3CED_4793_9ED3_1A58D2DCBAA5</v>
      </c>
    </row>
    <row r="393" spans="1:8" x14ac:dyDescent="0.35">
      <c r="A3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3" s="12" t="s">
        <v>1109</v>
      </c>
      <c r="C393" s="13" t="s">
        <v>1722</v>
      </c>
      <c r="E393" s="12" t="str">
        <f>IF(NodesData[[#This Row],[Class Disambiguation]]="",NodesData[[#This Row],[Common Name]],NodesData[[#This Row],[Common Name]]&amp;" ("&amp;NodesData[[#This Row],[Class Disambiguation]]&amp;")")</f>
        <v>Security</v>
      </c>
      <c r="G393" s="12" t="s">
        <v>1110</v>
      </c>
      <c r="H393" s="19" t="str" cm="1">
        <f t="array" ref="H393">"n"&amp;SUBSTITUTE(CreateGuidString(),"-","_")</f>
        <v>nBBD59B6A_9B3E_49D5_A317_970E031370F0</v>
      </c>
    </row>
    <row r="394" spans="1:8" x14ac:dyDescent="0.35">
      <c r="A3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4" s="12" t="s">
        <v>1111</v>
      </c>
      <c r="C394" s="13" t="s">
        <v>1723</v>
      </c>
      <c r="E394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G394" s="12" t="s">
        <v>1112</v>
      </c>
      <c r="H394" s="19" t="str" cm="1">
        <f t="array" ref="H394">"n"&amp;SUBSTITUTE(CreateGuidString(),"-","_")</f>
        <v>n5526B05C_B2ED_46A4_80F9_898CA0D46C26</v>
      </c>
    </row>
    <row r="395" spans="1:8" x14ac:dyDescent="0.35">
      <c r="A3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5" s="12" t="s">
        <v>421</v>
      </c>
      <c r="C395" s="13" t="s">
        <v>1724</v>
      </c>
      <c r="E395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G395" s="12" t="s">
        <v>1113</v>
      </c>
      <c r="H395" s="19" t="str" cm="1">
        <f t="array" ref="H395">"n"&amp;SUBSTITUTE(CreateGuidString(),"-","_")</f>
        <v>n836EBCBE_6AB3_48A0_A6C8_A3AAE43F0B90</v>
      </c>
    </row>
    <row r="396" spans="1:8" x14ac:dyDescent="0.35">
      <c r="A3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396" s="12" t="s">
        <v>1114</v>
      </c>
      <c r="C396" s="13" t="s">
        <v>1725</v>
      </c>
      <c r="E396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G396" s="12" t="s">
        <v>1115</v>
      </c>
      <c r="H396" s="19" t="str" cm="1">
        <f t="array" ref="H396">"n"&amp;SUBSTITUTE(CreateGuidString(),"-","_")</f>
        <v>nD0305364_AD36_4DDB_8FED_FEC9ADB7A4F2</v>
      </c>
    </row>
    <row r="397" spans="1:8" x14ac:dyDescent="0.35">
      <c r="A3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397" s="12" t="s">
        <v>1116</v>
      </c>
      <c r="C397" s="13" t="s">
        <v>1726</v>
      </c>
      <c r="E397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G397" s="12" t="s">
        <v>1117</v>
      </c>
      <c r="H397" s="19" t="str" cm="1">
        <f t="array" ref="H397">"n"&amp;SUBSTITUTE(CreateGuidString(),"-","_")</f>
        <v>n5E0954C2_67F6_40B4_8F6D_E9A82E3DE43E</v>
      </c>
    </row>
    <row r="398" spans="1:8" x14ac:dyDescent="0.35">
      <c r="A3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398" s="12" t="s">
        <v>1118</v>
      </c>
      <c r="C398" s="13" t="s">
        <v>1727</v>
      </c>
      <c r="E398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G398" s="12" t="s">
        <v>1119</v>
      </c>
      <c r="H398" s="19" t="str" cm="1">
        <f t="array" ref="H398">"n"&amp;SUBSTITUTE(CreateGuidString(),"-","_")</f>
        <v>n7892757B_EFA3_4160_93C9_6C7F3962ABB8</v>
      </c>
    </row>
    <row r="399" spans="1:8" x14ac:dyDescent="0.35">
      <c r="A3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399" s="12" t="s">
        <v>1329</v>
      </c>
      <c r="C399" s="13" t="s">
        <v>1735</v>
      </c>
      <c r="E399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H399" s="19" t="str" cm="1">
        <f t="array" ref="H399">"n"&amp;SUBSTITUTE(CreateGuidString(),"-","_")</f>
        <v>n02D8D1CE_2531_46E4_8F48_BA08BCCA0C77</v>
      </c>
    </row>
    <row r="400" spans="1:8" x14ac:dyDescent="0.35">
      <c r="A4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0" s="12" t="s">
        <v>1120</v>
      </c>
      <c r="C400" s="13" t="s">
        <v>1729</v>
      </c>
      <c r="E400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G400" s="12" t="s">
        <v>1121</v>
      </c>
      <c r="H400" s="19" t="str" cm="1">
        <f t="array" ref="H400">"n"&amp;SUBSTITUTE(CreateGuidString(),"-","_")</f>
        <v>nF2C499B3_E57C_4591_BD93_C4E2475CDDA5</v>
      </c>
    </row>
    <row r="401" spans="1:8" x14ac:dyDescent="0.35">
      <c r="A4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1" s="12" t="s">
        <v>426</v>
      </c>
      <c r="C401" s="13" t="s">
        <v>1730</v>
      </c>
      <c r="E401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G401" s="12" t="s">
        <v>1122</v>
      </c>
      <c r="H401" s="19" t="str" cm="1">
        <f t="array" ref="H401">"n"&amp;SUBSTITUTE(CreateGuidString(),"-","_")</f>
        <v>n46A80209_48F1_4AF9_9A1A_99F3B369FCCD</v>
      </c>
    </row>
    <row r="402" spans="1:8" x14ac:dyDescent="0.35">
      <c r="A4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2" s="12" t="s">
        <v>1123</v>
      </c>
      <c r="C402" s="13" t="s">
        <v>1731</v>
      </c>
      <c r="E402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G402" s="12" t="s">
        <v>1124</v>
      </c>
      <c r="H402" s="19" t="str" cm="1">
        <f t="array" ref="H402">"n"&amp;SUBSTITUTE(CreateGuidString(),"-","_")</f>
        <v>n03FD971C_27CB_4CCA_90AA_39C0DF928A61</v>
      </c>
    </row>
    <row r="403" spans="1:8" x14ac:dyDescent="0.35">
      <c r="A4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3" s="12" t="s">
        <v>1125</v>
      </c>
      <c r="C403" s="13" t="s">
        <v>1732</v>
      </c>
      <c r="E403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G403" s="12" t="s">
        <v>1126</v>
      </c>
      <c r="H403" s="19" t="str" cm="1">
        <f t="array" ref="H403">"n"&amp;SUBSTITUTE(CreateGuidString(),"-","_")</f>
        <v>nD93D4D54_8206_42F7_B165_750D0B58E52B</v>
      </c>
    </row>
    <row r="404" spans="1:8" x14ac:dyDescent="0.35">
      <c r="A4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4" s="12" t="s">
        <v>429</v>
      </c>
      <c r="C404" s="13" t="s">
        <v>1733</v>
      </c>
      <c r="E404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G404" s="12" t="s">
        <v>1127</v>
      </c>
      <c r="H404" s="19" t="str" cm="1">
        <f t="array" ref="H404">"n"&amp;SUBSTITUTE(CreateGuidString(),"-","_")</f>
        <v>nD2E805EF_47E0_495E_8AFD_E40A3456516C</v>
      </c>
    </row>
    <row r="405" spans="1:8" x14ac:dyDescent="0.35">
      <c r="A4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</v>
      </c>
      <c r="B405" s="12" t="s">
        <v>1128</v>
      </c>
      <c r="C405" s="13" t="s">
        <v>1734</v>
      </c>
      <c r="E405" s="12" t="str">
        <f>IF(NodesData[[#This Row],[Class Disambiguation]]="",NodesData[[#This Row],[Common Name]],NodesData[[#This Row],[Common Name]]&amp;" ("&amp;NodesData[[#This Row],[Class Disambiguation]]&amp;")")</f>
        <v>Session</v>
      </c>
      <c r="G405" s="12" t="s">
        <v>1129</v>
      </c>
      <c r="H405" s="19" t="str" cm="1">
        <f t="array" ref="H405">"n"&amp;SUBSTITUTE(CreateGuidString(),"-","_")</f>
        <v>n678A2F25_74C9_46EE_9E60_2BA1C9A8A935</v>
      </c>
    </row>
    <row r="406" spans="1:8" x14ac:dyDescent="0.35">
      <c r="A4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06" s="12" t="s">
        <v>1331</v>
      </c>
      <c r="C406" s="13" t="s">
        <v>1740</v>
      </c>
      <c r="E406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H406" s="19" t="str" cm="1">
        <f t="array" ref="H406">"n"&amp;SUBSTITUTE(CreateGuidString(),"-","_")</f>
        <v>nA00130FA_B0CC_4C82_A53B_9E8F06A6DF4D</v>
      </c>
    </row>
    <row r="407" spans="1:8" x14ac:dyDescent="0.35">
      <c r="A4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07" s="12" t="s">
        <v>1130</v>
      </c>
      <c r="C407" s="13" t="s">
        <v>1736</v>
      </c>
      <c r="E407" s="12" t="str">
        <f>IF(NodesData[[#This Row],[Class Disambiguation]]="",NodesData[[#This Row],[Common Name]],NodesData[[#This Row],[Common Name]]&amp;" ("&amp;NodesData[[#This Row],[Class Disambiguation]]&amp;")")</f>
        <v>Single Login</v>
      </c>
      <c r="G407" s="12" t="s">
        <v>1131</v>
      </c>
      <c r="H407" s="19" t="str" cm="1">
        <f t="array" ref="H407">"n"&amp;SUBSTITUTE(CreateGuidString(),"-","_")</f>
        <v>n1702C280_097D_46DF_B499_5D6F1AD5A8E6</v>
      </c>
    </row>
    <row r="408" spans="1:8" x14ac:dyDescent="0.35">
      <c r="A4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8" s="12" t="s">
        <v>1132</v>
      </c>
      <c r="C408" s="13" t="s">
        <v>1737</v>
      </c>
      <c r="E408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G408" s="12" t="s">
        <v>1133</v>
      </c>
      <c r="H408" s="19" t="str" cm="1">
        <f t="array" ref="H408">"n"&amp;SUBSTITUTE(CreateGuidString(),"-","_")</f>
        <v>nBB779870_4F32_47CF_8720_F4F9EFD4A13B</v>
      </c>
    </row>
    <row r="409" spans="1:8" x14ac:dyDescent="0.35">
      <c r="A4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9" s="12" t="s">
        <v>1132</v>
      </c>
      <c r="C409" s="13" t="s">
        <v>1738</v>
      </c>
      <c r="E409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09" s="19" t="str" cm="1">
        <f t="array" ref="H409">"n"&amp;SUBSTITUTE(CreateGuidString(),"-","_")</f>
        <v>nD0A32D5E_784A_4B5D_A1FE_4C06D88EC766</v>
      </c>
    </row>
    <row r="410" spans="1:8" x14ac:dyDescent="0.35">
      <c r="A4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SMS OTP</v>
      </c>
      <c r="B410" s="12" t="s">
        <v>1321</v>
      </c>
      <c r="C410" s="13" t="s">
        <v>1739</v>
      </c>
      <c r="E410" s="12" t="str">
        <f>IF(NodesData[[#This Row],[Class Disambiguation]]="",NodesData[[#This Row],[Common Name]],NodesData[[#This Row],[Common Name]]&amp;" ("&amp;NodesData[[#This Row],[Class Disambiguation]]&amp;")")</f>
        <v>SMS OTP</v>
      </c>
      <c r="H410" s="19" t="str" cm="1">
        <f t="array" ref="H410">"n"&amp;SUBSTITUTE(CreateGuidString(),"-","_")</f>
        <v>n8EDA81DF_19E1_411F_960F_63784F03EB71</v>
      </c>
    </row>
    <row r="411" spans="1:8" x14ac:dyDescent="0.35">
      <c r="A4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1" s="12" t="s">
        <v>433</v>
      </c>
      <c r="C411" s="13" t="s">
        <v>1753</v>
      </c>
      <c r="E411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G411" s="12" t="s">
        <v>1134</v>
      </c>
      <c r="H411" s="19" t="str" cm="1">
        <f t="array" ref="H411">"n"&amp;SUBSTITUTE(CreateGuidString(),"-","_")</f>
        <v>n68A4FA36_3BFF_4D01_A538_6FD670204556</v>
      </c>
    </row>
    <row r="412" spans="1:8" x14ac:dyDescent="0.35">
      <c r="A4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2" s="12" t="s">
        <v>434</v>
      </c>
      <c r="C412" s="13" t="s">
        <v>1741</v>
      </c>
      <c r="E412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G412" s="12" t="s">
        <v>1135</v>
      </c>
      <c r="H412" s="19" t="str" cm="1">
        <f t="array" ref="H412">"n"&amp;SUBSTITUTE(CreateGuidString(),"-","_")</f>
        <v>nCB9A260A_59D3_4F7D_8BE8_DDAF6FDB6EF8</v>
      </c>
    </row>
    <row r="413" spans="1:8" x14ac:dyDescent="0.35">
      <c r="A4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3" s="12" t="s">
        <v>1136</v>
      </c>
      <c r="C413" s="13" t="s">
        <v>1742</v>
      </c>
      <c r="D413" s="12" t="s">
        <v>1270</v>
      </c>
      <c r="E413" s="12" t="str">
        <f>IF(NodesData[[#This Row],[Class Disambiguation]]="",NodesData[[#This Row],[Common Name]],NodesData[[#This Row],[Common Name]]&amp;" ("&amp;NodesData[[#This Row],[Class Disambiguation]]&amp;")")</f>
        <v>SoD (Acronym)</v>
      </c>
      <c r="G413" s="12" t="s">
        <v>1137</v>
      </c>
      <c r="H413" s="19" t="str" cm="1">
        <f t="array" ref="H413">"n"&amp;SUBSTITUTE(CreateGuidString(),"-","_")</f>
        <v>n7CE1F0B0_FB60_494B_B50B_B2D2DC0BCD73</v>
      </c>
    </row>
    <row r="414" spans="1:8" x14ac:dyDescent="0.35">
      <c r="A4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4" s="12" t="s">
        <v>1320</v>
      </c>
      <c r="C414" s="13" t="s">
        <v>1743</v>
      </c>
      <c r="E414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H414" s="19" t="str" cm="1">
        <f t="array" ref="H414">"n"&amp;SUBSTITUTE(CreateGuidString(),"-","_")</f>
        <v>n33D7C29C_3276_4995_959F_5DC129431CAA</v>
      </c>
    </row>
    <row r="415" spans="1:8" x14ac:dyDescent="0.35">
      <c r="A4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5" s="12" t="s">
        <v>1138</v>
      </c>
      <c r="C415" s="13" t="s">
        <v>1744</v>
      </c>
      <c r="E415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G415" s="12" t="s">
        <v>1139</v>
      </c>
      <c r="H415" s="19" t="str" cm="1">
        <f t="array" ref="H415">"n"&amp;SUBSTITUTE(CreateGuidString(),"-","_")</f>
        <v>n0C27C103_7A11_4152_8E9A_AA966B8BE478</v>
      </c>
    </row>
    <row r="416" spans="1:8" x14ac:dyDescent="0.35">
      <c r="A4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16" s="12" t="s">
        <v>1140</v>
      </c>
      <c r="C416" s="13" t="s">
        <v>1745</v>
      </c>
      <c r="D416" s="12" t="s">
        <v>1270</v>
      </c>
      <c r="E416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G416" s="12" t="s">
        <v>1141</v>
      </c>
      <c r="H416" s="19" t="str" cm="1">
        <f t="array" ref="H416">"n"&amp;SUBSTITUTE(CreateGuidString(),"-","_")</f>
        <v>n91F2357F_A35F_4253_9544_CBB20EA80724</v>
      </c>
    </row>
    <row r="417" spans="1:8" x14ac:dyDescent="0.35">
      <c r="A4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17" s="12" t="s">
        <v>1142</v>
      </c>
      <c r="C417" s="13" t="s">
        <v>1746</v>
      </c>
      <c r="D417" s="12" t="s">
        <v>1270</v>
      </c>
      <c r="E417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G417" s="12" t="s">
        <v>1143</v>
      </c>
      <c r="H417" s="19" t="str" cm="1">
        <f t="array" ref="H417">"n"&amp;SUBSTITUTE(CreateGuidString(),"-","_")</f>
        <v>n55DF367A_E570_4D3A_A554_F5F082855015</v>
      </c>
    </row>
    <row r="418" spans="1:8" x14ac:dyDescent="0.35">
      <c r="A4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18" s="12" t="s">
        <v>1144</v>
      </c>
      <c r="C418" s="13" t="s">
        <v>1747</v>
      </c>
      <c r="D418" s="12" t="s">
        <v>1270</v>
      </c>
      <c r="E418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G418" s="12" t="s">
        <v>1145</v>
      </c>
      <c r="H418" s="19" t="str" cm="1">
        <f t="array" ref="H418">"n"&amp;SUBSTITUTE(CreateGuidString(),"-","_")</f>
        <v>nBCEABBBB_3C82_49E6_8B5C_3A5299D9FA59</v>
      </c>
    </row>
    <row r="419" spans="1:8" x14ac:dyDescent="0.35">
      <c r="A4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19" s="12" t="s">
        <v>440</v>
      </c>
      <c r="C419" s="13" t="s">
        <v>1748</v>
      </c>
      <c r="D419" s="12" t="s">
        <v>1270</v>
      </c>
      <c r="E419" s="12" t="str">
        <f>IF(NodesData[[#This Row],[Class Disambiguation]]="",NodesData[[#This Row],[Common Name]],NodesData[[#This Row],[Common Name]]&amp;" ("&amp;NodesData[[#This Row],[Class Disambiguation]]&amp;")")</f>
        <v>SSI (Acronym)</v>
      </c>
      <c r="G419" s="12" t="s">
        <v>1146</v>
      </c>
      <c r="H419" s="19" t="str" cm="1">
        <f t="array" ref="H419">"n"&amp;SUBSTITUTE(CreateGuidString(),"-","_")</f>
        <v>n8EB1F969_9D9D_4F77_8029_768F8A78CCED</v>
      </c>
    </row>
    <row r="420" spans="1:8" x14ac:dyDescent="0.35">
      <c r="A4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</v>
      </c>
      <c r="B420" s="12" t="s">
        <v>1147</v>
      </c>
      <c r="C420" s="13" t="s">
        <v>1750</v>
      </c>
      <c r="E420" s="12" t="str">
        <f>IF(NodesData[[#This Row],[Class Disambiguation]]="",NodesData[[#This Row],[Common Name]],NodesData[[#This Row],[Common Name]]&amp;" ("&amp;NodesData[[#This Row],[Class Disambiguation]]&amp;")")</f>
        <v>SSO</v>
      </c>
      <c r="H420" s="19" t="str" cm="1">
        <f t="array" ref="H420">"n"&amp;SUBSTITUTE(CreateGuidString(),"-","_")</f>
        <v>n12F8977D_504A_4AA1_99D1_BDE87A256C8E</v>
      </c>
    </row>
    <row r="421" spans="1:8" x14ac:dyDescent="0.35">
      <c r="A4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1" s="12" t="s">
        <v>1147</v>
      </c>
      <c r="C421" s="13" t="s">
        <v>1749</v>
      </c>
      <c r="D421" s="12" t="s">
        <v>1270</v>
      </c>
      <c r="E421" s="12" t="str">
        <f>IF(NodesData[[#This Row],[Class Disambiguation]]="",NodesData[[#This Row],[Common Name]],NodesData[[#This Row],[Common Name]]&amp;" ("&amp;NodesData[[#This Row],[Class Disambiguation]]&amp;")")</f>
        <v>SSO (Acronym)</v>
      </c>
      <c r="G421" s="12" t="s">
        <v>1148</v>
      </c>
      <c r="H421" s="19" t="str" cm="1">
        <f t="array" ref="H421">"n"&amp;SUBSTITUTE(CreateGuidString(),"-","_")</f>
        <v>n30AE8D5A_D7B7_4EF2_97C0_BFA663B6874D</v>
      </c>
    </row>
    <row r="422" spans="1:8" x14ac:dyDescent="0.35">
      <c r="A4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2" s="12" t="s">
        <v>1149</v>
      </c>
      <c r="C422" s="13" t="s">
        <v>1751</v>
      </c>
      <c r="E422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G422" s="12" t="s">
        <v>1150</v>
      </c>
      <c r="H422" s="19" t="str" cm="1">
        <f t="array" ref="H422">"n"&amp;SUBSTITUTE(CreateGuidString(),"-","_")</f>
        <v>n86BFB6D4_ABD2_440D_966B_F0934E9755EA</v>
      </c>
    </row>
    <row r="423" spans="1:8" x14ac:dyDescent="0.35">
      <c r="A4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3" s="12" t="s">
        <v>1151</v>
      </c>
      <c r="C423" s="13" t="s">
        <v>1752</v>
      </c>
      <c r="E423" s="12" t="str">
        <f>IF(NodesData[[#This Row],[Class Disambiguation]]="",NodesData[[#This Row],[Common Name]],NodesData[[#This Row],[Common Name]]&amp;" ("&amp;NodesData[[#This Row],[Class Disambiguation]]&amp;")")</f>
        <v>Stakeholder</v>
      </c>
      <c r="G423" s="12" t="s">
        <v>1152</v>
      </c>
      <c r="H423" s="19" t="str" cm="1">
        <f t="array" ref="H423">"n"&amp;SUBSTITUTE(CreateGuidString(),"-","_")</f>
        <v>n1AA0F92D_A1F9_4305_82FD_4C01996CC403</v>
      </c>
    </row>
    <row r="424" spans="1:8" x14ac:dyDescent="0.35">
      <c r="A4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4" s="12" t="s">
        <v>444</v>
      </c>
      <c r="C424" s="13" t="s">
        <v>1756</v>
      </c>
      <c r="E424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G424" s="12" t="s">
        <v>1153</v>
      </c>
      <c r="H424" s="19" t="str" cm="1">
        <f t="array" ref="H424">"n"&amp;SUBSTITUTE(CreateGuidString(),"-","_")</f>
        <v>nACE39F02_5E59_4E6F_ACFE_7D7669D7789F</v>
      </c>
    </row>
    <row r="425" spans="1:8" x14ac:dyDescent="0.35">
      <c r="A4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5" s="12" t="s">
        <v>1154</v>
      </c>
      <c r="C425" s="13" t="s">
        <v>1754</v>
      </c>
      <c r="E425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G425" s="12" t="s">
        <v>1155</v>
      </c>
      <c r="H425" s="19" t="str" cm="1">
        <f t="array" ref="H425">"n"&amp;SUBSTITUTE(CreateGuidString(),"-","_")</f>
        <v>n9EC2FB90_EAF2_4AAE_A525_878E57345A0D</v>
      </c>
    </row>
    <row r="426" spans="1:8" x14ac:dyDescent="0.35">
      <c r="A4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26" s="12" t="s">
        <v>1156</v>
      </c>
      <c r="C426" s="13" t="s">
        <v>1755</v>
      </c>
      <c r="E426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G426" s="12" t="s">
        <v>1157</v>
      </c>
      <c r="H426" s="19" t="str" cm="1">
        <f t="array" ref="H426">"n"&amp;SUBSTITUTE(CreateGuidString(),"-","_")</f>
        <v>n28574D35_2156_453F_B8FB_580C423E087D</v>
      </c>
    </row>
    <row r="427" spans="1:8" x14ac:dyDescent="0.35">
      <c r="A4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27" s="12" t="s">
        <v>1158</v>
      </c>
      <c r="C427" s="13" t="s">
        <v>1770</v>
      </c>
      <c r="E427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G427" s="12" t="s">
        <v>1159</v>
      </c>
      <c r="H427" s="19" t="str" cm="1">
        <f t="array" ref="H427">"n"&amp;SUBSTITUTE(CreateGuidString(),"-","_")</f>
        <v>n335C186B_7CF5_48BD_937D_044F77DC5174</v>
      </c>
    </row>
    <row r="428" spans="1:8" x14ac:dyDescent="0.35">
      <c r="A4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28" s="12" t="s">
        <v>1160</v>
      </c>
      <c r="C428" s="13" t="s">
        <v>1757</v>
      </c>
      <c r="E428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G428" s="12" t="s">
        <v>1161</v>
      </c>
      <c r="H428" s="19" t="str" cm="1">
        <f t="array" ref="H428">"n"&amp;SUBSTITUTE(CreateGuidString(),"-","_")</f>
        <v>n938C5FE8_3AD0_4154_AD75_322EC524FAD9</v>
      </c>
    </row>
    <row r="429" spans="1:8" x14ac:dyDescent="0.35">
      <c r="A4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</v>
      </c>
      <c r="B429" s="12" t="s">
        <v>1162</v>
      </c>
      <c r="C429" s="13" t="s">
        <v>1758</v>
      </c>
      <c r="E429" s="12" t="str">
        <f>IF(NodesData[[#This Row],[Class Disambiguation]]="",NodesData[[#This Row],[Common Name]],NodesData[[#This Row],[Common Name]]&amp;" ("&amp;NodesData[[#This Row],[Class Disambiguation]]&amp;")")</f>
        <v>Subject</v>
      </c>
      <c r="G429" s="12" t="s">
        <v>1163</v>
      </c>
      <c r="H429" s="19" t="str" cm="1">
        <f t="array" ref="H429">"n"&amp;SUBSTITUTE(CreateGuidString(),"-","_")</f>
        <v>nB1176BCD_55B6_4888_BFF7_B00D3A0BEC42</v>
      </c>
    </row>
    <row r="430" spans="1:8" x14ac:dyDescent="0.35">
      <c r="A4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0" s="12" t="s">
        <v>1164</v>
      </c>
      <c r="C430" s="13" t="s">
        <v>1759</v>
      </c>
      <c r="E430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G430" s="12" t="s">
        <v>1165</v>
      </c>
      <c r="H430" s="19" t="str" cm="1">
        <f t="array" ref="H430">"n"&amp;SUBSTITUTE(CreateGuidString(),"-","_")</f>
        <v>n0A69628E_FCCE_41B4_8069_D2EA6AC876A5</v>
      </c>
    </row>
    <row r="431" spans="1:8" x14ac:dyDescent="0.35">
      <c r="A4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1" s="12" t="s">
        <v>451</v>
      </c>
      <c r="C431" s="13" t="s">
        <v>1760</v>
      </c>
      <c r="E431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G431" s="12" t="s">
        <v>1166</v>
      </c>
      <c r="H431" s="19" t="str" cm="1">
        <f t="array" ref="H431">"n"&amp;SUBSTITUTE(CreateGuidString(),"-","_")</f>
        <v>n491A3B79_D96F_4054_BF43_E36604303B3B</v>
      </c>
    </row>
    <row r="432" spans="1:8" x14ac:dyDescent="0.35">
      <c r="A4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2" s="12" t="s">
        <v>452</v>
      </c>
      <c r="C432" s="13" t="s">
        <v>1761</v>
      </c>
      <c r="E432" s="12" t="str">
        <f>IF(NodesData[[#This Row],[Class Disambiguation]]="",NodesData[[#This Row],[Common Name]],NodesData[[#This Row],[Common Name]]&amp;" ("&amp;NodesData[[#This Row],[Class Disambiguation]]&amp;")")</f>
        <v>Sybil Attack</v>
      </c>
      <c r="G432" s="12" t="s">
        <v>1167</v>
      </c>
      <c r="H432" s="19" t="str" cm="1">
        <f t="array" ref="H432">"n"&amp;SUBSTITUTE(CreateGuidString(),"-","_")</f>
        <v>n0F95AE7E_37DE_4224_8105_BFC33EF9F21C</v>
      </c>
    </row>
    <row r="433" spans="1:8" x14ac:dyDescent="0.35">
      <c r="A4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3" s="12" t="s">
        <v>1168</v>
      </c>
      <c r="C433" s="13" t="s">
        <v>1762</v>
      </c>
      <c r="E433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G433" s="12" t="s">
        <v>1169</v>
      </c>
      <c r="H433" s="19" t="str" cm="1">
        <f t="array" ref="H433">"n"&amp;SUBSTITUTE(CreateGuidString(),"-","_")</f>
        <v>nA322A3E6_2CFD_4109_950F_9E9C21D620D4</v>
      </c>
    </row>
    <row r="434" spans="1:8" x14ac:dyDescent="0.35">
      <c r="A4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</v>
      </c>
      <c r="B434" s="12" t="s">
        <v>454</v>
      </c>
      <c r="C434" s="13" t="s">
        <v>1763</v>
      </c>
      <c r="E434" s="12" t="str">
        <f>IF(NodesData[[#This Row],[Class Disambiguation]]="",NodesData[[#This Row],[Common Name]],NodesData[[#This Row],[Common Name]]&amp;" ("&amp;NodesData[[#This Row],[Class Disambiguation]]&amp;")")</f>
        <v>System</v>
      </c>
      <c r="G434" s="12" t="s">
        <v>1170</v>
      </c>
      <c r="H434" s="19" t="str" cm="1">
        <f t="array" ref="H434">"n"&amp;SUBSTITUTE(CreateGuidString(),"-","_")</f>
        <v>nF34017DB_30C2_45B9_9C1B_B3392A958FE6</v>
      </c>
    </row>
    <row r="435" spans="1:8" x14ac:dyDescent="0.35">
      <c r="A4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5" s="12" t="s">
        <v>455</v>
      </c>
      <c r="C435" s="13" t="s">
        <v>1764</v>
      </c>
      <c r="E435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G435" s="12" t="s">
        <v>1171</v>
      </c>
      <c r="H435" s="19" t="str" cm="1">
        <f t="array" ref="H435">"n"&amp;SUBSTITUTE(CreateGuidString(),"-","_")</f>
        <v>n90897457_B291_4A66_B6F9_D639EE538D94</v>
      </c>
    </row>
    <row r="436" spans="1:8" x14ac:dyDescent="0.35">
      <c r="A4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36" s="12" t="s">
        <v>1172</v>
      </c>
      <c r="C436" s="13" t="s">
        <v>1765</v>
      </c>
      <c r="E436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G436" s="12" t="s">
        <v>1173</v>
      </c>
      <c r="H436" s="19" t="str" cm="1">
        <f t="array" ref="H436">"n"&amp;SUBSTITUTE(CreateGuidString(),"-","_")</f>
        <v>n9B3B7937_BCEB_4216_B021_6EB73C4ABF32</v>
      </c>
    </row>
    <row r="437" spans="1:8" x14ac:dyDescent="0.35">
      <c r="A4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37" s="12" t="s">
        <v>1174</v>
      </c>
      <c r="C437" s="13" t="s">
        <v>1766</v>
      </c>
      <c r="E437" s="12" t="str">
        <f>IF(NodesData[[#This Row],[Class Disambiguation]]="",NodesData[[#This Row],[Common Name]],NodesData[[#This Row],[Common Name]]&amp;" ("&amp;NodesData[[#This Row],[Class Disambiguation]]&amp;")")</f>
        <v>System Owner</v>
      </c>
      <c r="G437" s="12" t="s">
        <v>1175</v>
      </c>
      <c r="H437" s="19" t="str" cm="1">
        <f t="array" ref="H437">"n"&amp;SUBSTITUTE(CreateGuidString(),"-","_")</f>
        <v>n7A92D428_FB37_4E3C_A07A_30902B24AE4B</v>
      </c>
    </row>
    <row r="438" spans="1:8" x14ac:dyDescent="0.35">
      <c r="A4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Z</v>
      </c>
      <c r="B438" s="12" t="s">
        <v>1176</v>
      </c>
      <c r="C438" s="13" t="s">
        <v>1767</v>
      </c>
      <c r="E438" s="12" t="str">
        <f>IF(NodesData[[#This Row],[Class Disambiguation]]="",NodesData[[#This Row],[Common Name]],NodesData[[#This Row],[Common Name]]&amp;" ("&amp;NodesData[[#This Row],[Class Disambiguation]]&amp;")")</f>
        <v>System Z</v>
      </c>
      <c r="G438" s="12" t="s">
        <v>1177</v>
      </c>
      <c r="H438" s="19" t="str" cm="1">
        <f t="array" ref="H438">"n"&amp;SUBSTITUTE(CreateGuidString(),"-","_")</f>
        <v>n40CCEE7D_DF42_4DEE_8C46_A1DD8B285612</v>
      </c>
    </row>
    <row r="439" spans="1:8" x14ac:dyDescent="0.35">
      <c r="A4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39" s="12" t="s">
        <v>1322</v>
      </c>
      <c r="C439" s="13" t="s">
        <v>1768</v>
      </c>
      <c r="E439" s="12" t="str">
        <f>IF(NodesData[[#This Row],[Class Disambiguation]]="",NodesData[[#This Row],[Common Name]],NodesData[[#This Row],[Common Name]]&amp;" ("&amp;NodesData[[#This Row],[Class Disambiguation]]&amp;")")</f>
        <v>TAN List OTP</v>
      </c>
      <c r="H439" s="19" t="str" cm="1">
        <f t="array" ref="H439">"n"&amp;SUBSTITUTE(CreateGuidString(),"-","_")</f>
        <v>n84A35F45_9AAD_4BDF_BB9D_655745A423F6</v>
      </c>
    </row>
    <row r="440" spans="1:8" x14ac:dyDescent="0.35">
      <c r="A4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0" s="12" t="s">
        <v>1178</v>
      </c>
      <c r="C440" s="13" t="s">
        <v>1769</v>
      </c>
      <c r="E440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G440" s="12" t="s">
        <v>1179</v>
      </c>
      <c r="H440" s="19" t="str" cm="1">
        <f t="array" ref="H440">"n"&amp;SUBSTITUTE(CreateGuidString(),"-","_")</f>
        <v>n2EB04277_A3E0_4DE3_8B8F_34076FD0E1ED</v>
      </c>
    </row>
    <row r="441" spans="1:8" x14ac:dyDescent="0.35">
      <c r="A4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1" s="12" t="s">
        <v>1326</v>
      </c>
      <c r="C441" s="13" t="s">
        <v>1772</v>
      </c>
      <c r="E441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H441" s="19" t="str" cm="1">
        <f t="array" ref="H441">"n"&amp;SUBSTITUTE(CreateGuidString(),"-","_")</f>
        <v>nBAA3D94A_1E12_4BDC_8CC1_F7F1DE41144E</v>
      </c>
    </row>
    <row r="442" spans="1:8" x14ac:dyDescent="0.35">
      <c r="A4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2" s="11" t="s">
        <v>1340</v>
      </c>
      <c r="C442" s="13" t="s">
        <v>1847</v>
      </c>
      <c r="E442" s="18" t="str">
        <f>IF(NodesData[[#This Row],[Class Disambiguation]]="",NodesData[[#This Row],[Common Name]],NodesData[[#This Row],[Common Name]]&amp;" ("&amp;NodesData[[#This Row],[Class Disambiguation]]&amp;")")</f>
        <v>Threat Agent</v>
      </c>
      <c r="F442" s="18"/>
      <c r="H442" s="20" t="str" cm="1">
        <f t="array" ref="H442">"n"&amp;SUBSTITUTE(CreateGuidString(),"-","_")</f>
        <v>n8F1CFC8E_3D5F_4F66_8E6E_BE24B43C8B66</v>
      </c>
    </row>
    <row r="443" spans="1:8" x14ac:dyDescent="0.35">
      <c r="A4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3" s="12" t="s">
        <v>1297</v>
      </c>
      <c r="C443" s="13" t="s">
        <v>1771</v>
      </c>
      <c r="E443" s="12" t="str">
        <f>IF(NodesData[[#This Row],[Class Disambiguation]]="",NodesData[[#This Row],[Common Name]],NodesData[[#This Row],[Common Name]]&amp;" ("&amp;NodesData[[#This Row],[Class Disambiguation]]&amp;")")</f>
        <v>Time Factor</v>
      </c>
      <c r="H443" s="19" t="str" cm="1">
        <f t="array" ref="H443">"n"&amp;SUBSTITUTE(CreateGuidString(),"-","_")</f>
        <v>n003A7465_7BA0_416F_9F3E_256280A17695</v>
      </c>
    </row>
    <row r="444" spans="1:8" x14ac:dyDescent="0.35">
      <c r="A4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4" s="12" t="s">
        <v>1330</v>
      </c>
      <c r="C444" s="13" t="s">
        <v>1773</v>
      </c>
      <c r="E444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H444" s="19" t="str" cm="1">
        <f t="array" ref="H444">"n"&amp;SUBSTITUTE(CreateGuidString(),"-","_")</f>
        <v>nECE2F1C3_07CA_4D47_8DBB_C1D4986AC29A</v>
      </c>
    </row>
    <row r="445" spans="1:8" x14ac:dyDescent="0.35">
      <c r="A4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5" s="12" t="s">
        <v>1312</v>
      </c>
      <c r="C445" s="13" t="s">
        <v>1787</v>
      </c>
      <c r="E445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H445" s="19" t="str" cm="1">
        <f t="array" ref="H445">"n"&amp;SUBSTITUTE(CreateGuidString(),"-","_")</f>
        <v>n243BAB98_0550_4974_A340_FE5979545AC4</v>
      </c>
    </row>
    <row r="446" spans="1:8" x14ac:dyDescent="0.35">
      <c r="A4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46" s="12" t="s">
        <v>1180</v>
      </c>
      <c r="C446" s="13" t="s">
        <v>1774</v>
      </c>
      <c r="E446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G446" s="12" t="s">
        <v>1181</v>
      </c>
      <c r="H446" s="19" t="str" cm="1">
        <f t="array" ref="H446">"n"&amp;SUBSTITUTE(CreateGuidString(),"-","_")</f>
        <v>nA567D752_8E17_49C6_8E66_782F60A63C7E</v>
      </c>
    </row>
    <row r="447" spans="1:8" x14ac:dyDescent="0.35">
      <c r="A4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47" s="12" t="s">
        <v>467</v>
      </c>
      <c r="C447" s="13" t="s">
        <v>1775</v>
      </c>
      <c r="E447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G447" s="12" t="s">
        <v>1182</v>
      </c>
      <c r="H447" s="19" t="str" cm="1">
        <f t="array" ref="H447">"n"&amp;SUBSTITUTE(CreateGuidString(),"-","_")</f>
        <v>nCFD45201_2E14_433D_A185_125135E7F605</v>
      </c>
    </row>
    <row r="448" spans="1:8" x14ac:dyDescent="0.35">
      <c r="A4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</v>
      </c>
      <c r="B448" s="12" t="s">
        <v>468</v>
      </c>
      <c r="C448" s="13" t="s">
        <v>1776</v>
      </c>
      <c r="E448" s="12" t="str">
        <f>IF(NodesData[[#This Row],[Class Disambiguation]]="",NodesData[[#This Row],[Common Name]],NodesData[[#This Row],[Common Name]]&amp;" ("&amp;NodesData[[#This Row],[Class Disambiguation]]&amp;")")</f>
        <v>Tranquil</v>
      </c>
      <c r="G448" s="12" t="s">
        <v>1183</v>
      </c>
      <c r="H448" s="19" t="str" cm="1">
        <f t="array" ref="H448">"n"&amp;SUBSTITUTE(CreateGuidString(),"-","_")</f>
        <v>n6BE6FA3F_571E_4DF9_96E2_BE6541452193</v>
      </c>
    </row>
    <row r="449" spans="1:8" x14ac:dyDescent="0.35">
      <c r="A4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49" s="12" t="s">
        <v>1184</v>
      </c>
      <c r="C449" s="13" t="s">
        <v>1777</v>
      </c>
      <c r="E449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G449" s="12" t="s">
        <v>1185</v>
      </c>
      <c r="H449" s="19" t="str" cm="1">
        <f t="array" ref="H449">"n"&amp;SUBSTITUTE(CreateGuidString(),"-","_")</f>
        <v>nBEE17430_A497_4B12_9693_736979F7CED5</v>
      </c>
    </row>
    <row r="450" spans="1:8" x14ac:dyDescent="0.35">
      <c r="A4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0" s="12" t="s">
        <v>1186</v>
      </c>
      <c r="C450" s="13" t="s">
        <v>1778</v>
      </c>
      <c r="E450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G450" s="12" t="s">
        <v>1187</v>
      </c>
      <c r="H450" s="19" t="str" cm="1">
        <f t="array" ref="H450">"n"&amp;SUBSTITUTE(CreateGuidString(),"-","_")</f>
        <v>nCEC2EBFB_DC25_44AB_AB91_20F4E0BFF217</v>
      </c>
    </row>
    <row r="451" spans="1:8" x14ac:dyDescent="0.35">
      <c r="A4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</v>
      </c>
      <c r="B451" s="12" t="s">
        <v>471</v>
      </c>
      <c r="C451" s="13" t="s">
        <v>1779</v>
      </c>
      <c r="E451" s="12" t="str">
        <f>IF(NodesData[[#This Row],[Class Disambiguation]]="",NodesData[[#This Row],[Common Name]],NodesData[[#This Row],[Common Name]]&amp;" ("&amp;NodesData[[#This Row],[Class Disambiguation]]&amp;")")</f>
        <v>Trust</v>
      </c>
      <c r="G451" s="12" t="s">
        <v>1188</v>
      </c>
      <c r="H451" s="19" t="str" cm="1">
        <f t="array" ref="H451">"n"&amp;SUBSTITUTE(CreateGuidString(),"-","_")</f>
        <v>nEDF5BFD8_2141_4F38_A7EF_E8700450A351</v>
      </c>
    </row>
    <row r="452" spans="1:8" x14ac:dyDescent="0.35">
      <c r="A4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2" s="12" t="s">
        <v>1189</v>
      </c>
      <c r="C452" s="13" t="s">
        <v>1780</v>
      </c>
      <c r="E452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G452" s="12" t="s">
        <v>1190</v>
      </c>
      <c r="H452" s="19" t="str" cm="1">
        <f t="array" ref="H452">"n"&amp;SUBSTITUTE(CreateGuidString(),"-","_")</f>
        <v>n7217ED75_3743_408A_9724_13D1CF0F78D4</v>
      </c>
    </row>
    <row r="453" spans="1:8" x14ac:dyDescent="0.35">
      <c r="A4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3" s="12" t="s">
        <v>1191</v>
      </c>
      <c r="C453" s="13" t="s">
        <v>1781</v>
      </c>
      <c r="E453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G453" s="12" t="s">
        <v>1192</v>
      </c>
      <c r="H453" s="19" t="str" cm="1">
        <f t="array" ref="H453">"n"&amp;SUBSTITUTE(CreateGuidString(),"-","_")</f>
        <v>n79043E65_7086_450F_A25C_412BD6067AB1</v>
      </c>
    </row>
    <row r="454" spans="1:8" x14ac:dyDescent="0.35">
      <c r="A4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4" s="12" t="s">
        <v>1193</v>
      </c>
      <c r="C454" s="13" t="s">
        <v>1782</v>
      </c>
      <c r="E454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G454" s="12" t="s">
        <v>1194</v>
      </c>
      <c r="H454" s="19" t="str" cm="1">
        <f t="array" ref="H454">"n"&amp;SUBSTITUTE(CreateGuidString(),"-","_")</f>
        <v>n143CB4EC_1793_450F_B3A6_0560202E04F7</v>
      </c>
    </row>
    <row r="455" spans="1:8" x14ac:dyDescent="0.35">
      <c r="A4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5" s="12" t="s">
        <v>1195</v>
      </c>
      <c r="C455" s="13" t="s">
        <v>1783</v>
      </c>
      <c r="E455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G455" s="12" t="s">
        <v>1196</v>
      </c>
      <c r="H455" s="19" t="str" cm="1">
        <f t="array" ref="H455">"n"&amp;SUBSTITUTE(CreateGuidString(),"-","_")</f>
        <v>n071BE687_2445_4DD6_AF7B_8CAE6B7F6646</v>
      </c>
    </row>
    <row r="456" spans="1:8" x14ac:dyDescent="0.35">
      <c r="A4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56" s="12" t="s">
        <v>477</v>
      </c>
      <c r="C456" s="13" t="s">
        <v>1784</v>
      </c>
      <c r="E456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G456" s="12" t="s">
        <v>1197</v>
      </c>
      <c r="H456" s="19" t="str" cm="1">
        <f t="array" ref="H456">"n"&amp;SUBSTITUTE(CreateGuidString(),"-","_")</f>
        <v>n0F5F44D4_1EDF_489A_A909_E0A2D5DB24A3</v>
      </c>
    </row>
    <row r="457" spans="1:8" x14ac:dyDescent="0.35">
      <c r="A4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Typology</v>
      </c>
      <c r="B457" s="12" t="s">
        <v>1198</v>
      </c>
      <c r="C457" s="13" t="s">
        <v>1785</v>
      </c>
      <c r="E457" s="12" t="str">
        <f>IF(NodesData[[#This Row],[Class Disambiguation]]="",NodesData[[#This Row],[Common Name]],NodesData[[#This Row],[Common Name]]&amp;" ("&amp;NodesData[[#This Row],[Class Disambiguation]]&amp;")")</f>
        <v>Typology</v>
      </c>
      <c r="G457" s="12" t="s">
        <v>1199</v>
      </c>
      <c r="H457" s="19" t="str" cm="1">
        <f t="array" ref="H457">"n"&amp;SUBSTITUTE(CreateGuidString(),"-","_")</f>
        <v>n40A409E2_9CD2_4020_82D2_BFED988887D5</v>
      </c>
    </row>
    <row r="458" spans="1:8" x14ac:dyDescent="0.35">
      <c r="A4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58" s="12" t="s">
        <v>479</v>
      </c>
      <c r="C458" s="13" t="s">
        <v>1786</v>
      </c>
      <c r="E458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G458" s="12" t="s">
        <v>1200</v>
      </c>
      <c r="H458" s="19" t="str" cm="1">
        <f t="array" ref="H458">"n"&amp;SUBSTITUTE(CreateGuidString(),"-","_")</f>
        <v>nA84C858C_05EC_45AD_B213_69C552987F31</v>
      </c>
    </row>
    <row r="459" spans="1:8" x14ac:dyDescent="0.35">
      <c r="A4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59" s="12" t="s">
        <v>480</v>
      </c>
      <c r="C459" s="13" t="s">
        <v>1804</v>
      </c>
      <c r="E459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G459" s="12" t="s">
        <v>1201</v>
      </c>
      <c r="H459" s="19" t="str" cm="1">
        <f t="array" ref="H459">"n"&amp;SUBSTITUTE(CreateGuidString(),"-","_")</f>
        <v>n8E020535_0C5D_45A9_B116_6E724BDF01D6</v>
      </c>
    </row>
    <row r="460" spans="1:8" x14ac:dyDescent="0.35">
      <c r="A4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0" s="12" t="s">
        <v>481</v>
      </c>
      <c r="C460" s="13" t="s">
        <v>1788</v>
      </c>
      <c r="E460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G460" s="12" t="s">
        <v>1202</v>
      </c>
      <c r="H460" s="19" t="str" cm="1">
        <f t="array" ref="H460">"n"&amp;SUBSTITUTE(CreateGuidString(),"-","_")</f>
        <v>n7105B3BF_187E_4198_83D1_5DAA7F5F6987</v>
      </c>
    </row>
    <row r="461" spans="1:8" x14ac:dyDescent="0.35">
      <c r="A4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1" s="12" t="s">
        <v>483</v>
      </c>
      <c r="C461" s="13" t="s">
        <v>1789</v>
      </c>
      <c r="E461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G461" s="12" t="s">
        <v>1203</v>
      </c>
      <c r="H461" s="19" t="str" cm="1">
        <f t="array" ref="H461">"n"&amp;SUBSTITUTE(CreateGuidString(),"-","_")</f>
        <v>nF7223A42_4B8B_4B1C_8DC4_CB5BB68AF10C</v>
      </c>
    </row>
    <row r="462" spans="1:8" x14ac:dyDescent="0.35">
      <c r="A4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</v>
      </c>
      <c r="B462" s="12" t="s">
        <v>484</v>
      </c>
      <c r="C462" s="13" t="s">
        <v>1790</v>
      </c>
      <c r="E462" s="12" t="str">
        <f>IF(NodesData[[#This Row],[Class Disambiguation]]="",NodesData[[#This Row],[Common Name]],NodesData[[#This Row],[Common Name]]&amp;" ("&amp;NodesData[[#This Row],[Class Disambiguation]]&amp;")")</f>
        <v>User</v>
      </c>
      <c r="G462" s="12" t="s">
        <v>1204</v>
      </c>
      <c r="H462" s="19" t="str" cm="1">
        <f t="array" ref="H462">"n"&amp;SUBSTITUTE(CreateGuidString(),"-","_")</f>
        <v>n44C9232D_47D2_474B_BFC9_3AF770558AA8</v>
      </c>
    </row>
    <row r="463" spans="1:8" x14ac:dyDescent="0.35">
      <c r="A4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3" s="12" t="s">
        <v>485</v>
      </c>
      <c r="C463" s="13" t="s">
        <v>1791</v>
      </c>
      <c r="E463" s="12" t="str">
        <f>IF(NodesData[[#This Row],[Class Disambiguation]]="",NodesData[[#This Row],[Common Name]],NodesData[[#This Row],[Common Name]]&amp;" ("&amp;NodesData[[#This Row],[Class Disambiguation]]&amp;")")</f>
        <v>User Account</v>
      </c>
      <c r="G463" s="12" t="s">
        <v>1205</v>
      </c>
      <c r="H463" s="19" t="str" cm="1">
        <f t="array" ref="H463">"n"&amp;SUBSTITUTE(CreateGuidString(),"-","_")</f>
        <v>n038CB0D5_472C_464D_AC13_2DCBA9094721</v>
      </c>
    </row>
    <row r="464" spans="1:8" x14ac:dyDescent="0.35">
      <c r="A4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4" s="12" t="s">
        <v>487</v>
      </c>
      <c r="C464" s="13" t="s">
        <v>1793</v>
      </c>
      <c r="E464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G464" s="12" t="s">
        <v>1206</v>
      </c>
      <c r="H464" s="19" t="str" cm="1">
        <f t="array" ref="H464">"n"&amp;SUBSTITUTE(CreateGuidString(),"-","_")</f>
        <v>n8AA82154_6CB2_4CA8_ACC9_25E02CC210A8</v>
      </c>
    </row>
    <row r="465" spans="1:8" x14ac:dyDescent="0.35">
      <c r="A4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5" s="12" t="s">
        <v>1207</v>
      </c>
      <c r="C465" s="13" t="s">
        <v>1794</v>
      </c>
      <c r="E465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G465" s="12" t="s">
        <v>1208</v>
      </c>
      <c r="H465" s="19" t="str" cm="1">
        <f t="array" ref="H465">"n"&amp;SUBSTITUTE(CreateGuidString(),"-","_")</f>
        <v>n67BC6138_DFA5_4E58_92F5_CEC31822BD62</v>
      </c>
    </row>
    <row r="466" spans="1:8" x14ac:dyDescent="0.35">
      <c r="A4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66" s="12" t="s">
        <v>489</v>
      </c>
      <c r="C466" s="13" t="s">
        <v>1795</v>
      </c>
      <c r="D466" s="12" t="s">
        <v>1270</v>
      </c>
      <c r="E466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G466" s="12" t="s">
        <v>1209</v>
      </c>
      <c r="H466" s="19" t="str" cm="1">
        <f t="array" ref="H466">"n"&amp;SUBSTITUTE(CreateGuidString(),"-","_")</f>
        <v>n99EE888F_055D_45DB_B44C_286F09AB2A0F</v>
      </c>
    </row>
    <row r="467" spans="1:8" x14ac:dyDescent="0.35">
      <c r="A4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67" s="12" t="s">
        <v>491</v>
      </c>
      <c r="C467" s="13" t="s">
        <v>1796</v>
      </c>
      <c r="E467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G467" s="12" t="s">
        <v>1210</v>
      </c>
      <c r="H467" s="19" t="str" cm="1">
        <f t="array" ref="H467">"n"&amp;SUBSTITUTE(CreateGuidString(),"-","_")</f>
        <v>n31B6054E_1659_4471_88B0_FED1B2C7556E</v>
      </c>
    </row>
    <row r="468" spans="1:8" x14ac:dyDescent="0.35">
      <c r="A4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68" s="12" t="s">
        <v>486</v>
      </c>
      <c r="C468" s="13" t="s">
        <v>1792</v>
      </c>
      <c r="E468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G468" s="12" t="s">
        <v>1211</v>
      </c>
      <c r="H468" s="19" t="str" cm="1">
        <f t="array" ref="H468">"n"&amp;SUBSTITUTE(CreateGuidString(),"-","_")</f>
        <v>nFEB0E696_1375_4051_8FDA_84B48C571136</v>
      </c>
    </row>
    <row r="469" spans="1:8" x14ac:dyDescent="0.35">
      <c r="A4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Username</v>
      </c>
      <c r="B469" s="12" t="s">
        <v>490</v>
      </c>
      <c r="C469" s="13" t="s">
        <v>1797</v>
      </c>
      <c r="E469" s="12" t="str">
        <f>IF(NodesData[[#This Row],[Class Disambiguation]]="",NodesData[[#This Row],[Common Name]],NodesData[[#This Row],[Common Name]]&amp;" ("&amp;NodesData[[#This Row],[Class Disambiguation]]&amp;")")</f>
        <v>Username</v>
      </c>
      <c r="G469" s="12" t="s">
        <v>1212</v>
      </c>
      <c r="H469" s="19" t="str" cm="1">
        <f t="array" ref="H469">"n"&amp;SUBSTITUTE(CreateGuidString(),"-","_")</f>
        <v>n69EDBA53_8750_4B24_8C29_82AF1A14CEB6</v>
      </c>
    </row>
    <row r="470" spans="1:8" x14ac:dyDescent="0.35">
      <c r="A4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0" s="12" t="s">
        <v>492</v>
      </c>
      <c r="C470" s="13" t="s">
        <v>1798</v>
      </c>
      <c r="E470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G470" s="12" t="s">
        <v>1213</v>
      </c>
      <c r="H470" s="19" t="str" cm="1">
        <f t="array" ref="H470">"n"&amp;SUBSTITUTE(CreateGuidString(),"-","_")</f>
        <v>nEF3BF736_4A5B_4BC1_89FE_C92D8C76B543</v>
      </c>
    </row>
    <row r="471" spans="1:8" x14ac:dyDescent="0.35">
      <c r="A4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1" s="12" t="s">
        <v>493</v>
      </c>
      <c r="C471" s="13" t="s">
        <v>1799</v>
      </c>
      <c r="E471" s="12" t="str">
        <f>IF(NodesData[[#This Row],[Class Disambiguation]]="",NodesData[[#This Row],[Common Name]],NodesData[[#This Row],[Common Name]]&amp;" ("&amp;NodesData[[#This Row],[Class Disambiguation]]&amp;")")</f>
        <v>Verification</v>
      </c>
      <c r="G471" s="12" t="s">
        <v>1214</v>
      </c>
      <c r="H471" s="19" t="str" cm="1">
        <f t="array" ref="H471">"n"&amp;SUBSTITUTE(CreateGuidString(),"-","_")</f>
        <v>n4240A93F_910E_4BB3_B46B_93D73C09379D</v>
      </c>
    </row>
    <row r="472" spans="1:8" x14ac:dyDescent="0.35">
      <c r="A4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2" s="12" t="s">
        <v>1215</v>
      </c>
      <c r="C472" s="13" t="s">
        <v>1800</v>
      </c>
      <c r="E472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G472" s="12" t="s">
        <v>1216</v>
      </c>
      <c r="H472" s="19" t="str" cm="1">
        <f t="array" ref="H472">"n"&amp;SUBSTITUTE(CreateGuidString(),"-","_")</f>
        <v>n2F4668F8_E3AD_47F0_AFBB_11310EAD1734</v>
      </c>
    </row>
    <row r="473" spans="1:8" x14ac:dyDescent="0.35">
      <c r="A4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3" s="12" t="s">
        <v>1217</v>
      </c>
      <c r="C473" s="13" t="s">
        <v>1801</v>
      </c>
      <c r="E473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G473" s="12" t="s">
        <v>1218</v>
      </c>
      <c r="H473" s="19" t="str" cm="1">
        <f t="array" ref="H473">"n"&amp;SUBSTITUTE(CreateGuidString(),"-","_")</f>
        <v>n8C0C14E5_7803_41D1_A1BE_3CB42146DE2D</v>
      </c>
    </row>
    <row r="474" spans="1:8" x14ac:dyDescent="0.35">
      <c r="A4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4" s="12" t="s">
        <v>1219</v>
      </c>
      <c r="C474" s="13" t="s">
        <v>1802</v>
      </c>
      <c r="E474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G474" s="12" t="s">
        <v>1220</v>
      </c>
      <c r="H474" s="19" t="str" cm="1">
        <f t="array" ref="H474">"n"&amp;SUBSTITUTE(CreateGuidString(),"-","_")</f>
        <v>nE6247CDE_1DF3_4130_9F86_B4700C3EEEA3</v>
      </c>
    </row>
    <row r="475" spans="1:8" x14ac:dyDescent="0.35">
      <c r="A4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5" s="12" t="s">
        <v>1323</v>
      </c>
      <c r="C475" s="13" t="s">
        <v>1803</v>
      </c>
      <c r="E475" s="12" t="str">
        <f>IF(NodesData[[#This Row],[Class Disambiguation]]="",NodesData[[#This Row],[Common Name]],NodesData[[#This Row],[Common Name]]&amp;" ("&amp;NodesData[[#This Row],[Class Disambiguation]]&amp;")")</f>
        <v>Voice OTP</v>
      </c>
      <c r="H475" s="19" t="str" cm="1">
        <f t="array" ref="H475">"n"&amp;SUBSTITUTE(CreateGuidString(),"-","_")</f>
        <v>n920F92EC_1FEE_47E8_B6E6_234C9F7746A8</v>
      </c>
    </row>
    <row r="476" spans="1:8" x14ac:dyDescent="0.35">
      <c r="A4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76" s="12" t="s">
        <v>1315</v>
      </c>
      <c r="C476" s="13" t="s">
        <v>1806</v>
      </c>
      <c r="E476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H476" s="19" t="str" cm="1">
        <f t="array" ref="H476">"n"&amp;SUBSTITUTE(CreateGuidString(),"-","_")</f>
        <v>nDF48E1E3_89C6_47E3_B37C_0159734E72C3</v>
      </c>
    </row>
    <row r="477" spans="1:8" x14ac:dyDescent="0.35">
      <c r="A4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77" s="12" t="s">
        <v>1221</v>
      </c>
      <c r="C477" s="13" t="s">
        <v>1805</v>
      </c>
      <c r="D477" s="12" t="s">
        <v>1270</v>
      </c>
      <c r="E477" s="12" t="str">
        <f>IF(NodesData[[#This Row],[Class Disambiguation]]="",NodesData[[#This Row],[Common Name]],NodesData[[#This Row],[Common Name]]&amp;" ("&amp;NodesData[[#This Row],[Class Disambiguation]]&amp;")")</f>
        <v>VPN (Acronym)</v>
      </c>
      <c r="G477" s="12" t="s">
        <v>1222</v>
      </c>
      <c r="H477" s="19" t="str" cm="1">
        <f t="array" ref="H477">"n"&amp;SUBSTITUTE(CreateGuidString(),"-","_")</f>
        <v>n6BEE5052_6FE5_45D0_AF64_2FD301A4D95C</v>
      </c>
    </row>
    <row r="478" spans="1:8" x14ac:dyDescent="0.35">
      <c r="A4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78" s="12" t="s">
        <v>1223</v>
      </c>
      <c r="C478" s="13" t="s">
        <v>1828</v>
      </c>
      <c r="E478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G478" s="12" t="s">
        <v>1224</v>
      </c>
      <c r="H478" s="19" t="str" cm="1">
        <f t="array" ref="H478">"n"&amp;SUBSTITUTE(CreateGuidString(),"-","_")</f>
        <v>nC0F7B599_3C10_400D_A115_559049881DDD</v>
      </c>
    </row>
    <row r="479" spans="1:8" x14ac:dyDescent="0.35">
      <c r="A4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79" s="12" t="s">
        <v>1225</v>
      </c>
      <c r="C479" s="13" t="s">
        <v>1807</v>
      </c>
      <c r="E479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G479" s="12" t="s">
        <v>1226</v>
      </c>
      <c r="H479" s="19" t="str" cm="1">
        <f t="array" ref="H479">"n"&amp;SUBSTITUTE(CreateGuidString(),"-","_")</f>
        <v>n0B29C355_B658_42DF_AF54_AC970C5BB3B1</v>
      </c>
    </row>
    <row r="480" spans="1:8" x14ac:dyDescent="0.35">
      <c r="A4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0" s="12" t="s">
        <v>1227</v>
      </c>
      <c r="C480" s="13" t="s">
        <v>1808</v>
      </c>
      <c r="E480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G480" s="12" t="s">
        <v>1228</v>
      </c>
      <c r="H480" s="19" t="str" cm="1">
        <f t="array" ref="H480">"n"&amp;SUBSTITUTE(CreateGuidString(),"-","_")</f>
        <v>n2BD7ABC2_91AB_4581_A32B_746283DC8BFD</v>
      </c>
    </row>
    <row r="481" spans="1:8" x14ac:dyDescent="0.35">
      <c r="A4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1" s="12" t="s">
        <v>1229</v>
      </c>
      <c r="C481" s="13" t="s">
        <v>1809</v>
      </c>
      <c r="E481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G481" s="12" t="s">
        <v>1230</v>
      </c>
      <c r="H481" s="19" t="str" cm="1">
        <f t="array" ref="H481">"n"&amp;SUBSTITUTE(CreateGuidString(),"-","_")</f>
        <v>n4CE457FE_419B_4025_A037_155EDB18D449</v>
      </c>
    </row>
    <row r="482" spans="1:8" x14ac:dyDescent="0.35">
      <c r="A4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2" s="12" t="s">
        <v>1231</v>
      </c>
      <c r="C482" s="13" t="s">
        <v>1810</v>
      </c>
      <c r="E482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G482" s="12" t="s">
        <v>1232</v>
      </c>
      <c r="H482" s="19" t="str" cm="1">
        <f t="array" ref="H482">"n"&amp;SUBSTITUTE(CreateGuidString(),"-","_")</f>
        <v>n205A3431_ECEA_4E61_8ED7_1E4AF4441C65</v>
      </c>
    </row>
    <row r="483" spans="1:8" x14ac:dyDescent="0.35">
      <c r="A4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3" s="12" t="s">
        <v>1233</v>
      </c>
      <c r="C483" s="13" t="s">
        <v>1811</v>
      </c>
      <c r="E483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G483" s="12" t="s">
        <v>1234</v>
      </c>
      <c r="H483" s="19" t="str" cm="1">
        <f t="array" ref="H483">"n"&amp;SUBSTITUTE(CreateGuidString(),"-","_")</f>
        <v>nD89126D2_091F_40E8_A95A_2B1E16691030</v>
      </c>
    </row>
    <row r="484" spans="1:8" x14ac:dyDescent="0.35">
      <c r="A4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4" s="12" t="s">
        <v>1235</v>
      </c>
      <c r="C484" s="13" t="s">
        <v>1812</v>
      </c>
      <c r="E484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G484" s="12" t="s">
        <v>1236</v>
      </c>
      <c r="H484" s="19" t="str" cm="1">
        <f t="array" ref="H484">"n"&amp;SUBSTITUTE(CreateGuidString(),"-","_")</f>
        <v>n26093C28_5C29_429E_B70E_BEADD3F0D08D</v>
      </c>
    </row>
    <row r="485" spans="1:8" x14ac:dyDescent="0.35">
      <c r="A4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5" s="12" t="s">
        <v>1237</v>
      </c>
      <c r="C485" s="13" t="s">
        <v>1813</v>
      </c>
      <c r="E485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G485" s="12" t="s">
        <v>1238</v>
      </c>
      <c r="H485" s="19" t="str" cm="1">
        <f t="array" ref="H485">"n"&amp;SUBSTITUTE(CreateGuidString(),"-","_")</f>
        <v>nDB5AB62A_AC63_4F2D_8712_C208F67DD15B</v>
      </c>
    </row>
    <row r="486" spans="1:8" x14ac:dyDescent="0.35">
      <c r="A4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86" s="12" t="s">
        <v>1239</v>
      </c>
      <c r="C486" s="13" t="s">
        <v>1814</v>
      </c>
      <c r="E486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G486" s="12" t="s">
        <v>1240</v>
      </c>
      <c r="H486" s="19" t="str" cm="1">
        <f t="array" ref="H486">"n"&amp;SUBSTITUTE(CreateGuidString(),"-","_")</f>
        <v>n17CBE814_9D2B_4D24_89F2_93EE0FF90E5C</v>
      </c>
    </row>
    <row r="487" spans="1:8" x14ac:dyDescent="0.35">
      <c r="A4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87" s="12" t="s">
        <v>1241</v>
      </c>
      <c r="C487" s="13" t="s">
        <v>1815</v>
      </c>
      <c r="E487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G487" s="12" t="s">
        <v>1242</v>
      </c>
      <c r="H487" s="19" t="str" cm="1">
        <f t="array" ref="H487">"n"&amp;SUBSTITUTE(CreateGuidString(),"-","_")</f>
        <v>n795C0390_EFD7_4FA2_8028_AF86822D0DA6</v>
      </c>
    </row>
    <row r="488" spans="1:8" x14ac:dyDescent="0.35">
      <c r="A4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88" s="12" t="s">
        <v>1243</v>
      </c>
      <c r="C488" s="13" t="s">
        <v>1816</v>
      </c>
      <c r="E488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G488" s="12" t="s">
        <v>1244</v>
      </c>
      <c r="H488" s="19" t="str" cm="1">
        <f t="array" ref="H488">"n"&amp;SUBSTITUTE(CreateGuidString(),"-","_")</f>
        <v>n5BE7B81A_0262_454B_88A8_16E25769730A</v>
      </c>
    </row>
    <row r="489" spans="1:8" x14ac:dyDescent="0.35">
      <c r="A4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89" s="12" t="s">
        <v>1245</v>
      </c>
      <c r="C489" s="13" t="s">
        <v>1817</v>
      </c>
      <c r="E489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G489" s="12" t="s">
        <v>1246</v>
      </c>
      <c r="H489" s="19" t="str" cm="1">
        <f t="array" ref="H489">"n"&amp;SUBSTITUTE(CreateGuidString(),"-","_")</f>
        <v>nA76FC3E7_EFC1_4CE5_ADE0_21F8ECAE6D91</v>
      </c>
    </row>
    <row r="490" spans="1:8" x14ac:dyDescent="0.35">
      <c r="A4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0" s="12" t="s">
        <v>1247</v>
      </c>
      <c r="C490" s="13" t="s">
        <v>1818</v>
      </c>
      <c r="E490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G490" s="12" t="s">
        <v>1248</v>
      </c>
      <c r="H490" s="19" t="str" cm="1">
        <f t="array" ref="H490">"n"&amp;SUBSTITUTE(CreateGuidString(),"-","_")</f>
        <v>nF2A3E795_1CCD_4AAF_BE26_AEF7172AA4D5</v>
      </c>
    </row>
    <row r="491" spans="1:8" x14ac:dyDescent="0.35">
      <c r="A4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1" s="12" t="s">
        <v>1249</v>
      </c>
      <c r="C491" s="13" t="s">
        <v>1819</v>
      </c>
      <c r="E491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G491" s="12" t="s">
        <v>1250</v>
      </c>
      <c r="H491" s="19" t="str" cm="1">
        <f t="array" ref="H491">"n"&amp;SUBSTITUTE(CreateGuidString(),"-","_")</f>
        <v>nBEF671E0_FDFD_4A4A_8517_590BE4157DD8</v>
      </c>
    </row>
    <row r="492" spans="1:8" x14ac:dyDescent="0.35">
      <c r="A4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2" s="12" t="s">
        <v>1251</v>
      </c>
      <c r="C492" s="13" t="s">
        <v>1820</v>
      </c>
      <c r="E492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G492" s="12" t="s">
        <v>1252</v>
      </c>
      <c r="H492" s="19" t="str" cm="1">
        <f t="array" ref="H492">"n"&amp;SUBSTITUTE(CreateGuidString(),"-","_")</f>
        <v>n9D2D3609_9654_4BB5_ADE6_103800722985</v>
      </c>
    </row>
    <row r="493" spans="1:8" x14ac:dyDescent="0.35">
      <c r="A4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Worker</v>
      </c>
      <c r="B493" s="12" t="s">
        <v>1253</v>
      </c>
      <c r="C493" s="13" t="s">
        <v>1821</v>
      </c>
      <c r="E493" s="12" t="str">
        <f>IF(NodesData[[#This Row],[Class Disambiguation]]="",NodesData[[#This Row],[Common Name]],NodesData[[#This Row],[Common Name]]&amp;" ("&amp;NodesData[[#This Row],[Class Disambiguation]]&amp;")")</f>
        <v>Worker</v>
      </c>
      <c r="G493" s="12" t="s">
        <v>1254</v>
      </c>
      <c r="H493" s="19" t="str" cm="1">
        <f t="array" ref="H493">"n"&amp;SUBSTITUTE(CreateGuidString(),"-","_")</f>
        <v>n52AC2A37_8B9B_4485_90A8_9991EED12530</v>
      </c>
    </row>
    <row r="494" spans="1:8" x14ac:dyDescent="0.35">
      <c r="A4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4" s="12" t="s">
        <v>1255</v>
      </c>
      <c r="C494" s="13" t="s">
        <v>1822</v>
      </c>
      <c r="E494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G494" s="12" t="s">
        <v>1256</v>
      </c>
      <c r="H494" s="19" t="str" cm="1">
        <f t="array" ref="H494">"n"&amp;SUBSTITUTE(CreateGuidString(),"-","_")</f>
        <v>n222EEED1_FDBC_48E6_892E_0F57C783040D</v>
      </c>
    </row>
    <row r="495" spans="1:8" x14ac:dyDescent="0.35">
      <c r="A4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5" s="12" t="s">
        <v>1257</v>
      </c>
      <c r="C495" s="13" t="s">
        <v>1823</v>
      </c>
      <c r="E495" s="12" t="str">
        <f>IF(NodesData[[#This Row],[Class Disambiguation]]="",NodesData[[#This Row],[Common Name]],NodesData[[#This Row],[Common Name]]&amp;" ("&amp;NodesData[[#This Row],[Class Disambiguation]]&amp;")")</f>
        <v>Workforce</v>
      </c>
      <c r="G495" s="12" t="s">
        <v>1258</v>
      </c>
      <c r="H495" s="19" t="str" cm="1">
        <f t="array" ref="H495">"n"&amp;SUBSTITUTE(CreateGuidString(),"-","_")</f>
        <v>n176BA9AD_80B3_40B5_9901_BAF253D0DB3B</v>
      </c>
    </row>
    <row r="496" spans="1:8" x14ac:dyDescent="0.35">
      <c r="A4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496" s="12" t="s">
        <v>1259</v>
      </c>
      <c r="C496" s="13" t="s">
        <v>1824</v>
      </c>
      <c r="D496" s="12" t="s">
        <v>1270</v>
      </c>
      <c r="E496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G496" s="12" t="s">
        <v>1260</v>
      </c>
      <c r="H496" s="19" t="str" cm="1">
        <f t="array" ref="H496">"n"&amp;SUBSTITUTE(CreateGuidString(),"-","_")</f>
        <v>nD7B21893_4E7E_471A_9BE1_263509134CE4</v>
      </c>
    </row>
    <row r="497" spans="1:8" x14ac:dyDescent="0.35">
      <c r="A4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497" s="12" t="s">
        <v>517</v>
      </c>
      <c r="C497" s="13" t="s">
        <v>1825</v>
      </c>
      <c r="E497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G497" s="12" t="s">
        <v>1261</v>
      </c>
      <c r="H497" s="19" t="str" cm="1">
        <f t="array" ref="H497">"n"&amp;SUBSTITUTE(CreateGuidString(),"-","_")</f>
        <v>nF1D95067_8D5C_41C0_9D12_6EB04125B368</v>
      </c>
    </row>
    <row r="498" spans="1:8" x14ac:dyDescent="0.35">
      <c r="A4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498" s="12" t="s">
        <v>518</v>
      </c>
      <c r="C498" s="13" t="s">
        <v>1826</v>
      </c>
      <c r="E498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G498" s="12" t="s">
        <v>1262</v>
      </c>
      <c r="H498" s="19" t="str" cm="1">
        <f t="array" ref="H498">"n"&amp;SUBSTITUTE(CreateGuidString(),"-","_")</f>
        <v>n6E76057B_C5F8_4A52_9A26_A4D21E1681AE</v>
      </c>
    </row>
    <row r="499" spans="1:8" x14ac:dyDescent="0.35">
      <c r="A4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499" s="12" t="s">
        <v>519</v>
      </c>
      <c r="C499" s="13" t="s">
        <v>1827</v>
      </c>
      <c r="D499" s="12" t="s">
        <v>1270</v>
      </c>
      <c r="E499" s="12" t="str">
        <f>IF(NodesData[[#This Row],[Class Disambiguation]]="",NodesData[[#This Row],[Common Name]],NodesData[[#This Row],[Common Name]]&amp;" ("&amp;NodesData[[#This Row],[Class Disambiguation]]&amp;")")</f>
        <v>ZTA (Acronym)</v>
      </c>
      <c r="G499" s="12" t="s">
        <v>1263</v>
      </c>
      <c r="H499" s="19" t="str" cm="1">
        <f t="array" ref="H499">"n"&amp;SUBSTITUTE(CreateGuidString(),"-","_")</f>
        <v>nB0ECD477_52D2_4067_AC9F_45435B60EF78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0"/>
  <sheetViews>
    <sheetView topLeftCell="A44" zoomScale="120" zoomScaleNormal="120" workbookViewId="0">
      <selection activeCell="A66" sqref="A66"/>
    </sheetView>
  </sheetViews>
  <sheetFormatPr defaultRowHeight="12.75" x14ac:dyDescent="0.35"/>
  <cols>
    <col min="1" max="2" width="23" style="12" bestFit="1" customWidth="1"/>
    <col min="3" max="3" width="31.19921875" style="12" customWidth="1"/>
    <col min="4" max="4" width="12.6640625" style="12" customWidth="1"/>
    <col min="5" max="5" width="5.53125" style="12" bestFit="1" customWidth="1"/>
    <col min="6" max="6" width="34.73046875" style="12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8" x14ac:dyDescent="0.35">
      <c r="A1" s="11" t="s">
        <v>1850</v>
      </c>
      <c r="B1" s="11" t="s">
        <v>1849</v>
      </c>
      <c r="C1" s="11" t="s">
        <v>1851</v>
      </c>
      <c r="D1" s="11" t="s">
        <v>1852</v>
      </c>
      <c r="E1" s="11" t="s">
        <v>1853</v>
      </c>
      <c r="F1" s="11" t="s">
        <v>1854</v>
      </c>
      <c r="G1" s="11" t="s">
        <v>1855</v>
      </c>
      <c r="H1" s="11" t="s">
        <v>1908</v>
      </c>
    </row>
    <row r="2" spans="1:8" x14ac:dyDescent="0.35">
      <c r="A2" s="13" t="s">
        <v>1863</v>
      </c>
      <c r="B2" s="13" t="str">
        <f>VLOOKUP(EdgesData[[#This Row],[Node A]],NodesData[],3,FALSE)</f>
        <v>nB3F90AFA_FC46_4122_9901_4FF284E9E7EC</v>
      </c>
      <c r="C2" s="11" t="s">
        <v>1966</v>
      </c>
      <c r="D2" s="11" t="s">
        <v>1838</v>
      </c>
      <c r="E2" s="11"/>
      <c r="F2" s="15" t="s">
        <v>543</v>
      </c>
      <c r="G2" s="13" t="str">
        <f>VLOOKUP(EdgesData[[#This Row],[Node B]],NodesData[],3,FALSE)</f>
        <v>nE49F9EAF_3DC5_47FA_9722_CDE0190EAD09</v>
      </c>
      <c r="H2" s="14" t="str" cm="1">
        <f t="array" ref="H2">"n"&amp;SUBSTITUTE(CreateGuidString(),"-","_")</f>
        <v>n468E091A_D635_4B66_9E9F_50250A40BACD</v>
      </c>
    </row>
    <row r="3" spans="1:8" x14ac:dyDescent="0.35">
      <c r="A3" s="13" t="s">
        <v>1872</v>
      </c>
      <c r="B3" s="13" t="str">
        <f>VLOOKUP(EdgesData[[#This Row],[Node A]],NodesData[],3,FALSE)</f>
        <v>nAC688165_B606_4D82_A016_0263D701EDF2</v>
      </c>
      <c r="C3" s="16" t="s">
        <v>618</v>
      </c>
      <c r="D3" s="11" t="s">
        <v>1343</v>
      </c>
      <c r="E3" s="11"/>
      <c r="F3" s="11" t="s">
        <v>1332</v>
      </c>
      <c r="G3" s="13" t="str">
        <f>VLOOKUP(EdgesData[[#This Row],[Node B]],NodesData[],3,FALSE)</f>
        <v>n53877DB9_77FA_44E9_974A_BE3344133398</v>
      </c>
      <c r="H3" s="14" t="str" cm="1">
        <f t="array" ref="H3">"n"&amp;SUBSTITUTE(CreateGuidString(),"-","_")</f>
        <v>nC2897412_1DFC_43D6_8283_A319DF8413FF</v>
      </c>
    </row>
    <row r="4" spans="1:8" x14ac:dyDescent="0.35">
      <c r="A4" s="13" t="s">
        <v>1857</v>
      </c>
      <c r="B4" s="13" t="str">
        <f>VLOOKUP(EdgesData[[#This Row],[Node A]],NodesData[],3,FALSE)</f>
        <v>n8B61F4C7_8FA2_43DC_B58C_AB2C5C0A8877</v>
      </c>
      <c r="C4" s="12" t="s">
        <v>79</v>
      </c>
      <c r="D4" s="12" t="s">
        <v>1343</v>
      </c>
      <c r="F4" s="12" t="s">
        <v>1337</v>
      </c>
      <c r="G4" s="13" t="str">
        <f>VLOOKUP(EdgesData[[#This Row],[Node B]],NodesData[],3,FALSE)</f>
        <v>nCEEB6DF9_D56B_4A1B_9B36_35674D25F038</v>
      </c>
      <c r="H4" s="14" t="str" cm="1">
        <f t="array" ref="H4">"n"&amp;SUBSTITUTE(CreateGuidString(),"-","_")</f>
        <v>nC4C8CE77_401A_497F_B27B_D181DE00F4C7</v>
      </c>
    </row>
    <row r="5" spans="1:8" x14ac:dyDescent="0.35">
      <c r="A5" s="13" t="s">
        <v>1868</v>
      </c>
      <c r="B5" s="13" t="str">
        <f>VLOOKUP(EdgesData[[#This Row],[Node A]],NodesData[],3,FALSE)</f>
        <v>n8B61F4C7_8FA2_43DC_B58C_AB2C5C0A8877</v>
      </c>
      <c r="C5" s="12" t="s">
        <v>79</v>
      </c>
      <c r="D5" s="12" t="s">
        <v>1338</v>
      </c>
      <c r="F5" s="12" t="s">
        <v>454</v>
      </c>
      <c r="G5" s="13" t="str">
        <f>VLOOKUP(EdgesData[[#This Row],[Node B]],NodesData[],3,FALSE)</f>
        <v>nFC4AFBE3_7D71_456A_AFC1_16F1F34558F5</v>
      </c>
      <c r="H5" s="14" t="str" cm="1">
        <f t="array" ref="H5">"n"&amp;SUBSTITUTE(CreateGuidString(),"-","_")</f>
        <v>n0F28B661_9A67_4BAE_9A38_55D958B2B110</v>
      </c>
    </row>
    <row r="6" spans="1:8" x14ac:dyDescent="0.35">
      <c r="A6" s="13" t="s">
        <v>1869</v>
      </c>
      <c r="B6" s="13" t="str">
        <f>VLOOKUP(EdgesData[[#This Row],[Node A]],NodesData[],3,FALSE)</f>
        <v>n8B61F4C7_8FA2_43DC_B58C_AB2C5C0A8877</v>
      </c>
      <c r="C6" s="12" t="s">
        <v>79</v>
      </c>
      <c r="D6" s="12" t="s">
        <v>1339</v>
      </c>
      <c r="F6" s="11" t="s">
        <v>1842</v>
      </c>
      <c r="G6" s="13" t="str">
        <f>VLOOKUP(EdgesData[[#This Row],[Node B]],NodesData[],3,FALSE)</f>
        <v>n1546AAB1_79BC_427B_AC2C_31B1E8FA4616</v>
      </c>
      <c r="H6" s="14" t="str" cm="1">
        <f t="array" ref="H6">"n"&amp;SUBSTITUTE(CreateGuidString(),"-","_")</f>
        <v>n31DD2980_8A43_4B26_AC8F_E1BD1FB1D3DF</v>
      </c>
    </row>
    <row r="7" spans="1:8" x14ac:dyDescent="0.35">
      <c r="A7" s="13" t="s">
        <v>1873</v>
      </c>
      <c r="B7" s="13" t="str">
        <f>VLOOKUP(EdgesData[[#This Row],[Node A]],NodesData[],3,FALSE)</f>
        <v>n45A95ED6_6BE9_42DC_8F8E_4940542AA763</v>
      </c>
      <c r="C7" s="17" t="s">
        <v>1303</v>
      </c>
      <c r="D7" s="11" t="s">
        <v>1343</v>
      </c>
      <c r="F7" s="11" t="s">
        <v>1332</v>
      </c>
      <c r="G7" s="13" t="str">
        <f>VLOOKUP(EdgesData[[#This Row],[Node B]],NodesData[],3,FALSE)</f>
        <v>n53877DB9_77FA_44E9_974A_BE3344133398</v>
      </c>
      <c r="H7" s="14" t="str" cm="1">
        <f t="array" ref="H7">"n"&amp;SUBSTITUTE(CreateGuidString(),"-","_")</f>
        <v>nCE538E47_70A6_41C6_BC5F_C27723D5A09B</v>
      </c>
    </row>
    <row r="8" spans="1:8" x14ac:dyDescent="0.35">
      <c r="A8" s="13" t="s">
        <v>1874</v>
      </c>
      <c r="B8" s="13" t="str">
        <f>VLOOKUP(EdgesData[[#This Row],[Node A]],NodesData[],3,FALSE)</f>
        <v>n45A95ED6_6BE9_42DC_8F8E_4940542AA763</v>
      </c>
      <c r="C8" s="16" t="s">
        <v>1303</v>
      </c>
      <c r="D8" s="11" t="s">
        <v>1343</v>
      </c>
      <c r="F8" s="11" t="s">
        <v>618</v>
      </c>
      <c r="G8" s="13" t="str">
        <f>VLOOKUP(EdgesData[[#This Row],[Node B]],NodesData[],3,FALSE)</f>
        <v>nAC688165_B606_4D82_A016_0263D701EDF2</v>
      </c>
      <c r="H8" s="14" t="str" cm="1">
        <f t="array" ref="H8">"n"&amp;SUBSTITUTE(CreateGuidString(),"-","_")</f>
        <v>n732FC9EA_C9D9_4F96_A1D9_8457FCFCFACC</v>
      </c>
    </row>
    <row r="9" spans="1:8" x14ac:dyDescent="0.35">
      <c r="A9" s="13" t="s">
        <v>1858</v>
      </c>
      <c r="B9" s="13" t="str">
        <f>VLOOKUP(EdgesData[[#This Row],[Node A]],NodesData[],3,FALSE)</f>
        <v>n09E1C4DC_8D91_4A66_9C50_11DCDC2042FD</v>
      </c>
      <c r="C9" s="12" t="s">
        <v>1345</v>
      </c>
      <c r="D9" s="12" t="s">
        <v>1343</v>
      </c>
      <c r="F9" s="12" t="s">
        <v>1341</v>
      </c>
      <c r="G9" s="13" t="str">
        <f>VLOOKUP(EdgesData[[#This Row],[Node B]],NodesData[],3,FALSE)</f>
        <v>n80310A12_2F48_48B9_A9C3_E6FADD4B55C9</v>
      </c>
      <c r="H9" s="14" t="str" cm="1">
        <f t="array" ref="H9">"n"&amp;SUBSTITUTE(CreateGuidString(),"-","_")</f>
        <v>nE030E268_BC4A_456F_92D9_2331935CA2A1</v>
      </c>
    </row>
    <row r="10" spans="1:8" x14ac:dyDescent="0.35">
      <c r="A10" s="13" t="s">
        <v>1859</v>
      </c>
      <c r="B10" s="13" t="str">
        <f>VLOOKUP(EdgesData[[#This Row],[Node A]],NodesData[],3,FALSE)</f>
        <v>nEE342468_B7F3_4FB0_BA73_C88BBEA8F59E</v>
      </c>
      <c r="C10" s="12" t="s">
        <v>1346</v>
      </c>
      <c r="D10" s="12" t="s">
        <v>1343</v>
      </c>
      <c r="F10" s="12" t="s">
        <v>1341</v>
      </c>
      <c r="G10" s="13" t="str">
        <f>VLOOKUP(EdgesData[[#This Row],[Node B]],NodesData[],3,FALSE)</f>
        <v>n80310A12_2F48_48B9_A9C3_E6FADD4B55C9</v>
      </c>
      <c r="H10" s="14" t="str" cm="1">
        <f t="array" ref="H10">"n"&amp;SUBSTITUTE(CreateGuidString(),"-","_")</f>
        <v>n875E2B7F_660C_40CF_8949_3AF592A072CA</v>
      </c>
    </row>
    <row r="11" spans="1:8" x14ac:dyDescent="0.35">
      <c r="A11" s="13" t="s">
        <v>1862</v>
      </c>
      <c r="B11" s="13" t="str">
        <f>VLOOKUP(EdgesData[[#This Row],[Node A]],NodesData[],3,FALSE)</f>
        <v>n1546AAB1_79BC_427B_AC2C_31B1E8FA4616</v>
      </c>
      <c r="C11" s="11" t="s">
        <v>1842</v>
      </c>
      <c r="D11" s="12" t="s">
        <v>1343</v>
      </c>
      <c r="F11" s="12" t="s">
        <v>1340</v>
      </c>
      <c r="G11" s="13" t="str">
        <f>VLOOKUP(EdgesData[[#This Row],[Node B]],NodesData[],3,FALSE)</f>
        <v>n385B2A02_580E_49B6_8C97_A00DC541C516</v>
      </c>
      <c r="H11" s="14" t="str" cm="1">
        <f t="array" ref="H11">"n"&amp;SUBSTITUTE(CreateGuidString(),"-","_")</f>
        <v>n7CA92152_7A47_46ED_B181_3549427CAF39</v>
      </c>
    </row>
    <row r="12" spans="1:8" x14ac:dyDescent="0.35">
      <c r="A12" s="13" t="s">
        <v>1875</v>
      </c>
      <c r="B12" s="13" t="str">
        <f>VLOOKUP(EdgesData[[#This Row],[Node A]],NodesData[],3,FALSE)</f>
        <v>nA4759A9D_95C0_47CA_B519_8CEF217B2F74</v>
      </c>
      <c r="C12" s="17" t="s">
        <v>1304</v>
      </c>
      <c r="D12" s="11" t="s">
        <v>1343</v>
      </c>
      <c r="F12" s="11" t="s">
        <v>1332</v>
      </c>
      <c r="G12" s="13" t="str">
        <f>VLOOKUP(EdgesData[[#This Row],[Node B]],NodesData[],3,FALSE)</f>
        <v>n53877DB9_77FA_44E9_974A_BE3344133398</v>
      </c>
      <c r="H12" s="14" t="str" cm="1">
        <f t="array" ref="H12">"n"&amp;SUBSTITUTE(CreateGuidString(),"-","_")</f>
        <v>nB13414E7_6B26_44AF_9043_6F67B1D60BDA</v>
      </c>
    </row>
    <row r="13" spans="1:8" x14ac:dyDescent="0.35">
      <c r="A13" s="13" t="s">
        <v>1876</v>
      </c>
      <c r="B13" s="13" t="str">
        <f>VLOOKUP(EdgesData[[#This Row],[Node A]],NodesData[],3,FALSE)</f>
        <v>nA4759A9D_95C0_47CA_B519_8CEF217B2F74</v>
      </c>
      <c r="C13" s="16" t="s">
        <v>1304</v>
      </c>
      <c r="D13" s="11" t="s">
        <v>1343</v>
      </c>
      <c r="F13" s="11" t="s">
        <v>618</v>
      </c>
      <c r="G13" s="13" t="str">
        <f>VLOOKUP(EdgesData[[#This Row],[Node B]],NodesData[],3,FALSE)</f>
        <v>nAC688165_B606_4D82_A016_0263D701EDF2</v>
      </c>
      <c r="H13" s="14" t="str" cm="1">
        <f t="array" ref="H13">"n"&amp;SUBSTITUTE(CreateGuidString(),"-","_")</f>
        <v>n12B61E94_21BF_4011_98B6_284BA8A5EB27</v>
      </c>
    </row>
    <row r="14" spans="1:8" x14ac:dyDescent="0.35">
      <c r="A14" s="13" t="s">
        <v>1877</v>
      </c>
      <c r="B14" s="13" t="str">
        <f>VLOOKUP(EdgesData[[#This Row],[Node A]],NodesData[],3,FALSE)</f>
        <v>nAACCE65E_6554_4FBD_B4D7_A3BA8E3BDB92</v>
      </c>
      <c r="C14" s="17" t="s">
        <v>1835</v>
      </c>
      <c r="D14" s="11" t="s">
        <v>1343</v>
      </c>
      <c r="F14" s="11" t="s">
        <v>1332</v>
      </c>
      <c r="G14" s="13" t="str">
        <f>VLOOKUP(EdgesData[[#This Row],[Node B]],NodesData[],3,FALSE)</f>
        <v>n53877DB9_77FA_44E9_974A_BE3344133398</v>
      </c>
      <c r="H14" s="14" t="str" cm="1">
        <f t="array" ref="H14">"n"&amp;SUBSTITUTE(CreateGuidString(),"-","_")</f>
        <v>nDE99D29F_1C41_4523_BF87_BAD6C2E634FE</v>
      </c>
    </row>
    <row r="15" spans="1:8" x14ac:dyDescent="0.35">
      <c r="A15" s="13" t="s">
        <v>1878</v>
      </c>
      <c r="B15" s="13" t="str">
        <f>VLOOKUP(EdgesData[[#This Row],[Node A]],NodesData[],3,FALSE)</f>
        <v>nAACCE65E_6554_4FBD_B4D7_A3BA8E3BDB92</v>
      </c>
      <c r="C15" s="16" t="s">
        <v>1835</v>
      </c>
      <c r="D15" s="11" t="s">
        <v>1343</v>
      </c>
      <c r="F15" s="11" t="s">
        <v>618</v>
      </c>
      <c r="G15" s="13" t="str">
        <f>VLOOKUP(EdgesData[[#This Row],[Node B]],NodesData[],3,FALSE)</f>
        <v>nAC688165_B606_4D82_A016_0263D701EDF2</v>
      </c>
      <c r="H15" s="14" t="str" cm="1">
        <f t="array" ref="H15">"n"&amp;SUBSTITUTE(CreateGuidString(),"-","_")</f>
        <v>nCAC901A3_0FF2_4E12_B73E_E9CAC4124FF8</v>
      </c>
    </row>
    <row r="16" spans="1:8" x14ac:dyDescent="0.35">
      <c r="A16" s="13" t="s">
        <v>1879</v>
      </c>
      <c r="B16" s="13" t="str">
        <f>VLOOKUP(EdgesData[[#This Row],[Node A]],NodesData[],3,FALSE)</f>
        <v>nF5B3A52F_6645_4E18_BE53_3CA330AAEC4A</v>
      </c>
      <c r="C16" s="17" t="s">
        <v>1307</v>
      </c>
      <c r="D16" s="11" t="s">
        <v>1343</v>
      </c>
      <c r="F16" s="11" t="s">
        <v>1332</v>
      </c>
      <c r="G16" s="13" t="str">
        <f>VLOOKUP(EdgesData[[#This Row],[Node B]],NodesData[],3,FALSE)</f>
        <v>n53877DB9_77FA_44E9_974A_BE3344133398</v>
      </c>
      <c r="H16" s="14" t="str" cm="1">
        <f t="array" ref="H16">"n"&amp;SUBSTITUTE(CreateGuidString(),"-","_")</f>
        <v>n1A871732_DAC0_47C7_A35A_FC53CF960FCF</v>
      </c>
    </row>
    <row r="17" spans="1:8" x14ac:dyDescent="0.35">
      <c r="A17" s="13" t="s">
        <v>1880</v>
      </c>
      <c r="B17" s="13" t="str">
        <f>VLOOKUP(EdgesData[[#This Row],[Node A]],NodesData[],3,FALSE)</f>
        <v>nF5B3A52F_6645_4E18_BE53_3CA330AAEC4A</v>
      </c>
      <c r="C17" s="16" t="s">
        <v>1307</v>
      </c>
      <c r="D17" s="11" t="s">
        <v>1343</v>
      </c>
      <c r="F17" s="11" t="s">
        <v>618</v>
      </c>
      <c r="G17" s="13" t="str">
        <f>VLOOKUP(EdgesData[[#This Row],[Node B]],NodesData[],3,FALSE)</f>
        <v>nAC688165_B606_4D82_A016_0263D701EDF2</v>
      </c>
      <c r="H17" s="14" t="str" cm="1">
        <f t="array" ref="H17">"n"&amp;SUBSTITUTE(CreateGuidString(),"-","_")</f>
        <v>nA353DE36_656F_413A_ADD6_089B79409954</v>
      </c>
    </row>
    <row r="18" spans="1:8" x14ac:dyDescent="0.35">
      <c r="A18" s="13" t="s">
        <v>1881</v>
      </c>
      <c r="B18" s="13" t="str">
        <f>VLOOKUP(EdgesData[[#This Row],[Node A]],NodesData[],3,FALSE)</f>
        <v>nE75296C8_9CA1_417E_B05B_CC1BDF26F9C3</v>
      </c>
      <c r="C18" s="17" t="s">
        <v>1308</v>
      </c>
      <c r="D18" s="11" t="s">
        <v>1343</v>
      </c>
      <c r="F18" s="11" t="s">
        <v>1332</v>
      </c>
      <c r="G18" s="13" t="str">
        <f>VLOOKUP(EdgesData[[#This Row],[Node B]],NodesData[],3,FALSE)</f>
        <v>n53877DB9_77FA_44E9_974A_BE3344133398</v>
      </c>
      <c r="H18" s="14" t="str" cm="1">
        <f t="array" ref="H18">"n"&amp;SUBSTITUTE(CreateGuidString(),"-","_")</f>
        <v>nB2F3DBF3_A01D_4F01_9A4D_277917FE5906</v>
      </c>
    </row>
    <row r="19" spans="1:8" x14ac:dyDescent="0.35">
      <c r="A19" s="13" t="s">
        <v>1882</v>
      </c>
      <c r="B19" s="13" t="str">
        <f>VLOOKUP(EdgesData[[#This Row],[Node A]],NodesData[],3,FALSE)</f>
        <v>nE75296C8_9CA1_417E_B05B_CC1BDF26F9C3</v>
      </c>
      <c r="C19" s="16" t="s">
        <v>1308</v>
      </c>
      <c r="D19" s="11" t="s">
        <v>1343</v>
      </c>
      <c r="E19" s="11"/>
      <c r="F19" s="11" t="s">
        <v>618</v>
      </c>
      <c r="G19" s="13" t="str">
        <f>VLOOKUP(EdgesData[[#This Row],[Node B]],NodesData[],3,FALSE)</f>
        <v>nAC688165_B606_4D82_A016_0263D701EDF2</v>
      </c>
      <c r="H19" s="14" t="str" cm="1">
        <f t="array" ref="H19">"n"&amp;SUBSTITUTE(CreateGuidString(),"-","_")</f>
        <v>nDEA62256_5D8D_43B0_BDAF_3E0BFDDB5934</v>
      </c>
    </row>
    <row r="20" spans="1:8" x14ac:dyDescent="0.35">
      <c r="A20" s="13" t="s">
        <v>1883</v>
      </c>
      <c r="B20" s="13" t="str">
        <f>VLOOKUP(EdgesData[[#This Row],[Node A]],NodesData[],3,FALSE)</f>
        <v>n3E35442D_91A0_4B21_B0FC_31EF1D8BC55F</v>
      </c>
      <c r="C20" s="17" t="s">
        <v>1309</v>
      </c>
      <c r="D20" s="11" t="s">
        <v>1343</v>
      </c>
      <c r="F20" s="11" t="s">
        <v>1332</v>
      </c>
      <c r="G20" s="13" t="str">
        <f>VLOOKUP(EdgesData[[#This Row],[Node B]],NodesData[],3,FALSE)</f>
        <v>n53877DB9_77FA_44E9_974A_BE3344133398</v>
      </c>
      <c r="H20" s="14" t="str" cm="1">
        <f t="array" ref="H20">"n"&amp;SUBSTITUTE(CreateGuidString(),"-","_")</f>
        <v>nA2A27037_77A3_4D96_BCA6_FEBAEF869C66</v>
      </c>
    </row>
    <row r="21" spans="1:8" x14ac:dyDescent="0.35">
      <c r="A21" s="13" t="s">
        <v>1884</v>
      </c>
      <c r="B21" s="13" t="str">
        <f>VLOOKUP(EdgesData[[#This Row],[Node A]],NodesData[],3,FALSE)</f>
        <v>n3E35442D_91A0_4B21_B0FC_31EF1D8BC55F</v>
      </c>
      <c r="C21" s="16" t="s">
        <v>1309</v>
      </c>
      <c r="D21" s="11" t="s">
        <v>1343</v>
      </c>
      <c r="F21" s="11" t="s">
        <v>618</v>
      </c>
      <c r="G21" s="13" t="str">
        <f>VLOOKUP(EdgesData[[#This Row],[Node B]],NodesData[],3,FALSE)</f>
        <v>nAC688165_B606_4D82_A016_0263D701EDF2</v>
      </c>
      <c r="H21" s="14" t="str" cm="1">
        <f t="array" ref="H21">"n"&amp;SUBSTITUTE(CreateGuidString(),"-","_")</f>
        <v>nE42CADC2_DC16_41D6_93D7_D352A75B7BD8</v>
      </c>
    </row>
    <row r="22" spans="1:8" x14ac:dyDescent="0.35">
      <c r="A22" s="13" t="s">
        <v>1885</v>
      </c>
      <c r="B22" s="13" t="str">
        <f>VLOOKUP(EdgesData[[#This Row],[Node A]],NodesData[],3,FALSE)</f>
        <v>n99E2EC41_CA7B_41FD_8304_3926884533F9</v>
      </c>
      <c r="C22" s="17" t="s">
        <v>1294</v>
      </c>
      <c r="D22" s="11" t="s">
        <v>1343</v>
      </c>
      <c r="F22" s="11" t="s">
        <v>0</v>
      </c>
      <c r="G22" s="13" t="str">
        <f>VLOOKUP(EdgesData[[#This Row],[Node B]],NodesData[],3,FALSE)</f>
        <v>n67C132A3_290E_4750_90DE_11E7C1778537</v>
      </c>
      <c r="H22" s="14" t="str" cm="1">
        <f t="array" ref="H22">"n"&amp;SUBSTITUTE(CreateGuidString(),"-","_")</f>
        <v>nF3F79199_74CC_4F4D_A509_DB0B9A32A705</v>
      </c>
    </row>
    <row r="23" spans="1:8" x14ac:dyDescent="0.35">
      <c r="A23" s="13" t="s">
        <v>1886</v>
      </c>
      <c r="B23" s="13" t="str">
        <f>VLOOKUP(EdgesData[[#This Row],[Node A]],NodesData[],3,FALSE)</f>
        <v>nFF2EA87E_84ED_44A7_83DE_4A3C4C0F01DF</v>
      </c>
      <c r="C23" s="16" t="s">
        <v>1310</v>
      </c>
      <c r="D23" s="11" t="s">
        <v>1343</v>
      </c>
      <c r="F23" s="11" t="s">
        <v>1332</v>
      </c>
      <c r="G23" s="13" t="str">
        <f>VLOOKUP(EdgesData[[#This Row],[Node B]],NodesData[],3,FALSE)</f>
        <v>n53877DB9_77FA_44E9_974A_BE3344133398</v>
      </c>
      <c r="H23" s="14" t="str" cm="1">
        <f t="array" ref="H23">"n"&amp;SUBSTITUTE(CreateGuidString(),"-","_")</f>
        <v>n3D9A47E6_573A_4F2E_BEC6_9067B188F256</v>
      </c>
    </row>
    <row r="24" spans="1:8" x14ac:dyDescent="0.35">
      <c r="A24" s="13" t="s">
        <v>1887</v>
      </c>
      <c r="B24" s="13" t="str">
        <f>VLOOKUP(EdgesData[[#This Row],[Node A]],NodesData[],3,FALSE)</f>
        <v>nFF2EA87E_84ED_44A7_83DE_4A3C4C0F01DF</v>
      </c>
      <c r="C24" s="17" t="s">
        <v>1310</v>
      </c>
      <c r="D24" s="11" t="s">
        <v>1343</v>
      </c>
      <c r="F24" s="11" t="s">
        <v>618</v>
      </c>
      <c r="G24" s="13" t="str">
        <f>VLOOKUP(EdgesData[[#This Row],[Node B]],NodesData[],3,FALSE)</f>
        <v>nAC688165_B606_4D82_A016_0263D701EDF2</v>
      </c>
      <c r="H24" s="14" t="str" cm="1">
        <f t="array" ref="H24">"n"&amp;SUBSTITUTE(CreateGuidString(),"-","_")</f>
        <v>nFB0DACE8_6D44_4830_AF63_AE8DF94AA876</v>
      </c>
    </row>
    <row r="25" spans="1:8" x14ac:dyDescent="0.35">
      <c r="A25" s="13" t="s">
        <v>1860</v>
      </c>
      <c r="B25" s="13" t="str">
        <f>VLOOKUP(EdgesData[[#This Row],[Node A]],NodesData[],3,FALSE)</f>
        <v>n940256DD_635E_4F4B_91EA_B3366D40E947</v>
      </c>
      <c r="C25" s="12" t="s">
        <v>1342</v>
      </c>
      <c r="D25" s="12" t="s">
        <v>1343</v>
      </c>
      <c r="F25" s="12" t="s">
        <v>1341</v>
      </c>
      <c r="G25" s="13" t="str">
        <f>VLOOKUP(EdgesData[[#This Row],[Node B]],NodesData[],3,FALSE)</f>
        <v>n80310A12_2F48_48B9_A9C3_E6FADD4B55C9</v>
      </c>
      <c r="H25" s="14" t="str" cm="1">
        <f t="array" ref="H25">"n"&amp;SUBSTITUTE(CreateGuidString(),"-","_")</f>
        <v>n8F4D9ABE_2D04_445A_B86D_9C79BDDFB297</v>
      </c>
    </row>
    <row r="26" spans="1:8" x14ac:dyDescent="0.35">
      <c r="A26" s="13" t="s">
        <v>1861</v>
      </c>
      <c r="B26" s="13" t="str">
        <f>VLOOKUP(EdgesData[[#This Row],[Node A]],NodesData[],3,FALSE)</f>
        <v>nBB725018_7327_49FB_A48A_74839D0C04F9</v>
      </c>
      <c r="C26" s="12" t="s">
        <v>1344</v>
      </c>
      <c r="D26" s="12" t="s">
        <v>1343</v>
      </c>
      <c r="F26" s="12" t="s">
        <v>1341</v>
      </c>
      <c r="G26" s="13" t="str">
        <f>VLOOKUP(EdgesData[[#This Row],[Node B]],NodesData[],3,FALSE)</f>
        <v>n80310A12_2F48_48B9_A9C3_E6FADD4B55C9</v>
      </c>
      <c r="H26" s="14" t="str" cm="1">
        <f t="array" ref="H26">"n"&amp;SUBSTITUTE(CreateGuidString(),"-","_")</f>
        <v>n04C264E5_1E6E_497A_85B4_8EB7A2EE0DC9</v>
      </c>
    </row>
    <row r="27" spans="1:8" x14ac:dyDescent="0.35">
      <c r="A27" s="13" t="s">
        <v>1856</v>
      </c>
      <c r="B27" s="13" t="str">
        <f>VLOOKUP(EdgesData[[#This Row],[Node A]],NodesData[],3,FALSE)</f>
        <v>nC607594D_D597_4C8E_9605_EED87566C2FD</v>
      </c>
      <c r="C27" s="12" t="s">
        <v>261</v>
      </c>
      <c r="D27" s="11" t="s">
        <v>1833</v>
      </c>
      <c r="F27" s="12" t="s">
        <v>1341</v>
      </c>
      <c r="G27" s="13" t="str">
        <f>VLOOKUP(EdgesData[[#This Row],[Node B]],NodesData[],3,FALSE)</f>
        <v>n80310A12_2F48_48B9_A9C3_E6FADD4B55C9</v>
      </c>
      <c r="H27" s="14" t="str" cm="1">
        <f t="array" ref="H27">"n"&amp;SUBSTITUTE(CreateGuidString(),"-","_")</f>
        <v>n218B9A28_10CF_47F1_BCE5_B2CF708633D6</v>
      </c>
    </row>
    <row r="28" spans="1:8" x14ac:dyDescent="0.35">
      <c r="A28" s="13" t="s">
        <v>1864</v>
      </c>
      <c r="B28" s="13" t="str">
        <f>VLOOKUP(EdgesData[[#This Row],[Node A]],NodesData[],3,FALSE)</f>
        <v>nC607594D_D597_4C8E_9605_EED87566C2FD</v>
      </c>
      <c r="C28" s="12" t="s">
        <v>261</v>
      </c>
      <c r="D28" s="11" t="s">
        <v>1834</v>
      </c>
      <c r="F28" s="12" t="s">
        <v>1348</v>
      </c>
      <c r="G28" s="13" t="str">
        <f>VLOOKUP(EdgesData[[#This Row],[Node B]],NodesData[],3,FALSE)</f>
        <v>nFB32F479_4EF7_409C_900B_EE48AA0DE846</v>
      </c>
      <c r="H28" s="14" t="str" cm="1">
        <f t="array" ref="H28">"n"&amp;SUBSTITUTE(CreateGuidString(),"-","_")</f>
        <v>n63524A5E_DE23_4177_B001_AB7FE6B60755</v>
      </c>
    </row>
    <row r="29" spans="1:8" x14ac:dyDescent="0.35">
      <c r="A29" s="13" t="s">
        <v>1865</v>
      </c>
      <c r="B29" s="13" t="str">
        <f>VLOOKUP(EdgesData[[#This Row],[Node A]],NodesData[],3,FALSE)</f>
        <v>nC607594D_D597_4C8E_9605_EED87566C2FD</v>
      </c>
      <c r="C29" s="12" t="s">
        <v>261</v>
      </c>
      <c r="D29" s="11" t="s">
        <v>1834</v>
      </c>
      <c r="F29" s="12" t="s">
        <v>1349</v>
      </c>
      <c r="G29" s="13" t="str">
        <f>VLOOKUP(EdgesData[[#This Row],[Node B]],NodesData[],3,FALSE)</f>
        <v>nFA6C8A63_7071_4E20_BB02_F78403869E0B</v>
      </c>
      <c r="H29" s="14" t="str" cm="1">
        <f t="array" ref="H29">"n"&amp;SUBSTITUTE(CreateGuidString(),"-","_")</f>
        <v>n7B71DF07_C7D1_46EC_801B_8157BECEBBD8</v>
      </c>
    </row>
    <row r="30" spans="1:8" x14ac:dyDescent="0.35">
      <c r="A30" s="13" t="s">
        <v>1866</v>
      </c>
      <c r="B30" s="13" t="str">
        <f>VLOOKUP(EdgesData[[#This Row],[Node A]],NodesData[],3,FALSE)</f>
        <v>nC607594D_D597_4C8E_9605_EED87566C2FD</v>
      </c>
      <c r="C30" s="12" t="s">
        <v>261</v>
      </c>
      <c r="D30" s="11" t="s">
        <v>1834</v>
      </c>
      <c r="F30" s="12" t="s">
        <v>1350</v>
      </c>
      <c r="G30" s="13" t="str">
        <f>VLOOKUP(EdgesData[[#This Row],[Node B]],NodesData[],3,FALSE)</f>
        <v>nAC062A15_C72B_42D8_BBDF_C7EB64B35F26</v>
      </c>
      <c r="H30" s="14" t="str" cm="1">
        <f t="array" ref="H30">"n"&amp;SUBSTITUTE(CreateGuidString(),"-","_")</f>
        <v>n7EEAE8B6_AE75_437C_A18E_905A8E62F49A</v>
      </c>
    </row>
    <row r="31" spans="1:8" x14ac:dyDescent="0.35">
      <c r="A31" s="13" t="s">
        <v>1867</v>
      </c>
      <c r="B31" s="13" t="str">
        <f>VLOOKUP(EdgesData[[#This Row],[Node A]],NodesData[],3,FALSE)</f>
        <v>nC607594D_D597_4C8E_9605_EED87566C2FD</v>
      </c>
      <c r="C31" s="12" t="s">
        <v>261</v>
      </c>
      <c r="D31" s="11" t="s">
        <v>1834</v>
      </c>
      <c r="F31" s="12" t="s">
        <v>1347</v>
      </c>
      <c r="G31" s="13" t="str">
        <f>VLOOKUP(EdgesData[[#This Row],[Node B]],NodesData[],3,FALSE)</f>
        <v>nF3A221C8_C126_458E_818C_DAE6B57CD442</v>
      </c>
      <c r="H31" s="14" t="str" cm="1">
        <f t="array" ref="H31">"n"&amp;SUBSTITUTE(CreateGuidString(),"-","_")</f>
        <v>n7D3DEC30_7061_484C_8360_3828C1B9DBA7</v>
      </c>
    </row>
    <row r="32" spans="1:8" x14ac:dyDescent="0.35">
      <c r="A32" s="13" t="s">
        <v>1870</v>
      </c>
      <c r="B32" s="13" t="str">
        <f>VLOOKUP(EdgesData[[#This Row],[Node A]],NodesData[],3,FALSE)</f>
        <v>nC607594D_D597_4C8E_9605_EED87566C2FD</v>
      </c>
      <c r="C32" s="12" t="s">
        <v>261</v>
      </c>
      <c r="D32" s="12" t="s">
        <v>1351</v>
      </c>
      <c r="F32" s="12" t="s">
        <v>1352</v>
      </c>
      <c r="G32" s="13" t="str">
        <f>VLOOKUP(EdgesData[[#This Row],[Node B]],NodesData[],3,FALSE)</f>
        <v>n2E4A35A7_53BB_4F4B_8554_B6584F77D71D</v>
      </c>
      <c r="H32" s="14" t="str" cm="1">
        <f t="array" ref="H32">"n"&amp;SUBSTITUTE(CreateGuidString(),"-","_")</f>
        <v>nA64812DF_4091_450F_83AC_CFF12E37FF21</v>
      </c>
    </row>
    <row r="33" spans="1:8" x14ac:dyDescent="0.35">
      <c r="A33" s="13" t="s">
        <v>1871</v>
      </c>
      <c r="B33" s="13" t="str">
        <f>VLOOKUP(EdgesData[[#This Row],[Node A]],NodesData[],3,FALSE)</f>
        <v>n35F5759D_AAFF_439C_A04E_623AA07EE4D9</v>
      </c>
      <c r="C33" s="11" t="s">
        <v>1311</v>
      </c>
      <c r="D33" s="11" t="s">
        <v>1837</v>
      </c>
      <c r="E33" s="11" t="s">
        <v>1836</v>
      </c>
      <c r="F33" s="11" t="s">
        <v>1312</v>
      </c>
      <c r="G33" s="13" t="str">
        <f>VLOOKUP(EdgesData[[#This Row],[Node B]],NodesData[],3,FALSE)</f>
        <v>n2F27DDAD_459D_4B06_9152_168BDF5063F5</v>
      </c>
      <c r="H33" s="14" t="str" cm="1">
        <f t="array" ref="H33">"n"&amp;SUBSTITUTE(CreateGuidString(),"-","_")</f>
        <v>n86BFB053_23CF_4416_BBC0_B2E65701A275</v>
      </c>
    </row>
    <row r="34" spans="1:8" x14ac:dyDescent="0.35">
      <c r="A34" s="13" t="s">
        <v>1888</v>
      </c>
      <c r="B34" s="13" t="str">
        <f>VLOOKUP(EdgesData[[#This Row],[Node A]],NodesData[],3,FALSE)</f>
        <v>n35F5759D_AAFF_439C_A04E_623AA07EE4D9</v>
      </c>
      <c r="C34" s="16" t="s">
        <v>1311</v>
      </c>
      <c r="D34" s="11" t="s">
        <v>1343</v>
      </c>
      <c r="F34" s="11" t="s">
        <v>1332</v>
      </c>
      <c r="G34" s="13" t="str">
        <f>VLOOKUP(EdgesData[[#This Row],[Node B]],NodesData[],3,FALSE)</f>
        <v>n53877DB9_77FA_44E9_974A_BE3344133398</v>
      </c>
      <c r="H34" s="14" t="str" cm="1">
        <f t="array" ref="H34">"n"&amp;SUBSTITUTE(CreateGuidString(),"-","_")</f>
        <v>n1BFD7E0A_9FB6_4761_8D27_F7FA858384E7</v>
      </c>
    </row>
    <row r="35" spans="1:8" x14ac:dyDescent="0.35">
      <c r="A35" s="13" t="s">
        <v>1889</v>
      </c>
      <c r="B35" s="13" t="str">
        <f>VLOOKUP(EdgesData[[#This Row],[Node A]],NodesData[],3,FALSE)</f>
        <v>n35F5759D_AAFF_439C_A04E_623AA07EE4D9</v>
      </c>
      <c r="C35" s="17" t="s">
        <v>1311</v>
      </c>
      <c r="D35" s="11" t="s">
        <v>1343</v>
      </c>
      <c r="F35" s="11" t="s">
        <v>618</v>
      </c>
      <c r="G35" s="13" t="str">
        <f>VLOOKUP(EdgesData[[#This Row],[Node B]],NodesData[],3,FALSE)</f>
        <v>nAC688165_B606_4D82_A016_0263D701EDF2</v>
      </c>
      <c r="H35" s="14" t="str" cm="1">
        <f t="array" ref="H35">"n"&amp;SUBSTITUTE(CreateGuidString(),"-","_")</f>
        <v>n6F722E35_6B6C_4914_83F1_5B250A727B9A</v>
      </c>
    </row>
    <row r="36" spans="1:8" x14ac:dyDescent="0.35">
      <c r="A36" s="13" t="s">
        <v>1890</v>
      </c>
      <c r="B36" s="13" t="str">
        <f>VLOOKUP(EdgesData[[#This Row],[Node A]],NodesData[],3,FALSE)</f>
        <v>n63EDDBAD_A168_4974_B9D5_9B90FB3F688E</v>
      </c>
      <c r="C36" s="16" t="s">
        <v>2</v>
      </c>
      <c r="D36" s="11" t="s">
        <v>1343</v>
      </c>
      <c r="F36" s="11" t="s">
        <v>0</v>
      </c>
      <c r="G36" s="13" t="str">
        <f>VLOOKUP(EdgesData[[#This Row],[Node B]],NodesData[],3,FALSE)</f>
        <v>n67C132A3_290E_4750_90DE_11E7C1778537</v>
      </c>
      <c r="H36" s="14" t="str" cm="1">
        <f t="array" ref="H36">"n"&amp;SUBSTITUTE(CreateGuidString(),"-","_")</f>
        <v>n9B5B0398_CCEF_426C_BFD3_04D87ADC5A42</v>
      </c>
    </row>
    <row r="37" spans="1:8" x14ac:dyDescent="0.35">
      <c r="A37" s="13" t="s">
        <v>1891</v>
      </c>
      <c r="B37" s="13" t="str">
        <f>VLOOKUP(EdgesData[[#This Row],[Node A]],NodesData[],3,FALSE)</f>
        <v>nC63D5B91_5DF9_4B35_856B_670E59CF1CA0</v>
      </c>
      <c r="C37" s="17" t="s">
        <v>1313</v>
      </c>
      <c r="D37" s="11" t="s">
        <v>1343</v>
      </c>
      <c r="F37" s="11" t="s">
        <v>1332</v>
      </c>
      <c r="G37" s="13" t="str">
        <f>VLOOKUP(EdgesData[[#This Row],[Node B]],NodesData[],3,FALSE)</f>
        <v>n53877DB9_77FA_44E9_974A_BE3344133398</v>
      </c>
      <c r="H37" s="14" t="str" cm="1">
        <f t="array" ref="H37">"n"&amp;SUBSTITUTE(CreateGuidString(),"-","_")</f>
        <v>n7EDADDC0_813C_4BCC_9D7C_99B766ED8CFA</v>
      </c>
    </row>
    <row r="38" spans="1:8" x14ac:dyDescent="0.35">
      <c r="A38" s="13" t="s">
        <v>1892</v>
      </c>
      <c r="B38" s="13" t="str">
        <f>VLOOKUP(EdgesData[[#This Row],[Node A]],NodesData[],3,FALSE)</f>
        <v>nC63D5B91_5DF9_4B35_856B_670E59CF1CA0</v>
      </c>
      <c r="C38" s="16" t="s">
        <v>1313</v>
      </c>
      <c r="D38" s="11" t="s">
        <v>1343</v>
      </c>
      <c r="F38" s="11" t="s">
        <v>618</v>
      </c>
      <c r="G38" s="13" t="str">
        <f>VLOOKUP(EdgesData[[#This Row],[Node B]],NodesData[],3,FALSE)</f>
        <v>nAC688165_B606_4D82_A016_0263D701EDF2</v>
      </c>
      <c r="H38" s="14" t="str" cm="1">
        <f t="array" ref="H38">"n"&amp;SUBSTITUTE(CreateGuidString(),"-","_")</f>
        <v>nC55380A6_8E52_4E69_9929_1DD7F0172B53</v>
      </c>
    </row>
    <row r="39" spans="1:8" x14ac:dyDescent="0.35">
      <c r="A39" s="13" t="s">
        <v>1893</v>
      </c>
      <c r="B39" s="13" t="str">
        <f>VLOOKUP(EdgesData[[#This Row],[Node A]],NodesData[],3,FALSE)</f>
        <v>nE61E61F3_D210_49D4_9FB5_8E7744490C9D</v>
      </c>
      <c r="C39" s="17" t="s">
        <v>1296</v>
      </c>
      <c r="D39" s="11" t="s">
        <v>1343</v>
      </c>
      <c r="F39" s="11" t="s">
        <v>0</v>
      </c>
      <c r="G39" s="13" t="str">
        <f>VLOOKUP(EdgesData[[#This Row],[Node B]],NodesData[],3,FALSE)</f>
        <v>n67C132A3_290E_4750_90DE_11E7C1778537</v>
      </c>
      <c r="H39" s="14" t="str" cm="1">
        <f t="array" ref="H39">"n"&amp;SUBSTITUTE(CreateGuidString(),"-","_")</f>
        <v>n8DC0BB5E_D388_4FFA_B285_2015DDA23483</v>
      </c>
    </row>
    <row r="40" spans="1:8" x14ac:dyDescent="0.35">
      <c r="A40" s="13" t="s">
        <v>1894</v>
      </c>
      <c r="B40" s="13" t="str">
        <f>VLOOKUP(EdgesData[[#This Row],[Node A]],NodesData[],3,FALSE)</f>
        <v>nF4329B4E_89AE_4B13_8BA2_B6BEFB931A12</v>
      </c>
      <c r="C40" s="11" t="s">
        <v>1839</v>
      </c>
      <c r="D40" s="11" t="s">
        <v>1343</v>
      </c>
      <c r="F40" s="11" t="s">
        <v>1332</v>
      </c>
      <c r="G40" s="13" t="str">
        <f>VLOOKUP(EdgesData[[#This Row],[Node B]],NodesData[],3,FALSE)</f>
        <v>n53877DB9_77FA_44E9_974A_BE3344133398</v>
      </c>
      <c r="H40" s="14" t="str" cm="1">
        <f t="array" ref="H40">"n"&amp;SUBSTITUTE(CreateGuidString(),"-","_")</f>
        <v>n0BB13D61_3169_4D1C_B41A_F7C75D744123</v>
      </c>
    </row>
    <row r="41" spans="1:8" x14ac:dyDescent="0.35">
      <c r="A41" s="13" t="s">
        <v>1895</v>
      </c>
      <c r="B41" s="13" t="str">
        <f>VLOOKUP(EdgesData[[#This Row],[Node A]],NodesData[],3,FALSE)</f>
        <v>nF4329B4E_89AE_4B13_8BA2_B6BEFB931A12</v>
      </c>
      <c r="C41" s="11" t="s">
        <v>1839</v>
      </c>
      <c r="D41" s="11" t="s">
        <v>1343</v>
      </c>
      <c r="F41" s="11" t="s">
        <v>618</v>
      </c>
      <c r="G41" s="13" t="str">
        <f>VLOOKUP(EdgesData[[#This Row],[Node B]],NodesData[],3,FALSE)</f>
        <v>nAC688165_B606_4D82_A016_0263D701EDF2</v>
      </c>
      <c r="H41" s="14" t="str" cm="1">
        <f t="array" ref="H41">"n"&amp;SUBSTITUTE(CreateGuidString(),"-","_")</f>
        <v>n0E0FA8E6_D7C8_42DB_A49D_D3414BAAA139</v>
      </c>
    </row>
    <row r="42" spans="1:8" x14ac:dyDescent="0.35">
      <c r="A42" s="13" t="s">
        <v>1896</v>
      </c>
      <c r="B42" s="13" t="str">
        <f>VLOOKUP(EdgesData[[#This Row],[Node A]],NodesData[],3,FALSE)</f>
        <v>nD67337C3_82D6_4A00_9312_77ECF955E4EE</v>
      </c>
      <c r="C42" s="16" t="s">
        <v>1314</v>
      </c>
      <c r="D42" s="11" t="s">
        <v>1343</v>
      </c>
      <c r="F42" s="11" t="s">
        <v>1332</v>
      </c>
      <c r="G42" s="13" t="str">
        <f>VLOOKUP(EdgesData[[#This Row],[Node B]],NodesData[],3,FALSE)</f>
        <v>n53877DB9_77FA_44E9_974A_BE3344133398</v>
      </c>
      <c r="H42" s="14" t="str" cm="1">
        <f t="array" ref="H42">"n"&amp;SUBSTITUTE(CreateGuidString(),"-","_")</f>
        <v>nFD74C25B_CA1D_41B8_8285_859CDE820E05</v>
      </c>
    </row>
    <row r="43" spans="1:8" x14ac:dyDescent="0.35">
      <c r="A43" s="13" t="s">
        <v>1897</v>
      </c>
      <c r="B43" s="13" t="str">
        <f>VLOOKUP(EdgesData[[#This Row],[Node A]],NodesData[],3,FALSE)</f>
        <v>nD67337C3_82D6_4A00_9312_77ECF955E4EE</v>
      </c>
      <c r="C43" s="17" t="s">
        <v>1314</v>
      </c>
      <c r="D43" s="11" t="s">
        <v>1343</v>
      </c>
      <c r="F43" s="11" t="s">
        <v>618</v>
      </c>
      <c r="G43" s="13" t="str">
        <f>VLOOKUP(EdgesData[[#This Row],[Node B]],NodesData[],3,FALSE)</f>
        <v>nAC688165_B606_4D82_A016_0263D701EDF2</v>
      </c>
      <c r="H43" s="14" t="str" cm="1">
        <f t="array" ref="H43">"n"&amp;SUBSTITUTE(CreateGuidString(),"-","_")</f>
        <v>n38735D1A_417F_438D_ADD1_4030265037A7</v>
      </c>
    </row>
    <row r="44" spans="1:8" x14ac:dyDescent="0.35">
      <c r="A44" s="13" t="s">
        <v>1898</v>
      </c>
      <c r="B44" s="13" t="str">
        <f>VLOOKUP(EdgesData[[#This Row],[Node A]],NodesData[],3,FALSE)</f>
        <v>n8B4BB7FC_2E2A_4C1A_8657_58EEC2DF8A9A</v>
      </c>
      <c r="C44" s="16" t="s">
        <v>1295</v>
      </c>
      <c r="D44" s="11" t="s">
        <v>1343</v>
      </c>
      <c r="F44" s="11" t="s">
        <v>0</v>
      </c>
      <c r="G44" s="13" t="str">
        <f>VLOOKUP(EdgesData[[#This Row],[Node B]],NodesData[],3,FALSE)</f>
        <v>n67C132A3_290E_4750_90DE_11E7C1778537</v>
      </c>
      <c r="H44" s="14" t="str" cm="1">
        <f t="array" ref="H44">"n"&amp;SUBSTITUTE(CreateGuidString(),"-","_")</f>
        <v>nA2E86579_252A_4E1D_AC68_2AEE7D87BDF9</v>
      </c>
    </row>
    <row r="45" spans="1:8" x14ac:dyDescent="0.35">
      <c r="A45" s="13" t="s">
        <v>1899</v>
      </c>
      <c r="B45" s="13" t="str">
        <f>VLOOKUP(EdgesData[[#This Row],[Node A]],NodesData[],3,FALSE)</f>
        <v>nF44C30A8_A797_4F0C_9C18_D87E7D5A8B88</v>
      </c>
      <c r="C45" s="17" t="s">
        <v>1297</v>
      </c>
      <c r="D45" s="11" t="s">
        <v>1343</v>
      </c>
      <c r="F45" s="11" t="s">
        <v>0</v>
      </c>
      <c r="G45" s="13" t="str">
        <f>VLOOKUP(EdgesData[[#This Row],[Node B]],NodesData[],3,FALSE)</f>
        <v>n67C132A3_290E_4750_90DE_11E7C1778537</v>
      </c>
      <c r="H45" s="14" t="str" cm="1">
        <f t="array" ref="H45">"n"&amp;SUBSTITUTE(CreateGuidString(),"-","_")</f>
        <v>nC621ED13_0087_42F8_80CD_7697770DAD73</v>
      </c>
    </row>
    <row r="46" spans="1:8" x14ac:dyDescent="0.35">
      <c r="A46" s="13" t="s">
        <v>1900</v>
      </c>
      <c r="B46" s="13" t="str">
        <f>VLOOKUP(EdgesData[[#This Row],[Node A]],NodesData[],3,FALSE)</f>
        <v>n2F27DDAD_459D_4B06_9152_168BDF5063F5</v>
      </c>
      <c r="C46" s="16" t="s">
        <v>1312</v>
      </c>
      <c r="D46" s="11" t="s">
        <v>1343</v>
      </c>
      <c r="F46" s="11" t="s">
        <v>1332</v>
      </c>
      <c r="G46" s="13" t="str">
        <f>VLOOKUP(EdgesData[[#This Row],[Node B]],NodesData[],3,FALSE)</f>
        <v>n53877DB9_77FA_44E9_974A_BE3344133398</v>
      </c>
      <c r="H46" s="14" t="str" cm="1">
        <f t="array" ref="H46">"n"&amp;SUBSTITUTE(CreateGuidString(),"-","_")</f>
        <v>nEE736788_360E_4051_A5DD_EF9A141931B5</v>
      </c>
    </row>
    <row r="47" spans="1:8" x14ac:dyDescent="0.35">
      <c r="A47" s="13" t="s">
        <v>1901</v>
      </c>
      <c r="B47" s="13" t="str">
        <f>VLOOKUP(EdgesData[[#This Row],[Node A]],NodesData[],3,FALSE)</f>
        <v>n2F27DDAD_459D_4B06_9152_168BDF5063F5</v>
      </c>
      <c r="C47" s="17" t="s">
        <v>1312</v>
      </c>
      <c r="D47" s="11" t="s">
        <v>1343</v>
      </c>
      <c r="F47" s="11" t="s">
        <v>618</v>
      </c>
      <c r="G47" s="13" t="str">
        <f>VLOOKUP(EdgesData[[#This Row],[Node B]],NodesData[],3,FALSE)</f>
        <v>nAC688165_B606_4D82_A016_0263D701EDF2</v>
      </c>
      <c r="H47" s="14" t="str" cm="1">
        <f t="array" ref="H47">"n"&amp;SUBSTITUTE(CreateGuidString(),"-","_")</f>
        <v>nCEEF2D09_F3DD_4E2A_A2B9_02632670059D</v>
      </c>
    </row>
    <row r="48" spans="1:8" x14ac:dyDescent="0.35">
      <c r="A48" s="13" t="s">
        <v>1902</v>
      </c>
      <c r="B48" s="13" t="str">
        <f>VLOOKUP(EdgesData[[#This Row],[Node A]],NodesData[],3,FALSE)</f>
        <v>nC196E133_4263_4398_B44A_B3053AC5D0E8</v>
      </c>
      <c r="C48" s="16" t="s">
        <v>1315</v>
      </c>
      <c r="D48" s="11" t="s">
        <v>1343</v>
      </c>
      <c r="F48" s="11" t="s">
        <v>1332</v>
      </c>
      <c r="G48" s="13" t="str">
        <f>VLOOKUP(EdgesData[[#This Row],[Node B]],NodesData[],3,FALSE)</f>
        <v>n53877DB9_77FA_44E9_974A_BE3344133398</v>
      </c>
      <c r="H48" s="14" t="str" cm="1">
        <f t="array" ref="H48">"n"&amp;SUBSTITUTE(CreateGuidString(),"-","_")</f>
        <v>n84AE65AE_1872_478C_B6BC_BDC5B5C065EA</v>
      </c>
    </row>
    <row r="49" spans="1:8" x14ac:dyDescent="0.35">
      <c r="A49" s="13" t="s">
        <v>1903</v>
      </c>
      <c r="B49" s="13" t="str">
        <f>VLOOKUP(EdgesData[[#This Row],[Node A]],NodesData[],3,FALSE)</f>
        <v>nC196E133_4263_4398_B44A_B3053AC5D0E8</v>
      </c>
      <c r="C49" s="17" t="s">
        <v>1315</v>
      </c>
      <c r="D49" s="11" t="s">
        <v>1343</v>
      </c>
      <c r="F49" s="11" t="s">
        <v>618</v>
      </c>
      <c r="G49" s="13" t="str">
        <f>VLOOKUP(EdgesData[[#This Row],[Node B]],NodesData[],3,FALSE)</f>
        <v>nAC688165_B606_4D82_A016_0263D701EDF2</v>
      </c>
      <c r="H49" s="14" t="str" cm="1">
        <f t="array" ref="H49">"n"&amp;SUBSTITUTE(CreateGuidString(),"-","_")</f>
        <v>n0443F6C4_1BBB_4105_9F0A_DC9C4797CB7D</v>
      </c>
    </row>
    <row r="50" spans="1:8" x14ac:dyDescent="0.35">
      <c r="A50" s="13" t="s">
        <v>1936</v>
      </c>
      <c r="B50" s="13" t="str">
        <f>VLOOKUP(EdgesData[[#This Row],[Node A]],NodesData[],3,FALSE)</f>
        <v>nE9C9661B_8C28_413E_A8E3_A720E03C04B7</v>
      </c>
      <c r="C50" s="12" t="s">
        <v>4</v>
      </c>
      <c r="D50" s="12" t="s">
        <v>1343</v>
      </c>
      <c r="F50" s="18" t="s">
        <v>1915</v>
      </c>
      <c r="G50" s="28" t="str">
        <f>VLOOKUP(EdgesData[[#This Row],[Node B]],NodesData[],3,FALSE)</f>
        <v>n23656C0A_A156_405F_9FF8_7AE62FD6FB07</v>
      </c>
      <c r="H50" s="29" t="str" cm="1">
        <f t="array" ref="H50">"n"&amp;SUBSTITUTE(CreateGuidString(),"-","_")</f>
        <v>nDEAD741F_13E1_43AB_83A1_4F593CDFF8AF</v>
      </c>
    </row>
    <row r="51" spans="1:8" x14ac:dyDescent="0.35">
      <c r="A51" s="13" t="s">
        <v>1937</v>
      </c>
      <c r="B51" s="13" t="str">
        <f>VLOOKUP(EdgesData[[#This Row],[Node A]],NodesData[],3,FALSE)</f>
        <v>n23656C0A_A156_405F_9FF8_7AE62FD6FB07</v>
      </c>
      <c r="C51" s="12" t="s">
        <v>1915</v>
      </c>
      <c r="D51" s="12" t="s">
        <v>1343</v>
      </c>
      <c r="F51" s="18" t="s">
        <v>1916</v>
      </c>
      <c r="G51" s="28" t="str">
        <f>VLOOKUP(EdgesData[[#This Row],[Node B]],NodesData[],3,FALSE)</f>
        <v>nBC613B66_5F94_4F48_91BD_5F6BBA766E79</v>
      </c>
      <c r="H51" s="29" t="str" cm="1">
        <f t="array" ref="H51">"n"&amp;SUBSTITUTE(CreateGuidString(),"-","_")</f>
        <v>n36F69CCD_C3CF_48B5_85A5_B57A11F54932</v>
      </c>
    </row>
    <row r="52" spans="1:8" x14ac:dyDescent="0.35">
      <c r="A52" s="13" t="s">
        <v>1938</v>
      </c>
      <c r="B52" s="13" t="str">
        <f>VLOOKUP(EdgesData[[#This Row],[Node A]],NodesData[],3,FALSE)</f>
        <v>nE9C9661B_8C28_413E_A8E3_A720E03C04B7</v>
      </c>
      <c r="C52" s="12" t="s">
        <v>4</v>
      </c>
      <c r="D52" s="12" t="s">
        <v>1917</v>
      </c>
      <c r="F52" s="18" t="s">
        <v>1955</v>
      </c>
      <c r="G52" s="28" t="str">
        <f>VLOOKUP(EdgesData[[#This Row],[Node B]],NodesData[],3,FALSE)</f>
        <v>n02B81E29_1266_4611_897E_FD90C5DD5788</v>
      </c>
      <c r="H52" s="29" t="str" cm="1">
        <f t="array" ref="H52">"n"&amp;SUBSTITUTE(CreateGuidString(),"-","_")</f>
        <v>nA3659DAE_2748_41EA_9783_AFBB27AE397D</v>
      </c>
    </row>
    <row r="53" spans="1:8" x14ac:dyDescent="0.35">
      <c r="A53" s="13" t="s">
        <v>1939</v>
      </c>
      <c r="B53" s="13" t="str">
        <f>VLOOKUP(EdgesData[[#This Row],[Node A]],NodesData[],3,FALSE)</f>
        <v>nE9C9661B_8C28_413E_A8E3_A720E03C04B7</v>
      </c>
      <c r="C53" s="12" t="s">
        <v>4</v>
      </c>
      <c r="D53" s="12" t="s">
        <v>1918</v>
      </c>
      <c r="F53" s="18" t="s">
        <v>1956</v>
      </c>
      <c r="G53" s="28" t="str">
        <f>VLOOKUP(EdgesData[[#This Row],[Node B]],NodesData[],3,FALSE)</f>
        <v>n89FBB4A6_DF18_465F_9DA3_BD367759F09E</v>
      </c>
      <c r="H53" s="29" t="str" cm="1">
        <f t="array" ref="H53">"n"&amp;SUBSTITUTE(CreateGuidString(),"-","_")</f>
        <v>n305D7E3B_B57D_4B5D_9B3A_173CF7E77527</v>
      </c>
    </row>
    <row r="54" spans="1:8" x14ac:dyDescent="0.35">
      <c r="A54" s="13" t="s">
        <v>1940</v>
      </c>
      <c r="B54" s="13" t="str">
        <f>VLOOKUP(EdgesData[[#This Row],[Node A]],NodesData[],3,FALSE)</f>
        <v>n02B81E29_1266_4611_897E_FD90C5DD5788</v>
      </c>
      <c r="C54" s="18" t="s">
        <v>1955</v>
      </c>
      <c r="D54" s="12" t="s">
        <v>1919</v>
      </c>
      <c r="F54" s="18" t="s">
        <v>1957</v>
      </c>
      <c r="G54" s="28" t="str">
        <f>VLOOKUP(EdgesData[[#This Row],[Node B]],NodesData[],3,FALSE)</f>
        <v>n65057A73_5E5D_4997_843D_70FCDDBF4863</v>
      </c>
      <c r="H54" s="29" t="str" cm="1">
        <f t="array" ref="H54">"n"&amp;SUBSTITUTE(CreateGuidString(),"-","_")</f>
        <v>n4E893FB9_FE74_4965_B6D9_1AA43C34AB70</v>
      </c>
    </row>
    <row r="55" spans="1:8" x14ac:dyDescent="0.35">
      <c r="A55" s="13" t="s">
        <v>1941</v>
      </c>
      <c r="B55" s="13" t="str">
        <f>VLOOKUP(EdgesData[[#This Row],[Node A]],NodesData[],3,FALSE)</f>
        <v>n89FBB4A6_DF18_465F_9DA3_BD367759F09E</v>
      </c>
      <c r="C55" s="18" t="s">
        <v>1956</v>
      </c>
      <c r="D55" s="12" t="s">
        <v>1920</v>
      </c>
      <c r="F55" s="18" t="s">
        <v>1957</v>
      </c>
      <c r="G55" s="28" t="str">
        <f>VLOOKUP(EdgesData[[#This Row],[Node B]],NodesData[],3,FALSE)</f>
        <v>n65057A73_5E5D_4997_843D_70FCDDBF4863</v>
      </c>
      <c r="H55" s="29" t="str" cm="1">
        <f t="array" ref="H55">"n"&amp;SUBSTITUTE(CreateGuidString(),"-","_")</f>
        <v>nCA1AC8CE_0F5F_410C_BC93_23278E033DEC</v>
      </c>
    </row>
    <row r="56" spans="1:8" x14ac:dyDescent="0.35">
      <c r="A56" s="13" t="s">
        <v>1942</v>
      </c>
      <c r="B56" s="13" t="str">
        <f>VLOOKUP(EdgesData[[#This Row],[Node A]],NodesData[],3,FALSE)</f>
        <v>n02B81E29_1266_4611_897E_FD90C5DD5788</v>
      </c>
      <c r="C56" s="18" t="s">
        <v>1955</v>
      </c>
      <c r="D56" s="12" t="s">
        <v>1921</v>
      </c>
      <c r="E56" s="12" t="s">
        <v>1836</v>
      </c>
      <c r="F56" s="18" t="s">
        <v>1956</v>
      </c>
      <c r="G56" s="28" t="str">
        <f>VLOOKUP(EdgesData[[#This Row],[Node B]],NodesData[],3,FALSE)</f>
        <v>n89FBB4A6_DF18_465F_9DA3_BD367759F09E</v>
      </c>
      <c r="H56" s="29" t="str" cm="1">
        <f t="array" ref="H56">"n"&amp;SUBSTITUTE(CreateGuidString(),"-","_")</f>
        <v>nDBE5A81E_13C8_4BA4_8560_C2EA0949F9CC</v>
      </c>
    </row>
    <row r="57" spans="1:8" x14ac:dyDescent="0.35">
      <c r="A57" s="13" t="s">
        <v>1943</v>
      </c>
      <c r="B57" s="13" t="str">
        <f>VLOOKUP(EdgesData[[#This Row],[Node A]],NodesData[],3,FALSE)</f>
        <v>n4FA68550_C829_46CD_ADC2_9BE67FA41543</v>
      </c>
      <c r="C57" s="18" t="s">
        <v>1962</v>
      </c>
      <c r="D57" s="12" t="s">
        <v>1963</v>
      </c>
      <c r="F57" s="18" t="s">
        <v>1922</v>
      </c>
      <c r="G57" s="28" t="str">
        <f>VLOOKUP(EdgesData[[#This Row],[Node B]],NodesData[],3,FALSE)</f>
        <v>n52564682_5FAD_48CB_A320_6CFE17950D03</v>
      </c>
      <c r="H57" s="29" t="str" cm="1">
        <f t="array" ref="H57">"n"&amp;SUBSTITUTE(CreateGuidString(),"-","_")</f>
        <v>nC9086293_A7EC_4DB9_9D0C_6084EBB2C527</v>
      </c>
    </row>
    <row r="58" spans="1:8" x14ac:dyDescent="0.35">
      <c r="A58" s="13" t="s">
        <v>1944</v>
      </c>
      <c r="B58" s="13" t="str">
        <f>VLOOKUP(EdgesData[[#This Row],[Node A]],NodesData[],3,FALSE)</f>
        <v>n4FA68550_C829_46CD_ADC2_9BE67FA41543</v>
      </c>
      <c r="C58" s="18" t="s">
        <v>1962</v>
      </c>
      <c r="D58" s="12" t="s">
        <v>1963</v>
      </c>
      <c r="F58" s="18" t="s">
        <v>1923</v>
      </c>
      <c r="G58" s="28" t="str">
        <f>VLOOKUP(EdgesData[[#This Row],[Node B]],NodesData[],3,FALSE)</f>
        <v>nA59D49F8_3819_4341_A310_19C77AB08AAB</v>
      </c>
      <c r="H58" s="29" t="str" cm="1">
        <f t="array" ref="H58">"n"&amp;SUBSTITUTE(CreateGuidString(),"-","_")</f>
        <v>n5B41F1EC_F854_4A43_B396_1025F94B19BF</v>
      </c>
    </row>
    <row r="59" spans="1:8" x14ac:dyDescent="0.35">
      <c r="A59" s="13" t="s">
        <v>1945</v>
      </c>
      <c r="B59" s="13" t="str">
        <f>VLOOKUP(EdgesData[[#This Row],[Node A]],NodesData[],3,FALSE)</f>
        <v>n4FA68550_C829_46CD_ADC2_9BE67FA41543</v>
      </c>
      <c r="C59" s="18" t="s">
        <v>1962</v>
      </c>
      <c r="D59" s="12" t="s">
        <v>1963</v>
      </c>
      <c r="F59" s="18" t="s">
        <v>1924</v>
      </c>
      <c r="G59" s="28" t="str">
        <f>VLOOKUP(EdgesData[[#This Row],[Node B]],NodesData[],3,FALSE)</f>
        <v>nC0AF8721_A868_4A4D_9F85_3A6D9B88B489</v>
      </c>
      <c r="H59" s="29" t="str" cm="1">
        <f t="array" ref="H59">"n"&amp;SUBSTITUTE(CreateGuidString(),"-","_")</f>
        <v>n4ED4AE52_9171_4025_95E0_F3ECCA7F422C</v>
      </c>
    </row>
    <row r="60" spans="1:8" x14ac:dyDescent="0.35">
      <c r="A60" s="13" t="s">
        <v>1946</v>
      </c>
      <c r="B60" s="13" t="str">
        <f>VLOOKUP(EdgesData[[#This Row],[Node A]],NodesData[],3,FALSE)</f>
        <v>n02B81E29_1266_4611_897E_FD90C5DD5788</v>
      </c>
      <c r="C60" s="18" t="s">
        <v>1955</v>
      </c>
      <c r="D60" s="12" t="s">
        <v>1925</v>
      </c>
      <c r="F60" s="18" t="s">
        <v>1958</v>
      </c>
      <c r="G60" s="28" t="str">
        <f>VLOOKUP(EdgesData[[#This Row],[Node B]],NodesData[],3,FALSE)</f>
        <v>n4E7B27FA_8562_4EC8_869A_378A5937334A</v>
      </c>
      <c r="H60" s="29" t="str" cm="1">
        <f t="array" ref="H60">"n"&amp;SUBSTITUTE(CreateGuidString(),"-","_")</f>
        <v>n6CC35466_7D1E_42C3_B77F_2ECBDA6C949C</v>
      </c>
    </row>
    <row r="61" spans="1:8" x14ac:dyDescent="0.35">
      <c r="A61" s="13" t="s">
        <v>1947</v>
      </c>
      <c r="B61" s="13" t="str">
        <f>VLOOKUP(EdgesData[[#This Row],[Node A]],NodesData[],3,FALSE)</f>
        <v>n89FBB4A6_DF18_465F_9DA3_BD367759F09E</v>
      </c>
      <c r="C61" s="18" t="s">
        <v>1956</v>
      </c>
      <c r="D61" s="12" t="s">
        <v>1959</v>
      </c>
      <c r="F61" s="18" t="s">
        <v>1958</v>
      </c>
      <c r="G61" s="28" t="str">
        <f>VLOOKUP(EdgesData[[#This Row],[Node B]],NodesData[],3,FALSE)</f>
        <v>n4E7B27FA_8562_4EC8_869A_378A5937334A</v>
      </c>
      <c r="H61" s="29" t="str" cm="1">
        <f t="array" ref="H61">"n"&amp;SUBSTITUTE(CreateGuidString(),"-","_")</f>
        <v>nAF4CC5B1_165C_46C1_B7EB_720BA64A6911</v>
      </c>
    </row>
    <row r="62" spans="1:8" x14ac:dyDescent="0.35">
      <c r="A62" s="13" t="s">
        <v>1948</v>
      </c>
      <c r="B62" s="13" t="str">
        <f>VLOOKUP(EdgesData[[#This Row],[Node A]],NodesData[],3,FALSE)</f>
        <v>nE9C9661B_8C28_413E_A8E3_A720E03C04B7</v>
      </c>
      <c r="C62" s="12" t="s">
        <v>4</v>
      </c>
      <c r="D62" s="12" t="s">
        <v>1343</v>
      </c>
      <c r="F62" s="18" t="s">
        <v>1926</v>
      </c>
      <c r="G62" s="28" t="str">
        <f>VLOOKUP(EdgesData[[#This Row],[Node B]],NodesData[],3,FALSE)</f>
        <v>nE0352234_7814_467F_8B8B_EF900BACC357</v>
      </c>
      <c r="H62" s="29" t="str" cm="1">
        <f t="array" ref="H62">"n"&amp;SUBSTITUTE(CreateGuidString(),"-","_")</f>
        <v>n2BDA4CD9_82A1_4245_B05B_AC4E2FACE292</v>
      </c>
    </row>
    <row r="63" spans="1:8" x14ac:dyDescent="0.35">
      <c r="A63" s="13" t="s">
        <v>1961</v>
      </c>
      <c r="B63" s="13" t="str">
        <f>VLOOKUP(EdgesData[[#This Row],[Node A]],NodesData[],3,FALSE)</f>
        <v>n4E7B27FA_8562_4EC8_869A_378A5937334A</v>
      </c>
      <c r="C63" s="18" t="s">
        <v>1958</v>
      </c>
      <c r="D63" s="12" t="s">
        <v>1960</v>
      </c>
      <c r="F63" s="18" t="s">
        <v>1957</v>
      </c>
      <c r="G63" s="28" t="str">
        <f>VLOOKUP(EdgesData[[#This Row],[Node B]],NodesData[],3,FALSE)</f>
        <v>n65057A73_5E5D_4997_843D_70FCDDBF4863</v>
      </c>
      <c r="H63" s="29" t="str" cm="1">
        <f t="array" ref="H63">"n"&amp;SUBSTITUTE(CreateGuidString(),"-","_")</f>
        <v>nB12BD9B9_976D_4329_8134_CC045C9C9839</v>
      </c>
    </row>
    <row r="64" spans="1:8" x14ac:dyDescent="0.35">
      <c r="A64" s="13" t="s">
        <v>1967</v>
      </c>
      <c r="B64" s="13" t="str">
        <f>VLOOKUP(EdgesData[[#This Row],[Node A]],NodesData[],3,FALSE)</f>
        <v>n02B81E29_1266_4611_897E_FD90C5DD5788</v>
      </c>
      <c r="C64" s="18" t="s">
        <v>1955</v>
      </c>
      <c r="D64" s="12" t="s">
        <v>1959</v>
      </c>
      <c r="F64" s="18" t="s">
        <v>1962</v>
      </c>
      <c r="G64" s="28" t="str">
        <f>VLOOKUP(EdgesData[[#This Row],[Node B]],NodesData[],3,FALSE)</f>
        <v>n4FA68550_C829_46CD_ADC2_9BE67FA41543</v>
      </c>
      <c r="H64" s="29" t="str" cm="1">
        <f t="array" ref="H64">"n"&amp;SUBSTITUTE(CreateGuidString(),"-","_")</f>
        <v>n7E99EFA2_7827_4773_91E4_D9B34E3CAA5A</v>
      </c>
    </row>
    <row r="65" spans="1:8" x14ac:dyDescent="0.35">
      <c r="A65" s="13" t="s">
        <v>1968</v>
      </c>
      <c r="B65" s="13" t="str">
        <f>VLOOKUP(EdgesData[[#This Row],[Node A]],NodesData[],3,FALSE)</f>
        <v>nA59D49F8_3819_4341_A310_19C77AB08AAB</v>
      </c>
      <c r="C65" s="18" t="s">
        <v>1923</v>
      </c>
      <c r="D65" s="12" t="s">
        <v>1354</v>
      </c>
      <c r="F65" s="18" t="s">
        <v>1956</v>
      </c>
      <c r="G65" s="28" t="str">
        <f>VLOOKUP(EdgesData[[#This Row],[Node B]],NodesData[],3,FALSE)</f>
        <v>n89FBB4A6_DF18_465F_9DA3_BD367759F09E</v>
      </c>
      <c r="H65" s="29" t="str" cm="1">
        <f t="array" ref="H65">"n"&amp;SUBSTITUTE(CreateGuidString(),"-","_")</f>
        <v>n0028F731_EC86_4C20_B77F_946A63CC2AC9</v>
      </c>
    </row>
    <row r="66" spans="1:8" x14ac:dyDescent="0.35">
      <c r="A66" s="13" t="s">
        <v>1970</v>
      </c>
      <c r="B66" s="28" t="str">
        <f>VLOOKUP(EdgesData[[#This Row],[Node A]],NodesData[],3,FALSE)</f>
        <v>nE9C9661B_8C28_413E_A8E3_A720E03C04B7</v>
      </c>
      <c r="C66" s="12" t="s">
        <v>4</v>
      </c>
      <c r="D66" s="11" t="s">
        <v>1969</v>
      </c>
      <c r="F66" s="18" t="s">
        <v>1957</v>
      </c>
      <c r="G66" s="28" t="str">
        <f>VLOOKUP(EdgesData[[#This Row],[Node B]],NodesData[],3,FALSE)</f>
        <v>n65057A73_5E5D_4997_843D_70FCDDBF4863</v>
      </c>
      <c r="H66" s="29" t="str" cm="1">
        <f t="array" ref="H66">"n"&amp;SUBSTITUTE(CreateGuidString(),"-","_")</f>
        <v>n87A12089_2F7A_43C7_8FAD_0D12176C5DD3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500"/>
  <sheetViews>
    <sheetView topLeftCell="A475" zoomScale="120" zoomScaleNormal="120" workbookViewId="0">
      <selection activeCell="A14" sqref="A14"/>
    </sheetView>
  </sheetViews>
  <sheetFormatPr defaultRowHeight="12.75" x14ac:dyDescent="0.35"/>
  <cols>
    <col min="1" max="1" width="28.4648437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3"/>
    </row>
    <row r="2" spans="1:5" s="12" customFormat="1" ht="15" thickTop="1" thickBot="1" x14ac:dyDescent="0.5">
      <c r="A2" s="18" t="s">
        <v>1335</v>
      </c>
      <c r="B2" s="18" t="s">
        <v>1951</v>
      </c>
      <c r="C2" s="15" t="s">
        <v>1334</v>
      </c>
      <c r="D2" s="15" t="s">
        <v>1336</v>
      </c>
      <c r="E2" s="24" t="s">
        <v>1333</v>
      </c>
    </row>
    <row r="3" spans="1:5" ht="13.9" thickTop="1" thickBot="1" x14ac:dyDescent="0.4">
      <c r="A3" s="3" t="str">
        <f>NodesData[[#This Row],[Common Name]]</f>
        <v>4-Eyes Principle</v>
      </c>
      <c r="B3" s="3" t="str">
        <f>IF(NodesData[[#This Row],[Context Instanciation]]="","",NodesData[[#This Row],[Context Instanciation]])</f>
        <v/>
      </c>
      <c r="C3" s="21" t="str">
        <f>NodesData[[#This Row],[Node ID]]</f>
        <v>n949B469C_B258_4821_87B2_A3318627421D</v>
      </c>
      <c r="D3" s="3" t="str">
        <f>IF(NodesData[[#This Row],[URL]]="","",NodesData[[#This Row],[URL]])</f>
        <v>https://open-measure.atlassian.net/wiki/spaces/DIC/pages/805175450/4-Eyes+Principle</v>
      </c>
      <c r="E3" s="25" t="str" cm="1">
        <f t="array" ref="E3">IF(ROW(NodesJSON[[#This Row],[label]])&gt;ROW(NodesJSON[[#Headers],[JSON]])+1,",","") &amp;"{"&amp;twoRangesToJSON(NodesJSON[[#Headers],[label]:[url]],NodesJSON[[#This Row],[label]:[url]])&amp;"}"</f>
        <v>{"label":"4-Eyes Principle","group":"","id":"n949B469C_B258_4821_87B2_A3318627421D","url":"https://open-measure.atlassian.net/wiki/spaces/DIC/pages/805175450/4-Eyes+Principle"}</v>
      </c>
    </row>
    <row r="4" spans="1:5" ht="13.9" thickTop="1" thickBot="1" x14ac:dyDescent="0.4">
      <c r="A4" s="3" t="str">
        <f>NodesData[[#This Row],[Common Name]]</f>
        <v>Access</v>
      </c>
      <c r="B4" s="3" t="str">
        <f>IF(NodesData[[#This Row],[Context Instanciation]]="","",NodesData[[#This Row],[Context Instanciation]])</f>
        <v/>
      </c>
      <c r="C4" s="22" t="str">
        <f>NodesData[[#This Row],[Node ID]]</f>
        <v>n345814A3_CDB9_48CD_9A28_0EA438DFE1AF</v>
      </c>
      <c r="D4" s="3" t="str">
        <f>IF(NodesData[[#This Row],[URL]]="","",NodesData[[#This Row],[URL]])</f>
        <v>https://open-measure.atlassian.net/wiki/spaces/DIC/pages/123962347/Access</v>
      </c>
      <c r="E4" s="25" t="str" cm="1">
        <f t="array" ref="E4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5" spans="1:5" ht="13.9" thickTop="1" thickBot="1" x14ac:dyDescent="0.4">
      <c r="A5" s="3" t="str">
        <f>NodesData[[#This Row],[Common Name]]</f>
        <v>Access Audit</v>
      </c>
      <c r="B5" s="3" t="str">
        <f>IF(NodesData[[#This Row],[Context Instanciation]]="","",NodesData[[#This Row],[Context Instanciation]])</f>
        <v/>
      </c>
      <c r="C5" s="22" t="str">
        <f>NodesData[[#This Row],[Node ID]]</f>
        <v>n50BECF28_43AF_4D2B_9A00_548252A11959</v>
      </c>
      <c r="D5" s="3" t="str">
        <f>IF(NodesData[[#This Row],[URL]]="","",NodesData[[#This Row],[URL]])</f>
        <v>https://open-measure.atlassian.net/wiki/spaces/DIC/pages/1121878227</v>
      </c>
      <c r="E5" s="25" t="str" cm="1">
        <f t="array" ref="E5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6" spans="1:5" ht="13.9" thickTop="1" thickBot="1" x14ac:dyDescent="0.4">
      <c r="A6" s="3" t="str">
        <f>NodesData[[#This Row],[Common Name]]</f>
        <v>Access Continuum</v>
      </c>
      <c r="B6" s="3" t="str">
        <f>IF(NodesData[[#This Row],[Context Instanciation]]="","",NodesData[[#This Row],[Context Instanciation]])</f>
        <v/>
      </c>
      <c r="C6" s="22" t="str">
        <f>NodesData[[#This Row],[Node ID]]</f>
        <v>n5AC3C686_E96D_4E16_A7A7_F5E33273E16B</v>
      </c>
      <c r="D6" s="3" t="str">
        <f>IF(NodesData[[#This Row],[URL]]="","",NodesData[[#This Row],[URL]])</f>
        <v>https://open-measure.atlassian.net/wiki/spaces/DIC/pages/1034223816/Access+Continuum</v>
      </c>
      <c r="E6" s="25" t="str" cm="1">
        <f t="array" ref="E6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7" spans="1:5" ht="13.9" thickTop="1" thickBot="1" x14ac:dyDescent="0.4">
      <c r="A7" s="3" t="str">
        <f>NodesData[[#This Row],[Common Name]]</f>
        <v>Access Control</v>
      </c>
      <c r="B7" s="3" t="str">
        <f>IF(NodesData[[#This Row],[Context Instanciation]]="","",NodesData[[#This Row],[Context Instanciation]])</f>
        <v/>
      </c>
      <c r="C7" s="22" t="str">
        <f>NodesData[[#This Row],[Node ID]]</f>
        <v>nC8849963_097C_4D88_9F09_0BE7822C1A27</v>
      </c>
      <c r="D7" s="3" t="str">
        <f>IF(NodesData[[#This Row],[URL]]="","",NodesData[[#This Row],[URL]])</f>
        <v>https://open-measure.atlassian.net/wiki/spaces/DIC/pages/427163781</v>
      </c>
      <c r="E7" s="25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8" spans="1:5" ht="13.9" thickTop="1" thickBot="1" x14ac:dyDescent="0.4">
      <c r="A8" s="3" t="str">
        <f>NodesData[[#This Row],[Common Name]]</f>
        <v>Access Control List</v>
      </c>
      <c r="B8" s="3" t="str">
        <f>IF(NodesData[[#This Row],[Context Instanciation]]="","",NodesData[[#This Row],[Context Instanciation]])</f>
        <v/>
      </c>
      <c r="C8" s="22" t="str">
        <f>NodesData[[#This Row],[Node ID]]</f>
        <v>nB5D15B0C_90C3_4DC7_BCEE_7009BF5FA6B0</v>
      </c>
      <c r="D8" s="3" t="str">
        <f>IF(NodesData[[#This Row],[URL]]="","",NodesData[[#This Row],[URL]])</f>
        <v>https://open-measure.atlassian.net/wiki/spaces/DIC/pages/822345754</v>
      </c>
      <c r="E8" s="25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9" spans="1:5" ht="13.9" thickTop="1" thickBot="1" x14ac:dyDescent="0.4">
      <c r="A9" s="3" t="str">
        <f>NodesData[[#This Row],[Common Name]]</f>
        <v>Access Control Mechanism</v>
      </c>
      <c r="B9" s="3" t="str">
        <f>IF(NodesData[[#This Row],[Context Instanciation]]="","",NodesData[[#This Row],[Context Instanciation]])</f>
        <v/>
      </c>
      <c r="C9" s="22" t="str">
        <f>NodesData[[#This Row],[Node ID]]</f>
        <v>n43F62EE6_EF98_4F57_B80F_8D93BAD953C7</v>
      </c>
      <c r="D9" s="3" t="str">
        <f>IF(NodesData[[#This Row],[URL]]="","",NodesData[[#This Row],[URL]])</f>
        <v>https://open-measure.atlassian.net/wiki/spaces/DIC/pages/67633606</v>
      </c>
      <c r="E9" s="25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0" spans="1:5" ht="13.9" thickTop="1" thickBot="1" x14ac:dyDescent="0.4">
      <c r="A10" s="3" t="str">
        <f>NodesData[[#This Row],[Common Name]]</f>
        <v>Access Control Model</v>
      </c>
      <c r="B10" s="3" t="str">
        <f>IF(NodesData[[#This Row],[Context Instanciation]]="","",NodesData[[#This Row],[Context Instanciation]])</f>
        <v/>
      </c>
      <c r="C10" s="22" t="str">
        <f>NodesData[[#This Row],[Node ID]]</f>
        <v>nA82E8086_80AC_481F_9FE9_6158EBAA5FD4</v>
      </c>
      <c r="D10" s="3" t="str">
        <f>IF(NodesData[[#This Row],[URL]]="","",NodesData[[#This Row],[URL]])</f>
        <v>https://open-measure.atlassian.net/wiki/spaces/DIC/pages/67699193</v>
      </c>
      <c r="E10" s="25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1" spans="1:5" ht="13.9" thickTop="1" thickBot="1" x14ac:dyDescent="0.4">
      <c r="A11" s="3" t="str">
        <f>NodesData[[#This Row],[Common Name]]</f>
        <v>Access Control Policy</v>
      </c>
      <c r="B11" s="3" t="str">
        <f>IF(NodesData[[#This Row],[Context Instanciation]]="","",NodesData[[#This Row],[Context Instanciation]])</f>
        <v/>
      </c>
      <c r="C11" s="22" t="str">
        <f>NodesData[[#This Row],[Node ID]]</f>
        <v>n8FC24F45_A985_41A5_AD50_B3DB59F8F1CB</v>
      </c>
      <c r="D11" s="3" t="str">
        <f>IF(NodesData[[#This Row],[URL]]="","",NodesData[[#This Row],[URL]])</f>
        <v>https://open-measure.atlassian.net/wiki/spaces/DIC/pages/67633597</v>
      </c>
      <c r="E11" s="25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2" spans="1:5" ht="13.9" thickTop="1" thickBot="1" x14ac:dyDescent="0.4">
      <c r="A12" s="3" t="str">
        <f>NodesData[[#This Row],[Common Name]]</f>
        <v>Access Granularity</v>
      </c>
      <c r="B12" s="3" t="str">
        <f>IF(NodesData[[#This Row],[Context Instanciation]]="","",NodesData[[#This Row],[Context Instanciation]])</f>
        <v/>
      </c>
      <c r="C12" s="22" t="str">
        <f>NodesData[[#This Row],[Node ID]]</f>
        <v>n497BAD86_FE0D_4D81_BE05_AA9EEB93B4EC</v>
      </c>
      <c r="D12" s="3" t="str">
        <f>IF(NodesData[[#This Row],[URL]]="","",NodesData[[#This Row],[URL]])</f>
        <v>https://open-measure.atlassian.net/wiki/spaces/DIC/pages/1006632974</v>
      </c>
      <c r="E12" s="25" t="str" cm="1">
        <f t="array" ref="E12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3" spans="1:5" ht="13.9" thickTop="1" thickBot="1" x14ac:dyDescent="0.4">
      <c r="A13" s="3" t="str">
        <f>NodesData[[#This Row],[Common Name]]</f>
        <v>Access Privilege</v>
      </c>
      <c r="B13" s="3" t="str">
        <f>IF(NodesData[[#This Row],[Context Instanciation]]="","",NodesData[[#This Row],[Context Instanciation]])</f>
        <v/>
      </c>
      <c r="C13" s="22" t="str">
        <f>NodesData[[#This Row],[Node ID]]</f>
        <v>n4A503F49_7D20_4B79_832C_C1F952C6FE7A</v>
      </c>
      <c r="D13" s="3" t="str">
        <f>IF(NodesData[[#This Row],[URL]]="","",NodesData[[#This Row],[URL]])</f>
        <v>https://open-measure.atlassian.net/wiki/spaces/DIC/pages/1122631723</v>
      </c>
      <c r="E13" s="25" t="str" cm="1">
        <f t="array" ref="E13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4" spans="1:5" ht="13.9" thickTop="1" thickBot="1" x14ac:dyDescent="0.4">
      <c r="A14" s="3" t="str">
        <f>NodesData[[#This Row],[Common Name]]</f>
        <v>Access Right</v>
      </c>
      <c r="B14" s="3" t="str">
        <f>IF(NodesData[[#This Row],[Context Instanciation]]="","",NodesData[[#This Row],[Context Instanciation]])</f>
        <v/>
      </c>
      <c r="C14" s="22" t="str">
        <f>NodesData[[#This Row],[Node ID]]</f>
        <v>n1A9106FF_36C5_478C_9A0E_FF5F93C55D1F</v>
      </c>
      <c r="D14" s="3" t="str">
        <f>IF(NodesData[[#This Row],[URL]]="","",NodesData[[#This Row],[URL]])</f>
        <v>https://open-measure.atlassian.net/wiki/spaces/DIC/pages/1122599013</v>
      </c>
      <c r="E14" s="25" t="str" cm="1">
        <f t="array" ref="E14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5" spans="1:5" ht="13.9" thickTop="1" thickBot="1" x14ac:dyDescent="0.4">
      <c r="A15" s="3" t="str">
        <f>NodesData[[#This Row],[Common Name]]</f>
        <v>Access Rights Management</v>
      </c>
      <c r="B15" s="3" t="str">
        <f>IF(NodesData[[#This Row],[Context Instanciation]]="","",NodesData[[#This Row],[Context Instanciation]])</f>
        <v/>
      </c>
      <c r="C15" s="22" t="str">
        <f>NodesData[[#This Row],[Node ID]]</f>
        <v>nE49F9EAF_3DC5_47FA_9722_CDE0190EAD09</v>
      </c>
      <c r="D15" s="3" t="str">
        <f>IF(NodesData[[#This Row],[URL]]="","",NodesData[[#This Row],[URL]])</f>
        <v>https://open-measure.atlassian.net/wiki/spaces/DIC/pages/1704003</v>
      </c>
      <c r="E15" s="25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6" spans="1:5" ht="13.9" thickTop="1" thickBot="1" x14ac:dyDescent="0.4">
      <c r="A16" s="3" t="str">
        <f>NodesData[[#This Row],[Common Name]]</f>
        <v>Access Token</v>
      </c>
      <c r="B16" s="3" t="str">
        <f>IF(NodesData[[#This Row],[Context Instanciation]]="","",NodesData[[#This Row],[Context Instanciation]])</f>
        <v/>
      </c>
      <c r="C16" s="22" t="str">
        <f>NodesData[[#This Row],[Node ID]]</f>
        <v>nAB8CC74A_69EA_4A1D_A0BB_7FA855D1CD4C</v>
      </c>
      <c r="D16" s="3" t="str">
        <f>IF(NodesData[[#This Row],[URL]]="","",NodesData[[#This Row],[URL]])</f>
        <v>https://open-measure.atlassian.net/wiki/spaces/DIC/pages/1600684040/Access+Token</v>
      </c>
      <c r="E16" s="25" t="str" cm="1">
        <f t="array" ref="E16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7" spans="1:5" ht="13.9" thickTop="1" thickBot="1" x14ac:dyDescent="0.4">
      <c r="A17" s="3" t="str">
        <f>NodesData[[#This Row],[Common Name]]</f>
        <v>Account</v>
      </c>
      <c r="B17" s="3" t="str">
        <f>IF(NodesData[[#This Row],[Context Instanciation]]="","",NodesData[[#This Row],[Context Instanciation]])</f>
        <v/>
      </c>
      <c r="C17" s="22" t="str">
        <f>NodesData[[#This Row],[Node ID]]</f>
        <v>n60E574D8_853F_46D9_A1FB_433B2771BF75</v>
      </c>
      <c r="D17" s="3" t="str">
        <f>IF(NodesData[[#This Row],[URL]]="","",NodesData[[#This Row],[URL]])</f>
        <v>https://open-measure.atlassian.net/wiki/spaces/DIC/pages/461308120/Account</v>
      </c>
      <c r="E17" s="25" t="str" cm="1">
        <f t="array" ref="E17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8" spans="1:5" ht="13.9" thickTop="1" thickBot="1" x14ac:dyDescent="0.4">
      <c r="A18" s="3" t="str">
        <f>NodesData[[#This Row],[Common Name]]</f>
        <v>Account Lockout Policy</v>
      </c>
      <c r="B18" s="3" t="str">
        <f>IF(NodesData[[#This Row],[Context Instanciation]]="","",NodesData[[#This Row],[Context Instanciation]])</f>
        <v/>
      </c>
      <c r="C18" s="22" t="str">
        <f>NodesData[[#This Row],[Node ID]]</f>
        <v>n6CB6D4CB_AB42_4B54_8FC3_DD4C4D6C2B3E</v>
      </c>
      <c r="D18" s="3" t="str">
        <f>IF(NodesData[[#This Row],[URL]]="","",NodesData[[#This Row],[URL]])</f>
        <v>https://open-measure.atlassian.net/wiki/spaces/DIC/pages/67699360</v>
      </c>
      <c r="E18" s="25" t="str" cm="1">
        <f t="array" ref="E18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19" spans="1:5" ht="13.9" thickTop="1" thickBot="1" x14ac:dyDescent="0.4">
      <c r="A19" s="3" t="str">
        <f>NodesData[[#This Row],[Common Name]]</f>
        <v>Account Management</v>
      </c>
      <c r="B19" s="3" t="str">
        <f>IF(NodesData[[#This Row],[Context Instanciation]]="","",NodesData[[#This Row],[Context Instanciation]])</f>
        <v/>
      </c>
      <c r="C19" s="22" t="str">
        <f>NodesData[[#This Row],[Node ID]]</f>
        <v>nF83276D7_E44A_4A0B_A465_28B40B846C1C</v>
      </c>
      <c r="D19" s="3" t="str">
        <f>IF(NodesData[[#This Row],[URL]]="","",NodesData[[#This Row],[URL]])</f>
        <v>https://open-measure.atlassian.net/wiki/spaces/DIC/pages/1146847331</v>
      </c>
      <c r="E19" s="25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0" spans="1:5" ht="13.9" thickTop="1" thickBot="1" x14ac:dyDescent="0.4">
      <c r="A20" s="3" t="str">
        <f>NodesData[[#This Row],[Common Name]]</f>
        <v>Account Takeover</v>
      </c>
      <c r="B20" s="3" t="str">
        <f>IF(NodesData[[#This Row],[Context Instanciation]]="","",NodesData[[#This Row],[Context Instanciation]])</f>
        <v/>
      </c>
      <c r="C20" s="22" t="str">
        <f>NodesData[[#This Row],[Node ID]]</f>
        <v>nE9C9661B_8C28_413E_A8E3_A720E03C04B7</v>
      </c>
      <c r="D20" s="3" t="str">
        <f>IF(NodesData[[#This Row],[URL]]="","",NodesData[[#This Row],[URL]])</f>
        <v>https://open-measure.atlassian.net/wiki/spaces/DIC/pages/1079050286/Account+Takeover</v>
      </c>
      <c r="E20" s="25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Takeover","group":"","id":"nE9C9661B_8C28_413E_A8E3_A720E03C04B7","url":"https://open-measure.atlassian.net/wiki/spaces/DIC/pages/1079050286/Account+Takeover"}</v>
      </c>
    </row>
    <row r="21" spans="1:5" ht="13.9" thickTop="1" thickBot="1" x14ac:dyDescent="0.4">
      <c r="A21" s="3" t="str">
        <f>NodesData[[#This Row],[Common Name]]</f>
        <v>Authorization</v>
      </c>
      <c r="B21" s="3" t="str">
        <f>IF(NodesData[[#This Row],[Context Instanciation]]="","",NodesData[[#This Row],[Context Instanciation]])</f>
        <v>Account Takeover</v>
      </c>
      <c r="C21" s="22" t="str">
        <f>NodesData[[#This Row],[Node ID]]</f>
        <v>n4E7B27FA_8562_4EC8_869A_378A5937334A</v>
      </c>
      <c r="D21" s="3" t="str">
        <f>IF(NodesData[[#This Row],[URL]]="","",NodesData[[#This Row],[URL]])</f>
        <v/>
      </c>
      <c r="E21" s="25" t="str" cm="1">
        <f t="array" ref="E21">IF(ROW(NodesJSON[[#This Row],[label]])&gt;ROW(NodesJSON[[#Headers],[JSON]])+1,",","") &amp;"{"&amp;twoRangesToJSON(NodesJSON[[#Headers],[label]:[url]],NodesJSON[[#This Row],[label]:[url]])&amp;"}"</f>
        <v>,{"label":"Authorization","group":"Account Takeover","id":"n4E7B27FA_8562_4EC8_869A_378A5937334A","url":""}</v>
      </c>
    </row>
    <row r="22" spans="1:5" ht="13.9" thickTop="1" thickBot="1" x14ac:dyDescent="0.4">
      <c r="A22" s="3" t="str">
        <f>NodesData[[#This Row],[Common Name]]</f>
        <v>Digital Identity</v>
      </c>
      <c r="B22" s="3" t="str">
        <f>IF(NodesData[[#This Row],[Context Instanciation]]="","",NodesData[[#This Row],[Context Instanciation]])</f>
        <v>Account Takeover</v>
      </c>
      <c r="C22" s="22" t="str">
        <f>NodesData[[#This Row],[Node ID]]</f>
        <v>n65057A73_5E5D_4997_843D_70FCDDBF4863</v>
      </c>
      <c r="D22" s="3" t="str">
        <f>IF(NodesData[[#This Row],[URL]]="","",NodesData[[#This Row],[URL]])</f>
        <v>https://open-measure.atlassian.net/wiki/spaces/DIC/pages/419528705/Digital+Identity</v>
      </c>
      <c r="E22" s="25" t="str" cm="1">
        <f t="array" ref="E22">IF(ROW(NodesJSON[[#This Row],[label]])&gt;ROW(NodesJSON[[#Headers],[JSON]])+1,",","") &amp;"{"&amp;twoRangesToJSON(NodesJSON[[#Headers],[label]:[url]],NodesJSON[[#This Row],[label]:[url]])&amp;"}"</f>
        <v>,{"label":"Digital Identity","group":"Account Takeover","id":"n65057A73_5E5D_4997_843D_70FCDDBF4863","url":"https://open-measure.atlassian.net/wiki/spaces/DIC/pages/419528705/Digital+Identity"}</v>
      </c>
    </row>
    <row r="23" spans="1:5" ht="13.9" thickTop="1" thickBot="1" x14ac:dyDescent="0.4">
      <c r="A23" s="3" t="str">
        <f>NodesData[[#This Row],[Common Name]]</f>
        <v>Motivation</v>
      </c>
      <c r="B23" s="3" t="str">
        <f>IF(NodesData[[#This Row],[Context Instanciation]]="","",NodesData[[#This Row],[Context Instanciation]])</f>
        <v>Account Takeover</v>
      </c>
      <c r="C23" s="22" t="str">
        <f>NodesData[[#This Row],[Node ID]]</f>
        <v>n4FA68550_C829_46CD_ADC2_9BE67FA41543</v>
      </c>
      <c r="D23" s="3" t="str">
        <f>IF(NodesData[[#This Row],[URL]]="","",NodesData[[#This Row],[URL]])</f>
        <v/>
      </c>
      <c r="E23" s="25" t="str" cm="1">
        <f t="array" ref="E23">IF(ROW(NodesJSON[[#This Row],[label]])&gt;ROW(NodesJSON[[#Headers],[JSON]])+1,",","") &amp;"{"&amp;twoRangesToJSON(NodesJSON[[#Headers],[label]:[url]],NodesJSON[[#This Row],[label]:[url]])&amp;"}"</f>
        <v>,{"label":"Motivation","group":"Account Takeover","id":"n4FA68550_C829_46CD_ADC2_9BE67FA41543","url":""}</v>
      </c>
    </row>
    <row r="24" spans="1:5" ht="13.9" thickTop="1" thickBot="1" x14ac:dyDescent="0.4">
      <c r="A24" s="3" t="str">
        <f>NodesData[[#This Row],[Common Name]]</f>
        <v>Perpetrator</v>
      </c>
      <c r="B24" s="3" t="str">
        <f>IF(NodesData[[#This Row],[Context Instanciation]]="","",NodesData[[#This Row],[Context Instanciation]])</f>
        <v>Account Takeover</v>
      </c>
      <c r="C24" s="22" t="str">
        <f>NodesData[[#This Row],[Node ID]]</f>
        <v>n02B81E29_1266_4611_897E_FD90C5DD5788</v>
      </c>
      <c r="D24" s="3" t="str">
        <f>IF(NodesData[[#This Row],[URL]]="","",NodesData[[#This Row],[URL]])</f>
        <v/>
      </c>
      <c r="E24" s="25" t="str" cm="1">
        <f t="array" ref="E24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5" spans="1:5" ht="13.9" thickTop="1" thickBot="1" x14ac:dyDescent="0.4">
      <c r="A25" s="3" t="str">
        <f>NodesData[[#This Row],[Common Name]]</f>
        <v>Victim</v>
      </c>
      <c r="B25" s="3" t="str">
        <f>IF(NodesData[[#This Row],[Context Instanciation]]="","",NodesData[[#This Row],[Context Instanciation]])</f>
        <v>Account Takeover</v>
      </c>
      <c r="C25" s="22" t="str">
        <f>NodesData[[#This Row],[Node ID]]</f>
        <v>n89FBB4A6_DF18_465F_9DA3_BD367759F09E</v>
      </c>
      <c r="D25" s="3" t="str">
        <f>IF(NodesData[[#This Row],[URL]]="","",NodesData[[#This Row],[URL]])</f>
        <v/>
      </c>
      <c r="E25" s="25" t="str" cm="1">
        <f t="array" ref="E25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6" spans="1:5" ht="13.9" thickTop="1" thickBot="1" x14ac:dyDescent="0.4">
      <c r="A26" s="3" t="str">
        <f>NodesData[[#This Row],[Common Name]]</f>
        <v>Accountability</v>
      </c>
      <c r="B26" s="3" t="str">
        <f>IF(NodesData[[#This Row],[Context Instanciation]]="","",NodesData[[#This Row],[Context Instanciation]])</f>
        <v/>
      </c>
      <c r="C26" s="22" t="str">
        <f>NodesData[[#This Row],[Node ID]]</f>
        <v>nE5052478_9D1A_4E9E_BA4E_FF57B8D216EC</v>
      </c>
      <c r="D26" s="3" t="str">
        <f>IF(NodesData[[#This Row],[URL]]="","",NodesData[[#This Row],[URL]])</f>
        <v>https://open-measure.atlassian.net/wiki/spaces/DIC/pages/425623718</v>
      </c>
      <c r="E26" s="25" t="str" cm="1">
        <f t="array" ref="E26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7" spans="1:5" ht="13.9" thickTop="1" thickBot="1" x14ac:dyDescent="0.4">
      <c r="A27" s="3" t="str">
        <f>NodesData[[#This Row],[Common Name]]</f>
        <v>Accreditation</v>
      </c>
      <c r="B27" s="3" t="str">
        <f>IF(NodesData[[#This Row],[Context Instanciation]]="","",NodesData[[#This Row],[Context Instanciation]])</f>
        <v/>
      </c>
      <c r="C27" s="22" t="str">
        <f>NodesData[[#This Row],[Node ID]]</f>
        <v>nFF744E9A_218E_4CDD_98E9_D977BAE7E561</v>
      </c>
      <c r="D27" s="3" t="str">
        <f>IF(NodesData[[#This Row],[URL]]="","",NodesData[[#This Row],[URL]])</f>
        <v>https://open-measure.atlassian.net/wiki/spaces/DIC/pages/446955580</v>
      </c>
      <c r="E27" s="25" t="str" cm="1">
        <f t="array" ref="E27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28" spans="1:5" ht="13.9" thickTop="1" thickBot="1" x14ac:dyDescent="0.4">
      <c r="A28" s="3" t="str">
        <f>NodesData[[#This Row],[Common Name]]</f>
        <v>Active Impersonation Attack</v>
      </c>
      <c r="B28" s="3" t="str">
        <f>IF(NodesData[[#This Row],[Context Instanciation]]="","",NodesData[[#This Row],[Context Instanciation]])</f>
        <v/>
      </c>
      <c r="C28" s="22" t="str">
        <f>NodesData[[#This Row],[Node ID]]</f>
        <v>nCCFA1605_394C_4A41_9411_016EBBD1F932</v>
      </c>
      <c r="D28" s="3" t="str">
        <f>IF(NodesData[[#This Row],[URL]]="","",NodesData[[#This Row],[URL]])</f>
        <v>https://open-measure.atlassian.net/wiki/spaces/DIC/pages/974454812</v>
      </c>
      <c r="E28" s="25" t="str" cm="1">
        <f t="array" ref="E28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29" spans="1:5" ht="13.9" thickTop="1" thickBot="1" x14ac:dyDescent="0.4">
      <c r="A29" s="3" t="str">
        <f>NodesData[[#This Row],[Common Name]]</f>
        <v>AP</v>
      </c>
      <c r="B29" s="3" t="str">
        <f>IF(NodesData[[#This Row],[Context Instanciation]]="","",NodesData[[#This Row],[Context Instanciation]])</f>
        <v/>
      </c>
      <c r="C29" s="22" t="str">
        <f>NodesData[[#This Row],[Node ID]]</f>
        <v>nE25E9786_BF32_4FF9_AD96_CA6093825D81</v>
      </c>
      <c r="D29" s="3" t="str">
        <f>IF(NodesData[[#This Row],[URL]]="","",NodesData[[#This Row],[URL]])</f>
        <v>https://open-measure.atlassian.net/wiki/spaces/DIC/pages/81101665/AP</v>
      </c>
      <c r="E29" s="25" t="str" cm="1">
        <f t="array" ref="E29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30" spans="1:5" ht="13.9" thickTop="1" thickBot="1" x14ac:dyDescent="0.4">
      <c r="A30" s="3" t="str">
        <f>NodesData[[#This Row],[Common Name]]</f>
        <v>Applicant</v>
      </c>
      <c r="B30" s="3" t="str">
        <f>IF(NodesData[[#This Row],[Context Instanciation]]="","",NodesData[[#This Row],[Context Instanciation]])</f>
        <v/>
      </c>
      <c r="C30" s="22" t="str">
        <f>NodesData[[#This Row],[Node ID]]</f>
        <v>n84B52A55_528C_4D8E_AC41_6975F8BB6772</v>
      </c>
      <c r="D30" s="3" t="str">
        <f>IF(NodesData[[#This Row],[URL]]="","",NodesData[[#This Row],[URL]])</f>
        <v>https://open-measure.atlassian.net/wiki/spaces/DIC/pages/848625750</v>
      </c>
      <c r="E30" s="25" t="str" cm="1">
        <f t="array" ref="E30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1" spans="1:5" ht="13.9" thickTop="1" thickBot="1" x14ac:dyDescent="0.4">
      <c r="A31" s="3" t="str">
        <f>NodesData[[#This Row],[Common Name]]</f>
        <v>Application</v>
      </c>
      <c r="B31" s="3" t="str">
        <f>IF(NodesData[[#This Row],[Context Instanciation]]="","",NodesData[[#This Row],[Context Instanciation]])</f>
        <v/>
      </c>
      <c r="C31" s="22" t="str">
        <f>NodesData[[#This Row],[Node ID]]</f>
        <v>n72B6719C_C19A_4205_B703_0239826216C6</v>
      </c>
      <c r="D31" s="3" t="str">
        <f>IF(NodesData[[#This Row],[URL]]="","",NodesData[[#This Row],[URL]])</f>
        <v>https://open-measure.atlassian.net/wiki/spaces/DIC/pages/5965602/Application</v>
      </c>
      <c r="E31" s="25" t="str" cm="1">
        <f t="array" ref="E31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2" spans="1:5" ht="13.9" thickTop="1" thickBot="1" x14ac:dyDescent="0.4">
      <c r="A32" s="3" t="str">
        <f>NodesData[[#This Row],[Common Name]]</f>
        <v>Application Administrator</v>
      </c>
      <c r="B32" s="3" t="str">
        <f>IF(NodesData[[#This Row],[Context Instanciation]]="","",NodesData[[#This Row],[Context Instanciation]])</f>
        <v/>
      </c>
      <c r="C32" s="22" t="str">
        <f>NodesData[[#This Row],[Node ID]]</f>
        <v>nC98FF4A8_B8CF_4F33_A0F7_9002E0B55993</v>
      </c>
      <c r="D32" s="3" t="str">
        <f>IF(NodesData[[#This Row],[URL]]="","",NodesData[[#This Row],[URL]])</f>
        <v>https://open-measure.atlassian.net/wiki/spaces/DIC/pages/274236090</v>
      </c>
      <c r="E32" s="25" t="str" cm="1">
        <f t="array" ref="E32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3" spans="1:5" ht="13.9" thickTop="1" thickBot="1" x14ac:dyDescent="0.4">
      <c r="A33" s="3" t="str">
        <f>NodesData[[#This Row],[Common Name]]</f>
        <v>Application Instance</v>
      </c>
      <c r="B33" s="3" t="str">
        <f>IF(NodesData[[#This Row],[Context Instanciation]]="","",NodesData[[#This Row],[Context Instanciation]])</f>
        <v/>
      </c>
      <c r="C33" s="22" t="str">
        <f>NodesData[[#This Row],[Node ID]]</f>
        <v>n330A99D3_39A5_4757_967F_1E72BB400D93</v>
      </c>
      <c r="D33" s="3" t="str">
        <f>IF(NodesData[[#This Row],[URL]]="","",NodesData[[#This Row],[URL]])</f>
        <v>https://open-measure.atlassian.net/wiki/spaces/DIC/pages/834044036</v>
      </c>
      <c r="E33" s="25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4" spans="1:5" ht="13.9" thickTop="1" thickBot="1" x14ac:dyDescent="0.4">
      <c r="A34" s="3" t="str">
        <f>NodesData[[#This Row],[Common Name]]</f>
        <v>Application Multiplexing</v>
      </c>
      <c r="B34" s="3" t="str">
        <f>IF(NodesData[[#This Row],[Context Instanciation]]="","",NodesData[[#This Row],[Context Instanciation]])</f>
        <v/>
      </c>
      <c r="C34" s="22" t="str">
        <f>NodesData[[#This Row],[Node ID]]</f>
        <v>nD6A8B379_9D4E_4112_B9E5_B4588BCB49D9</v>
      </c>
      <c r="D34" s="3" t="str">
        <f>IF(NodesData[[#This Row],[URL]]="","",NodesData[[#This Row],[URL]])</f>
        <v>https://open-measure.atlassian.net/wiki/spaces/DIC/pages/1658355721/Application+Multiplexing</v>
      </c>
      <c r="E34" s="25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5" spans="1:5" ht="13.9" thickTop="1" thickBot="1" x14ac:dyDescent="0.4">
      <c r="A35" s="3" t="str">
        <f>NodesData[[#This Row],[Common Name]]</f>
        <v>Application Package</v>
      </c>
      <c r="B35" s="3" t="str">
        <f>IF(NodesData[[#This Row],[Context Instanciation]]="","",NodesData[[#This Row],[Context Instanciation]])</f>
        <v/>
      </c>
      <c r="C35" s="22" t="str">
        <f>NodesData[[#This Row],[Node ID]]</f>
        <v>nBF754068_D51A_4AC8_A362_C61F502C1D0B</v>
      </c>
      <c r="D35" s="3" t="str">
        <f>IF(NodesData[[#This Row],[URL]]="","",NodesData[[#This Row],[URL]])</f>
        <v>https://open-measure.atlassian.net/wiki/spaces/DIC/pages/5932704</v>
      </c>
      <c r="E35" s="25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6" spans="1:5" ht="13.9" thickTop="1" thickBot="1" x14ac:dyDescent="0.4">
      <c r="A36" s="3" t="str">
        <f>NodesData[[#This Row],[Common Name]]</f>
        <v>Application Program</v>
      </c>
      <c r="B36" s="3" t="str">
        <f>IF(NodesData[[#This Row],[Context Instanciation]]="","",NodesData[[#This Row],[Context Instanciation]])</f>
        <v/>
      </c>
      <c r="C36" s="22" t="str">
        <f>NodesData[[#This Row],[Node ID]]</f>
        <v>n53981EC2_9DED_4349_BC86_E5D6093333ED</v>
      </c>
      <c r="D36" s="3" t="str">
        <f>IF(NodesData[[#This Row],[URL]]="","",NodesData[[#This Row],[URL]])</f>
        <v>https://open-measure.atlassian.net/wiki/spaces/DIC/pages/6030793/Application+Program</v>
      </c>
      <c r="E36" s="25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7" spans="1:5" ht="13.9" thickTop="1" thickBot="1" x14ac:dyDescent="0.4">
      <c r="A37" s="3" t="str">
        <f>NodesData[[#This Row],[Common Name]]</f>
        <v>Application-Level Policy</v>
      </c>
      <c r="B37" s="3" t="str">
        <f>IF(NodesData[[#This Row],[Context Instanciation]]="","",NodesData[[#This Row],[Context Instanciation]])</f>
        <v/>
      </c>
      <c r="C37" s="22" t="str">
        <f>NodesData[[#This Row],[Node ID]]</f>
        <v>n8511EC23_ED3A_42D2_86FC_40B1D3E32F2D</v>
      </c>
      <c r="D37" s="3" t="str">
        <f>IF(NodesData[[#This Row],[URL]]="","",NodesData[[#This Row],[URL]])</f>
        <v>https://open-measure.atlassian.net/wiki/spaces/DIC/pages/1122631854</v>
      </c>
      <c r="E37" s="25" t="str" cm="1">
        <f t="array" ref="E37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38" spans="1:5" ht="13.9" thickTop="1" thickBot="1" x14ac:dyDescent="0.4">
      <c r="A38" s="3" t="str">
        <f>NodesData[[#This Row],[Common Name]]</f>
        <v>Archive</v>
      </c>
      <c r="B38" s="3" t="str">
        <f>IF(NodesData[[#This Row],[Context Instanciation]]="","",NodesData[[#This Row],[Context Instanciation]])</f>
        <v/>
      </c>
      <c r="C38" s="22" t="str">
        <f>NodesData[[#This Row],[Node ID]]</f>
        <v>n1FB40DB9_D8D0_4978_BD01_879C77DE04A8</v>
      </c>
      <c r="D38" s="3" t="str">
        <f>IF(NodesData[[#This Row],[URL]]="","",NodesData[[#This Row],[URL]])</f>
        <v>https://open-measure.atlassian.net/wiki/spaces/DIC/pages/425197720</v>
      </c>
      <c r="E38" s="25" t="str" cm="1">
        <f t="array" ref="E38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39" spans="1:5" ht="13.9" thickTop="1" thickBot="1" x14ac:dyDescent="0.4">
      <c r="A39" s="3" t="str">
        <f>NodesData[[#This Row],[Common Name]]</f>
        <v>ARM</v>
      </c>
      <c r="B39" s="3" t="str">
        <f>IF(NodesData[[#This Row],[Context Instanciation]]="","",NodesData[[#This Row],[Context Instanciation]])</f>
        <v/>
      </c>
      <c r="C39" s="22" t="str">
        <f>NodesData[[#This Row],[Node ID]]</f>
        <v>nB3F90AFA_FC46_4122_9901_4FF284E9E7EC</v>
      </c>
      <c r="D39" s="3" t="str">
        <f>IF(NodesData[[#This Row],[URL]]="","",NodesData[[#This Row],[URL]])</f>
        <v>https://open-measure.atlassian.net/wiki/spaces/DIC/pages/1703994/ARM</v>
      </c>
      <c r="E39" s="25" t="str" cm="1">
        <f t="array" ref="E39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40" spans="1:5" ht="13.9" thickTop="1" thickBot="1" x14ac:dyDescent="0.4">
      <c r="A40" s="3" t="str">
        <f>NodesData[[#This Row],[Common Name]]</f>
        <v>Asset Custody</v>
      </c>
      <c r="B40" s="3" t="str">
        <f>IF(NodesData[[#This Row],[Context Instanciation]]="","",NodesData[[#This Row],[Context Instanciation]])</f>
        <v/>
      </c>
      <c r="C40" s="22" t="str">
        <f>NodesData[[#This Row],[Node ID]]</f>
        <v>n941163ED_640B_408A_8AEE_A41839EAB169</v>
      </c>
      <c r="D40" s="3" t="str">
        <f>IF(NodesData[[#This Row],[URL]]="","",NodesData[[#This Row],[URL]])</f>
        <v>https://open-measure.atlassian.net/wiki/spaces/DIC/pages/1094516867</v>
      </c>
      <c r="E40" s="25" t="str" cm="1">
        <f t="array" ref="E40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Custody","group":"","id":"n941163ED_640B_408A_8AEE_A41839EAB169","url":"https://open-measure.atlassian.net/wiki/spaces/DIC/pages/1094516867"}</v>
      </c>
    </row>
    <row r="41" spans="1:5" ht="13.9" thickTop="1" thickBot="1" x14ac:dyDescent="0.4">
      <c r="A41" s="3" t="str">
        <f>NodesData[[#This Row],[Common Name]]</f>
        <v>Attack Class</v>
      </c>
      <c r="B41" s="3" t="str">
        <f>IF(NodesData[[#This Row],[Context Instanciation]]="","",NodesData[[#This Row],[Context Instanciation]])</f>
        <v/>
      </c>
      <c r="C41" s="22" t="str">
        <f>NodesData[[#This Row],[Node ID]]</f>
        <v>nBC613B66_5F94_4F48_91BD_5F6BBA766E79</v>
      </c>
      <c r="D41" s="3" t="str">
        <f>IF(NodesData[[#This Row],[URL]]="","",NodesData[[#This Row],[URL]])</f>
        <v/>
      </c>
      <c r="E41" s="25" t="str" cm="1">
        <f t="array" ref="E41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Class","group":"","id":"nBC613B66_5F94_4F48_91BD_5F6BBA766E79","url":""}</v>
      </c>
    </row>
    <row r="42" spans="1:5" ht="13.9" thickTop="1" thickBot="1" x14ac:dyDescent="0.4">
      <c r="A42" s="3" t="str">
        <f>NodesData[[#This Row],[Common Name]]</f>
        <v>Attestation</v>
      </c>
      <c r="B42" s="3" t="str">
        <f>IF(NodesData[[#This Row],[Context Instanciation]]="","",NodesData[[#This Row],[Context Instanciation]])</f>
        <v/>
      </c>
      <c r="C42" s="22" t="str">
        <f>NodesData[[#This Row],[Node ID]]</f>
        <v>n0CDD8E1B_608D_404D_AC1A_27954DBC282F</v>
      </c>
      <c r="D42" s="8"/>
      <c r="E42" s="25" t="str" cm="1">
        <f t="array" ref="E42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,{"label":"Attestation","group":"","id":"n0CDD8E1B_608D_404D_AC1A_27954DBC282F","url":""}</v>
      </c>
    </row>
    <row r="43" spans="1:5" ht="13.9" thickTop="1" thickBot="1" x14ac:dyDescent="0.4">
      <c r="A43" s="3" t="str">
        <f>NodesData[[#This Row],[Common Name]]</f>
        <v>Attribute</v>
      </c>
      <c r="B43" s="3" t="str">
        <f>IF(NodesData[[#This Row],[Context Instanciation]]="","",NodesData[[#This Row],[Context Instanciation]])</f>
        <v/>
      </c>
      <c r="C43" s="22" t="str">
        <f>NodesData[[#This Row],[Node ID]]</f>
        <v>nD0FF0291_03AE_4248_8CFC_F92543A2535F</v>
      </c>
      <c r="D43" s="10" t="s">
        <v>586</v>
      </c>
      <c r="E43" s="25" t="str" cm="1">
        <f t="array" ref="E43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Attribute Provider</v>
      </c>
      <c r="B44" s="3" t="str">
        <f>IF(NodesData[[#This Row],[Context Instanciation]]="","",NodesData[[#This Row],[Context Instanciation]])</f>
        <v/>
      </c>
      <c r="C44" s="22" t="str">
        <f>NodesData[[#This Row],[Node ID]]</f>
        <v>n818AA88B_F47E_48A3_896A_B86B61970370</v>
      </c>
      <c r="D44" s="10" t="s">
        <v>588</v>
      </c>
      <c r="E44" s="25" t="str" cm="1">
        <f t="array" ref="E44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Authenticated Users</v>
      </c>
      <c r="B45" s="3" t="str">
        <f>IF(NodesData[[#This Row],[Context Instanciation]]="","",NodesData[[#This Row],[Context Instanciation]])</f>
        <v/>
      </c>
      <c r="C45" s="22" t="str">
        <f>NodesData[[#This Row],[Node ID]]</f>
        <v>nF97A2FB7_CEBC_41A2_93A3_8B494BBD7EDE</v>
      </c>
      <c r="D45" s="10" t="s">
        <v>590</v>
      </c>
      <c r="E45" s="25" t="str" cm="1">
        <f t="array" ref="E45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Authentication</v>
      </c>
      <c r="B46" s="3" t="str">
        <f>IF(NodesData[[#This Row],[Context Instanciation]]="","",NodesData[[#This Row],[Context Instanciation]])</f>
        <v/>
      </c>
      <c r="C46" s="22" t="str">
        <f>NodesData[[#This Row],[Node ID]]</f>
        <v>n5498F625_6E3B_46CB_976C_85F3529AECDF</v>
      </c>
      <c r="D46" s="10" t="s">
        <v>593</v>
      </c>
      <c r="E46" s="25" t="str" cm="1">
        <f t="array" ref="E46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Authentication Factor</v>
      </c>
      <c r="B47" s="3" t="str">
        <f>IF(NodesData[[#This Row],[Context Instanciation]]="","",NodesData[[#This Row],[Context Instanciation]])</f>
        <v/>
      </c>
      <c r="C47" s="22" t="str">
        <f>NodesData[[#This Row],[Node ID]]</f>
        <v>n67C132A3_290E_4750_90DE_11E7C1778537</v>
      </c>
      <c r="D47" s="10" t="s">
        <v>595</v>
      </c>
      <c r="E47" s="25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Authentication Method</v>
      </c>
      <c r="B48" s="3" t="str">
        <f>IF(NodesData[[#This Row],[Context Instanciation]]="","",NodesData[[#This Row],[Context Instanciation]])</f>
        <v/>
      </c>
      <c r="C48" s="22" t="str">
        <f>NodesData[[#This Row],[Node ID]]</f>
        <v>n53877DB9_77FA_44E9_974A_BE3344133398</v>
      </c>
      <c r="D48" s="10" t="s">
        <v>597</v>
      </c>
      <c r="E48" s="25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Authenticator</v>
      </c>
      <c r="B49" s="3" t="str">
        <f>IF(NodesData[[#This Row],[Context Instanciation]]="","",NodesData[[#This Row],[Context Instanciation]])</f>
        <v/>
      </c>
      <c r="C49" s="22" t="str">
        <f>NodesData[[#This Row],[Node ID]]</f>
        <v>n7A4D7599_F86F_4594_8B18_58AA2548C0B4</v>
      </c>
      <c r="D49" s="10" t="s">
        <v>599</v>
      </c>
      <c r="E49" s="25" t="str" cm="1">
        <f t="array" ref="E49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Authority</v>
      </c>
      <c r="B50" s="3" t="str">
        <f>IF(NodesData[[#This Row],[Context Instanciation]]="","",NodesData[[#This Row],[Context Instanciation]])</f>
        <v/>
      </c>
      <c r="C50" s="22" t="str">
        <f>NodesData[[#This Row],[Node ID]]</f>
        <v>nC7C1A468_0E1F_46E1_B73A_731992ABA6D5</v>
      </c>
      <c r="D50" s="10" t="s">
        <v>601</v>
      </c>
      <c r="E50" s="25" t="str" cm="1">
        <f t="array" ref="E50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Authorization</v>
      </c>
      <c r="B51" s="3" t="str">
        <f>IF(NodesData[[#This Row],[Context Instanciation]]="","",NodesData[[#This Row],[Context Instanciation]])</f>
        <v/>
      </c>
      <c r="C51" s="22" t="str">
        <f>NodesData[[#This Row],[Node ID]]</f>
        <v>n88704212_4558_4B65_9E18_ACA6FB85434F</v>
      </c>
      <c r="D51" s="10" t="s">
        <v>603</v>
      </c>
      <c r="E51" s="25" t="str" cm="1">
        <f t="array" ref="E51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Authorization Externalization</v>
      </c>
      <c r="B52" s="3" t="str">
        <f>IF(NodesData[[#This Row],[Context Instanciation]]="","",NodesData[[#This Row],[Context Instanciation]])</f>
        <v/>
      </c>
      <c r="C52" s="22" t="str">
        <f>NodesData[[#This Row],[Node ID]]</f>
        <v>nEFD1A6B4_F1EC_40F7_985E_A79FDAFA5290</v>
      </c>
      <c r="D52" s="10" t="s">
        <v>605</v>
      </c>
      <c r="E52" s="25" t="str" cm="1">
        <f t="array" ref="E52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Awareness</v>
      </c>
      <c r="B53" s="3" t="str">
        <f>IF(NodesData[[#This Row],[Context Instanciation]]="","",NodesData[[#This Row],[Context Instanciation]])</f>
        <v/>
      </c>
      <c r="C53" s="22" t="str">
        <f>NodesData[[#This Row],[Node ID]]</f>
        <v>nED52833B_3CB7_4602_8F07_AAFFA537007A</v>
      </c>
      <c r="D53" s="10" t="s">
        <v>607</v>
      </c>
      <c r="E53" s="25" t="str" cm="1">
        <f t="array" ref="E53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AWS Account Root User</v>
      </c>
      <c r="B54" s="3" t="str">
        <f>IF(NodesData[[#This Row],[Context Instanciation]]="","",NodesData[[#This Row],[Context Instanciation]])</f>
        <v/>
      </c>
      <c r="C54" s="22" t="str">
        <f>NodesData[[#This Row],[Node ID]]</f>
        <v>n4D85EB1C_A961_426D_AEF6_EEE56E460849</v>
      </c>
      <c r="D54" s="10" t="s">
        <v>609</v>
      </c>
      <c r="E54" s="25" t="str" cm="1">
        <f t="array" ref="E54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AWS ACL</v>
      </c>
      <c r="B55" s="3" t="str">
        <f>IF(NodesData[[#This Row],[Context Instanciation]]="","",NodesData[[#This Row],[Context Instanciation]])</f>
        <v/>
      </c>
      <c r="C55" s="22" t="str">
        <f>NodesData[[#This Row],[Node ID]]</f>
        <v>nD9B0296D_0D3A_447A_941D_9C10A546E6EA</v>
      </c>
      <c r="D55" s="10" t="s">
        <v>611</v>
      </c>
      <c r="E55" s="25" t="str" cm="1">
        <f t="array" ref="E55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IAM Group</v>
      </c>
      <c r="B56" s="3" t="str">
        <f>IF(NodesData[[#This Row],[Context Instanciation]]="","",NodesData[[#This Row],[Context Instanciation]])</f>
        <v/>
      </c>
      <c r="C56" s="22" t="str">
        <f>NodesData[[#This Row],[Node ID]]</f>
        <v>nCCBCF09B_7033_4E6D_9851_D29BB7B648A6</v>
      </c>
      <c r="D56" s="10" t="s">
        <v>591</v>
      </c>
      <c r="E56" s="25" t="str" cm="1">
        <f t="array" ref="E56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IAM Policy</v>
      </c>
      <c r="B57" s="3" t="str">
        <f>IF(NodesData[[#This Row],[Context Instanciation]]="","",NodesData[[#This Row],[Context Instanciation]])</f>
        <v/>
      </c>
      <c r="C57" s="22" t="str">
        <f>NodesData[[#This Row],[Node ID]]</f>
        <v>n1875AE23_28E6_45EE_840E_8F1F9D6DA18E</v>
      </c>
      <c r="D57" s="10" t="s">
        <v>613</v>
      </c>
      <c r="E57" s="25" t="str" cm="1">
        <f t="array" ref="E57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 Principal</v>
      </c>
      <c r="B58" s="3" t="str">
        <f>IF(NodesData[[#This Row],[Context Instanciation]]="","",NodesData[[#This Row],[Context Instanciation]])</f>
        <v/>
      </c>
      <c r="C58" s="22" t="str">
        <f>NodesData[[#This Row],[Node ID]]</f>
        <v>nF9259DCB_1490_4C14_A807_E2EB6BAEBCD6</v>
      </c>
      <c r="D58" s="10" t="s">
        <v>615</v>
      </c>
      <c r="E58" s="25" t="str" cm="1">
        <f t="array" ref="E58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Role</v>
      </c>
      <c r="B59" s="3" t="str">
        <f>IF(NodesData[[#This Row],[Context Instanciation]]="","",NodesData[[#This Row],[Context Instanciation]])</f>
        <v/>
      </c>
      <c r="C59" s="22" t="str">
        <f>NodesData[[#This Row],[Node ID]]</f>
        <v>n1523F730_02BA_4AF6_B7DC_8FA728AB8AEA</v>
      </c>
      <c r="D59" s="4"/>
      <c r="E59" s="25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Role","group":"","id":"n1523F730_02BA_4AF6_B7DC_8FA728AB8AEA","url":""}</v>
      </c>
    </row>
    <row r="60" spans="1:5" ht="13.9" thickTop="1" thickBot="1" x14ac:dyDescent="0.4">
      <c r="A60" s="3" t="str">
        <f>NodesData[[#This Row],[Common Name]]</f>
        <v>AWS IAM Temporary Security Credentials</v>
      </c>
      <c r="B60" s="3" t="str">
        <f>IF(NodesData[[#This Row],[Context Instanciation]]="","",NodesData[[#This Row],[Context Instanciation]])</f>
        <v/>
      </c>
      <c r="C60" s="22" t="str">
        <f>NodesData[[#This Row],[Node ID]]</f>
        <v>nB8600109_406A_41D5_A938_F40D2ABD263D</v>
      </c>
      <c r="D60" s="10" t="s">
        <v>617</v>
      </c>
      <c r="E60" s="25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User</v>
      </c>
      <c r="B61" s="3" t="str">
        <f>IF(NodesData[[#This Row],[Context Instanciation]]="","",NodesData[[#This Row],[Context Instanciation]])</f>
        <v/>
      </c>
      <c r="C61" s="22" t="str">
        <f>NodesData[[#This Row],[Node ID]]</f>
        <v>n4E8EECAB_7960_4F74_8E07_F9D79BBA6BFD</v>
      </c>
      <c r="D61" s="10" t="s">
        <v>616</v>
      </c>
      <c r="E61" s="25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AWS IAM</v>
      </c>
      <c r="B62" s="3" t="str">
        <f>IF(NodesData[[#This Row],[Context Instanciation]]="","",NodesData[[#This Row],[Context Instanciation]])</f>
        <v/>
      </c>
      <c r="C62" s="22" t="str">
        <f>NodesData[[#This Row],[Node ID]]</f>
        <v>n1482D4D7_7EEE_42C9_A18A_162895B6DAD6</v>
      </c>
      <c r="D62" s="10" t="s">
        <v>619</v>
      </c>
      <c r="E62" s="25" t="str" cm="1">
        <f t="array" ref="E62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Back-end Authentication</v>
      </c>
      <c r="B63" s="3" t="str">
        <f>IF(NodesData[[#This Row],[Context Instanciation]]="","",NodesData[[#This Row],[Context Instanciation]])</f>
        <v/>
      </c>
      <c r="C63" s="22" t="str">
        <f>NodesData[[#This Row],[Node ID]]</f>
        <v>nDED8E2C9_B484_47BD_8A0C_4FC25D9ABA2F</v>
      </c>
      <c r="D63" s="10" t="s">
        <v>621</v>
      </c>
      <c r="E63" s="25" t="str" cm="1">
        <f t="array" ref="E63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BankID</v>
      </c>
      <c r="B64" s="3" t="str">
        <f>IF(NodesData[[#This Row],[Context Instanciation]]="","",NodesData[[#This Row],[Context Instanciation]])</f>
        <v/>
      </c>
      <c r="C64" s="22" t="str">
        <f>NodesData[[#This Row],[Node ID]]</f>
        <v>nBB7D7752_E1E7_4228_B216_44BF27C469CE</v>
      </c>
      <c r="D64" s="10" t="s">
        <v>623</v>
      </c>
      <c r="E64" s="25" t="str" cm="1">
        <f t="array" ref="E64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Basic Z Rule</v>
      </c>
      <c r="B65" s="3" t="str">
        <f>IF(NodesData[[#This Row],[Context Instanciation]]="","",NodesData[[#This Row],[Context Instanciation]])</f>
        <v/>
      </c>
      <c r="C65" s="22" t="str">
        <f>NodesData[[#This Row],[Node ID]]</f>
        <v>nBC4E0E05_749F_4BAA_8247_C9B39135AB8E</v>
      </c>
      <c r="D65" s="10" t="s">
        <v>625</v>
      </c>
      <c r="E65" s="25" t="str" cm="1">
        <f t="array" ref="E65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Behavioral Authentication</v>
      </c>
      <c r="B66" s="3" t="str">
        <f>IF(NodesData[[#This Row],[Context Instanciation]]="","",NodesData[[#This Row],[Context Instanciation]])</f>
        <v/>
      </c>
      <c r="C66" s="22" t="str">
        <f>NodesData[[#This Row],[Node ID]]</f>
        <v>n3DDE93A9_BFEF_41F6_B831_7BC6CEAF25CD</v>
      </c>
      <c r="D66" s="10" t="s">
        <v>626</v>
      </c>
      <c r="E66" s="25" t="str" cm="1">
        <f t="array" ref="E66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Bell-LaPadula Model</v>
      </c>
      <c r="B67" s="3" t="str">
        <f>IF(NodesData[[#This Row],[Context Instanciation]]="","",NodesData[[#This Row],[Context Instanciation]])</f>
        <v/>
      </c>
      <c r="C67" s="22" t="str">
        <f>NodesData[[#This Row],[Node ID]]</f>
        <v>n72711DB2_F0B3_4F52_A4E4_A4A5446CD2A8</v>
      </c>
      <c r="D67" s="4"/>
      <c r="E67" s="25" t="str" cm="1">
        <f t="array" ref="E67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Model","group":"","id":"n72711DB2_F0B3_4F52_A4E4_A4A5446CD2A8","url":""}</v>
      </c>
    </row>
    <row r="68" spans="1:5" ht="13.9" thickTop="1" thickBot="1" x14ac:dyDescent="0.4">
      <c r="A68" s="3" t="str">
        <f>NodesData[[#This Row],[Common Name]]</f>
        <v>Biometric Authentication</v>
      </c>
      <c r="B68" s="3" t="str">
        <f>IF(NodesData[[#This Row],[Context Instanciation]]="","",NodesData[[#This Row],[Context Instanciation]])</f>
        <v/>
      </c>
      <c r="C68" s="22" t="str">
        <f>NodesData[[#This Row],[Node ID]]</f>
        <v>n4781A6BD_729E_4392_B73C_0DA1C77F45BA</v>
      </c>
      <c r="D68" s="10" t="s">
        <v>628</v>
      </c>
      <c r="E68" s="25" t="str" cm="1">
        <f t="array" ref="E68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Biometric Identification</v>
      </c>
      <c r="B69" s="3" t="str">
        <f>IF(NodesData[[#This Row],[Context Instanciation]]="","",NodesData[[#This Row],[Context Instanciation]])</f>
        <v/>
      </c>
      <c r="C69" s="22" t="str">
        <f>NodesData[[#This Row],[Node ID]]</f>
        <v>nAC688165_B606_4D82_A016_0263D701EDF2</v>
      </c>
      <c r="D69" s="10" t="s">
        <v>629</v>
      </c>
      <c r="E69" s="25" t="str" cm="1">
        <f t="array" ref="E69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Biometrics</v>
      </c>
      <c r="B70" s="3" t="str">
        <f>IF(NodesData[[#This Row],[Context Instanciation]]="","",NodesData[[#This Row],[Context Instanciation]])</f>
        <v/>
      </c>
      <c r="C70" s="22" t="str">
        <f>NodesData[[#This Row],[Node ID]]</f>
        <v>n58FC3163_C98D_45E6_8BD3_405AF26CA056</v>
      </c>
      <c r="D70" s="10" t="s">
        <v>631</v>
      </c>
      <c r="E70" s="25" t="str" cm="1">
        <f t="array" ref="E70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Birth Certificate</v>
      </c>
      <c r="B71" s="3" t="str">
        <f>IF(NodesData[[#This Row],[Context Instanciation]]="","",NodesData[[#This Row],[Context Instanciation]])</f>
        <v/>
      </c>
      <c r="C71" s="22" t="str">
        <f>NodesData[[#This Row],[Node ID]]</f>
        <v>n5E88C9AF_9919_47E5_AC97_3C0F882D8992</v>
      </c>
      <c r="D71" s="10" t="s">
        <v>632</v>
      </c>
      <c r="E71" s="25" t="str" cm="1">
        <f t="array" ref="E71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Blast Radius</v>
      </c>
      <c r="B72" s="3" t="str">
        <f>IF(NodesData[[#This Row],[Context Instanciation]]="","",NodesData[[#This Row],[Context Instanciation]])</f>
        <v/>
      </c>
      <c r="C72" s="22" t="str">
        <f>NodesData[[#This Row],[Node ID]]</f>
        <v>n242739C9_E8F8_40EF_98D0_C57F8BD3A408</v>
      </c>
      <c r="D72" s="10" t="s">
        <v>633</v>
      </c>
      <c r="E72" s="25" t="str" cm="1">
        <f t="array" ref="E72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Boundary Control</v>
      </c>
      <c r="B73" s="3" t="str">
        <f>IF(NodesData[[#This Row],[Context Instanciation]]="","",NodesData[[#This Row],[Context Instanciation]])</f>
        <v/>
      </c>
      <c r="C73" s="22" t="str">
        <f>NodesData[[#This Row],[Node ID]]</f>
        <v>n8B61F4C7_8FA2_43DC_B58C_AB2C5C0A8877</v>
      </c>
      <c r="D73" s="10" t="s">
        <v>634</v>
      </c>
      <c r="E73" s="25" t="str" cm="1">
        <f t="array" ref="E73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Brainwaves Authentication</v>
      </c>
      <c r="B74" s="3" t="str">
        <f>IF(NodesData[[#This Row],[Context Instanciation]]="","",NodesData[[#This Row],[Context Instanciation]])</f>
        <v/>
      </c>
      <c r="C74" s="22" t="str">
        <f>NodesData[[#This Row],[Node ID]]</f>
        <v>n45A95ED6_6BE9_42DC_8F8E_4940542AA763</v>
      </c>
      <c r="D74" s="10" t="s">
        <v>636</v>
      </c>
      <c r="E74" s="25" t="str" cm="1">
        <f t="array" ref="E74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Broker</v>
      </c>
      <c r="B75" s="3" t="str">
        <f>IF(NodesData[[#This Row],[Context Instanciation]]="","",NodesData[[#This Row],[Context Instanciation]])</f>
        <v/>
      </c>
      <c r="C75" s="22" t="str">
        <f>NodesData[[#This Row],[Node ID]]</f>
        <v>nFEE07D8B_E1AA_4F0C_A615_463A81456806</v>
      </c>
      <c r="D75" s="4"/>
      <c r="E75" s="25" t="str" cm="1">
        <f t="array" ref="E75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,{"label":"Broker","group":"","id":"nFEE07D8B_E1AA_4F0C_A615_463A81456806","url":""}</v>
      </c>
    </row>
    <row r="76" spans="1:5" ht="13.9" thickTop="1" thickBot="1" x14ac:dyDescent="0.4">
      <c r="A76" s="3" t="str">
        <f>NodesData[[#This Row],[Common Name]]</f>
        <v>Brute Force Attack</v>
      </c>
      <c r="B76" s="3" t="str">
        <f>IF(NodesData[[#This Row],[Context Instanciation]]="","",NodesData[[#This Row],[Context Instanciation]])</f>
        <v/>
      </c>
      <c r="C76" s="22" t="str">
        <f>NodesData[[#This Row],[Node ID]]</f>
        <v>n24D85D8A_2BBF_487D_999E_F0E1E9711A44</v>
      </c>
      <c r="D76" s="10" t="s">
        <v>638</v>
      </c>
      <c r="E76" s="25" t="str" cm="1">
        <f t="array" ref="E76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Built-in</v>
      </c>
      <c r="B77" s="3" t="str">
        <f>IF(NodesData[[#This Row],[Context Instanciation]]="","",NodesData[[#This Row],[Context Instanciation]])</f>
        <v/>
      </c>
      <c r="C77" s="22" t="str">
        <f>NodesData[[#This Row],[Node ID]]</f>
        <v>n99E2345A_FF0B_4044_A4E5_0D26498BF352</v>
      </c>
      <c r="D77" s="10" t="s">
        <v>639</v>
      </c>
      <c r="E77" s="25" t="str" cm="1">
        <f t="array" ref="E77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BZR</v>
      </c>
      <c r="B78" s="3" t="str">
        <f>IF(NodesData[[#This Row],[Context Instanciation]]="","",NodesData[[#This Row],[Context Instanciation]])</f>
        <v/>
      </c>
      <c r="C78" s="22" t="str">
        <f>NodesData[[#This Row],[Node ID]]</f>
        <v>nB340D7B3_A560_4CAB_8C9A_4A7ECB00C604</v>
      </c>
      <c r="D78" s="10" t="s">
        <v>640</v>
      </c>
      <c r="E78" s="25" t="str" cm="1">
        <f t="array" ref="E78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Cached Credential</v>
      </c>
      <c r="B79" s="3" t="str">
        <f>IF(NodesData[[#This Row],[Context Instanciation]]="","",NodesData[[#This Row],[Context Instanciation]])</f>
        <v/>
      </c>
      <c r="C79" s="22" t="str">
        <f>NodesData[[#This Row],[Node ID]]</f>
        <v>n2A6F0314_872D_4E0E_A944_F17EF346E29C</v>
      </c>
      <c r="D79" s="10" t="s">
        <v>641</v>
      </c>
      <c r="E79" s="25" t="str" cm="1">
        <f t="array" ref="E79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Capability to store information</v>
      </c>
      <c r="B80" s="3" t="str">
        <f>IF(NodesData[[#This Row],[Context Instanciation]]="","",NodesData[[#This Row],[Context Instanciation]])</f>
        <v/>
      </c>
      <c r="C80" s="22" t="str">
        <f>NodesData[[#This Row],[Node ID]]</f>
        <v>nFB32F479_4EF7_409C_900B_EE48AA0DE846</v>
      </c>
      <c r="D80" s="10" t="s">
        <v>643</v>
      </c>
      <c r="E80" s="25" t="str" cm="1">
        <f t="array" ref="E80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Capability to transform information</v>
      </c>
      <c r="B81" s="3" t="str">
        <f>IF(NodesData[[#This Row],[Context Instanciation]]="","",NodesData[[#This Row],[Context Instanciation]])</f>
        <v/>
      </c>
      <c r="C81" s="22" t="str">
        <f>NodesData[[#This Row],[Node ID]]</f>
        <v>nFA6C8A63_7071_4E20_BB02_F78403869E0B</v>
      </c>
      <c r="D81" s="10" t="s">
        <v>645</v>
      </c>
      <c r="E81" s="25" t="str" cm="1">
        <f t="array" ref="E81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Capability to transmit information</v>
      </c>
      <c r="B82" s="3" t="str">
        <f>IF(NodesData[[#This Row],[Context Instanciation]]="","",NodesData[[#This Row],[Context Instanciation]])</f>
        <v/>
      </c>
      <c r="C82" s="22" t="str">
        <f>NodesData[[#This Row],[Node ID]]</f>
        <v>nAC062A15_C72B_42D8_BBDF_C7EB64B35F26</v>
      </c>
      <c r="D82" s="4"/>
      <c r="E82" s="25" t="str" cm="1">
        <f t="array" ref="E82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information","group":"","id":"nAC062A15_C72B_42D8_BBDF_C7EB64B35F26","url":""}</v>
      </c>
    </row>
    <row r="83" spans="1:5" ht="13.9" thickTop="1" thickBot="1" x14ac:dyDescent="0.4">
      <c r="A83" s="3" t="str">
        <f>NodesData[[#This Row],[Common Name]]</f>
        <v>Capabilty to collect information</v>
      </c>
      <c r="B83" s="3" t="str">
        <f>IF(NodesData[[#This Row],[Context Instanciation]]="","",NodesData[[#This Row],[Context Instanciation]])</f>
        <v/>
      </c>
      <c r="C83" s="22" t="str">
        <f>NodesData[[#This Row],[Node ID]]</f>
        <v>nF3A221C8_C126_458E_818C_DAE6B57CD442</v>
      </c>
      <c r="D83" s="10" t="s">
        <v>648</v>
      </c>
      <c r="E83" s="25" t="str" cm="1">
        <f t="array" ref="E83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Causing Reputation Harm</v>
      </c>
      <c r="B84" s="3" t="str">
        <f>IF(NodesData[[#This Row],[Context Instanciation]]="","",NodesData[[#This Row],[Context Instanciation]])</f>
        <v/>
      </c>
      <c r="C84" s="22" t="str">
        <f>NodesData[[#This Row],[Node ID]]</f>
        <v>nA59D49F8_3819_4341_A310_19C77AB08AAB</v>
      </c>
      <c r="D84" s="10" t="s">
        <v>650</v>
      </c>
      <c r="E84" s="25" t="str" cm="1">
        <f t="array" ref="E84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CDD</v>
      </c>
      <c r="B85" s="3" t="str">
        <f>IF(NodesData[[#This Row],[Context Instanciation]]="","",NodesData[[#This Row],[Context Instanciation]])</f>
        <v/>
      </c>
      <c r="C85" s="22" t="str">
        <f>NodesData[[#This Row],[Node ID]]</f>
        <v>n8A9F74A8_A65F_42A3_9DB0_D40AD68EC967</v>
      </c>
      <c r="D85" s="10" t="s">
        <v>652</v>
      </c>
      <c r="E85" s="25" t="str" cm="1">
        <f t="array" ref="E85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Centralized Identity Management System</v>
      </c>
      <c r="B86" s="3" t="str">
        <f>IF(NodesData[[#This Row],[Context Instanciation]]="","",NodesData[[#This Row],[Context Instanciation]])</f>
        <v/>
      </c>
      <c r="C86" s="22" t="str">
        <f>NodesData[[#This Row],[Node ID]]</f>
        <v>nD371E402_1DDA_467A_9EFD_7333BAD6987B</v>
      </c>
      <c r="D86" s="10" t="s">
        <v>654</v>
      </c>
      <c r="E86" s="25" t="str" cm="1">
        <f t="array" ref="E86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Certificate-based Authentication</v>
      </c>
      <c r="B87" s="3" t="str">
        <f>IF(NodesData[[#This Row],[Context Instanciation]]="","",NodesData[[#This Row],[Context Instanciation]])</f>
        <v/>
      </c>
      <c r="C87" s="22" t="str">
        <f>NodesData[[#This Row],[Node ID]]</f>
        <v>n736BFE87_02BE_46E7_8DB0_A2B034ECD6BC</v>
      </c>
      <c r="D87" s="10" t="s">
        <v>655</v>
      </c>
      <c r="E87" s="25" t="str" cm="1">
        <f t="array" ref="E87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Certification</v>
      </c>
      <c r="B88" s="3" t="str">
        <f>IF(NodesData[[#This Row],[Context Instanciation]]="","",NodesData[[#This Row],[Context Instanciation]])</f>
        <v/>
      </c>
      <c r="C88" s="22" t="str">
        <f>NodesData[[#This Row],[Node ID]]</f>
        <v>nBF62899B_4BED_47AF_AF3B_1E10D830EA41</v>
      </c>
      <c r="D88" s="10" t="s">
        <v>657</v>
      </c>
      <c r="E88" s="25" t="str" cm="1">
        <f t="array" ref="E88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CIBA</v>
      </c>
      <c r="B89" s="3" t="str">
        <f>IF(NodesData[[#This Row],[Context Instanciation]]="","",NodesData[[#This Row],[Context Instanciation]])</f>
        <v/>
      </c>
      <c r="C89" s="22" t="str">
        <f>NodesData[[#This Row],[Node ID]]</f>
        <v>n7393F50C_2074_415B_8362_C7F0AD5AD8C9</v>
      </c>
      <c r="D89" s="10" t="s">
        <v>659</v>
      </c>
      <c r="E89" s="25" t="str" cm="1">
        <f t="array" ref="E89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Claim</v>
      </c>
      <c r="B90" s="3" t="str">
        <f>IF(NodesData[[#This Row],[Context Instanciation]]="","",NodesData[[#This Row],[Context Instanciation]])</f>
        <v/>
      </c>
      <c r="C90" s="22" t="str">
        <f>NodesData[[#This Row],[Node ID]]</f>
        <v>nBCD1222E_E013_4743_9588_168A8E8A4CCC</v>
      </c>
      <c r="D90" s="10" t="s">
        <v>661</v>
      </c>
      <c r="E90" s="25" t="str" cm="1">
        <f t="array" ref="E90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Claim Registry Model</v>
      </c>
      <c r="B91" s="3" t="str">
        <f>IF(NodesData[[#This Row],[Context Instanciation]]="","",NodesData[[#This Row],[Context Instanciation]])</f>
        <v/>
      </c>
      <c r="C91" s="22" t="str">
        <f>NodesData[[#This Row],[Node ID]]</f>
        <v>n09BFADD4_A980_40F3_A98A_B65C0F02447F</v>
      </c>
      <c r="D91" s="10" t="s">
        <v>646</v>
      </c>
      <c r="E91" s="25" t="str" cm="1">
        <f t="array" ref="E91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Claimant</v>
      </c>
      <c r="B92" s="3" t="str">
        <f>IF(NodesData[[#This Row],[Context Instanciation]]="","",NodesData[[#This Row],[Context Instanciation]])</f>
        <v/>
      </c>
      <c r="C92" s="22" t="str">
        <f>NodesData[[#This Row],[Node ID]]</f>
        <v>n67C38909_17F6_4502_B532_983E8C4AB8F8</v>
      </c>
      <c r="D92" s="10" t="s">
        <v>665</v>
      </c>
      <c r="E92" s="25" t="str" cm="1">
        <f t="array" ref="E92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Classification</v>
      </c>
      <c r="B93" s="3" t="str">
        <f>IF(NodesData[[#This Row],[Context Instanciation]]="","",NodesData[[#This Row],[Context Instanciation]])</f>
        <v/>
      </c>
      <c r="C93" s="22" t="str">
        <f>NodesData[[#This Row],[Node ID]]</f>
        <v>n3AF44A35_CD82_4A03_B96B_2C8E7E9F40FE</v>
      </c>
      <c r="D93" s="10" t="s">
        <v>667</v>
      </c>
      <c r="E93" s="25" t="str" cm="1">
        <f t="array" ref="E93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Client Initiated Backchannel Authentication</v>
      </c>
      <c r="B94" s="3" t="str">
        <f>IF(NodesData[[#This Row],[Context Instanciation]]="","",NodesData[[#This Row],[Context Instanciation]])</f>
        <v/>
      </c>
      <c r="C94" s="22" t="str">
        <f>NodesData[[#This Row],[Node ID]]</f>
        <v>n6362F1FB_53FB_45C5_A797_A947C7ECB972</v>
      </c>
      <c r="D94" s="10" t="s">
        <v>668</v>
      </c>
      <c r="E94" s="25" t="str" cm="1">
        <f t="array" ref="E94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Cloud Identity Management System</v>
      </c>
      <c r="B95" s="3" t="str">
        <f>IF(NodesData[[#This Row],[Context Instanciation]]="","",NodesData[[#This Row],[Context Instanciation]])</f>
        <v/>
      </c>
      <c r="C95" s="22" t="str">
        <f>NodesData[[#This Row],[Node ID]]</f>
        <v>n80E713F8_140B_4FA1_AD0A_95353ACF23CE</v>
      </c>
      <c r="D95" s="10" t="s">
        <v>669</v>
      </c>
      <c r="E95" s="25" t="str" cm="1">
        <f t="array" ref="E95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Cloud IdMS</v>
      </c>
      <c r="B96" s="3" t="str">
        <f>IF(NodesData[[#This Row],[Context Instanciation]]="","",NodesData[[#This Row],[Context Instanciation]])</f>
        <v/>
      </c>
      <c r="C96" s="22" t="str">
        <f>NodesData[[#This Row],[Node ID]]</f>
        <v>nC7A5534A_F936_4092_AF5A_4868FEC6CF24</v>
      </c>
      <c r="D96" s="10" t="s">
        <v>671</v>
      </c>
      <c r="E96" s="25" t="str" cm="1">
        <f t="array" ref="E96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Cloud Service Consumers</v>
      </c>
      <c r="B97" s="3" t="str">
        <f>IF(NodesData[[#This Row],[Context Instanciation]]="","",NodesData[[#This Row],[Context Instanciation]])</f>
        <v/>
      </c>
      <c r="C97" s="22" t="str">
        <f>NodesData[[#This Row],[Node ID]]</f>
        <v>n4180E5F4_C1E3_4F95_9CBB_CD85E0BCC655</v>
      </c>
      <c r="D97" s="10" t="s">
        <v>672</v>
      </c>
      <c r="E97" s="25" t="str" cm="1">
        <f t="array" ref="E97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Service Provider</v>
      </c>
      <c r="B98" s="3" t="str">
        <f>IF(NodesData[[#This Row],[Context Instanciation]]="","",NodesData[[#This Row],[Context Instanciation]])</f>
        <v/>
      </c>
      <c r="C98" s="22" t="str">
        <f>NodesData[[#This Row],[Node ID]]</f>
        <v>nC844F971_544C_4338_94D2_6A965B7BCF89</v>
      </c>
      <c r="D98" s="10" t="s">
        <v>674</v>
      </c>
      <c r="E98" s="25" t="str" cm="1">
        <f t="array" ref="E98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Cloud Service User</v>
      </c>
      <c r="B99" s="3" t="str">
        <f>IF(NodesData[[#This Row],[Context Instanciation]]="","",NodesData[[#This Row],[Context Instanciation]])</f>
        <v/>
      </c>
      <c r="C99" s="22" t="str">
        <f>NodesData[[#This Row],[Node ID]]</f>
        <v>nE857DAE9_4FEB_442D_A1CF_D7B687ABF6B7</v>
      </c>
      <c r="D99" s="10" t="s">
        <v>676</v>
      </c>
      <c r="E99" s="25" t="str" cm="1">
        <f t="array" ref="E99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Coherent Whole</v>
      </c>
      <c r="B100" s="3" t="str">
        <f>IF(NodesData[[#This Row],[Context Instanciation]]="","",NodesData[[#This Row],[Context Instanciation]])</f>
        <v/>
      </c>
      <c r="C100" s="22" t="str">
        <f>NodesData[[#This Row],[Node ID]]</f>
        <v>n2E4A35A7_53BB_4F4B_8554_B6584F77D71D</v>
      </c>
      <c r="D100" s="10" t="s">
        <v>677</v>
      </c>
      <c r="E100" s="25" t="str" cm="1">
        <f t="array" ref="E100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Commission Error</v>
      </c>
      <c r="B101" s="3" t="str">
        <f>IF(NodesData[[#This Row],[Context Instanciation]]="","",NodesData[[#This Row],[Context Instanciation]])</f>
        <v/>
      </c>
      <c r="C101" s="22" t="str">
        <f>NodesData[[#This Row],[Node ID]]</f>
        <v>n4D29847A_7439_438F_9BF4_1A9AC6B66382</v>
      </c>
      <c r="D101" s="10" t="s">
        <v>678</v>
      </c>
      <c r="E101" s="25" t="str" cm="1">
        <f t="array" ref="E101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Compromised Identity</v>
      </c>
      <c r="B102" s="3" t="str">
        <f>IF(NodesData[[#This Row],[Context Instanciation]]="","",NodesData[[#This Row],[Context Instanciation]])</f>
        <v/>
      </c>
      <c r="C102" s="22" t="str">
        <f>NodesData[[#This Row],[Node ID]]</f>
        <v>n5AE73A5D_7DC4_4E67_BA86_77F767004525</v>
      </c>
      <c r="D102" s="10" t="s">
        <v>679</v>
      </c>
      <c r="E102" s="25" t="str" cm="1">
        <f t="array" ref="E102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Concurrent Impersonation Attack</v>
      </c>
      <c r="B103" s="3" t="str">
        <f>IF(NodesData[[#This Row],[Context Instanciation]]="","",NodesData[[#This Row],[Context Instanciation]])</f>
        <v/>
      </c>
      <c r="C103" s="22" t="str">
        <f>NodesData[[#This Row],[Node ID]]</f>
        <v>n7613977B_913F_4201_81B8_F2639D95D430</v>
      </c>
      <c r="D103" s="10" t="s">
        <v>681</v>
      </c>
      <c r="E103" s="25" t="str" cm="1">
        <f t="array" ref="E103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Continuous Authentication</v>
      </c>
      <c r="B104" s="3" t="str">
        <f>IF(NodesData[[#This Row],[Context Instanciation]]="","",NodesData[[#This Row],[Context Instanciation]])</f>
        <v/>
      </c>
      <c r="C104" s="22" t="str">
        <f>NodesData[[#This Row],[Node ID]]</f>
        <v>n80A2BE7C_191D_425D_A7B8_93B0ACBEE01B</v>
      </c>
      <c r="D104" s="10" t="s">
        <v>683</v>
      </c>
      <c r="E104" s="25" t="str" cm="1">
        <f t="array" ref="E104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Control Class</v>
      </c>
      <c r="B105" s="3" t="str">
        <f>IF(NodesData[[#This Row],[Context Instanciation]]="","",NodesData[[#This Row],[Context Instanciation]])</f>
        <v/>
      </c>
      <c r="C105" s="22" t="str">
        <f>NodesData[[#This Row],[Node ID]]</f>
        <v>nCEEB6DF9_D56B_4A1B_9B36_35674D25F038</v>
      </c>
      <c r="D105" s="10" t="s">
        <v>685</v>
      </c>
      <c r="E105" s="25" t="str" cm="1">
        <f t="array" ref="E105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Control Party</v>
      </c>
      <c r="B106" s="3" t="str">
        <f>IF(NodesData[[#This Row],[Context Instanciation]]="","",NodesData[[#This Row],[Context Instanciation]])</f>
        <v/>
      </c>
      <c r="C106" s="22" t="str">
        <f>NodesData[[#This Row],[Node ID]]</f>
        <v>n2036668D_41FC_42AC_A26E_DCB28C92BB42</v>
      </c>
      <c r="D106" s="10" t="s">
        <v>687</v>
      </c>
      <c r="E106" s="25" t="str" cm="1">
        <f t="array" ref="E106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Core Identity</v>
      </c>
      <c r="B107" s="3" t="str">
        <f>IF(NodesData[[#This Row],[Context Instanciation]]="","",NodesData[[#This Row],[Context Instanciation]])</f>
        <v/>
      </c>
      <c r="C107" s="22" t="str">
        <f>NodesData[[#This Row],[Node ID]]</f>
        <v>n3B5C4453_42D1_4B17_BE96_3CB27267BE34</v>
      </c>
      <c r="D107" s="10" t="s">
        <v>689</v>
      </c>
      <c r="E107" s="25" t="str" cm="1">
        <f t="array" ref="E107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Credential</v>
      </c>
      <c r="B108" s="3" t="str">
        <f>IF(NodesData[[#This Row],[Context Instanciation]]="","",NodesData[[#This Row],[Context Instanciation]])</f>
        <v/>
      </c>
      <c r="C108" s="22" t="str">
        <f>NodesData[[#This Row],[Node ID]]</f>
        <v>n71B0143B_00D4_447A_802A_D03702D2600F</v>
      </c>
      <c r="D108" s="10" t="s">
        <v>691</v>
      </c>
      <c r="E108" s="25" t="str" cm="1">
        <f t="array" ref="E108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Credential Harvesting</v>
      </c>
      <c r="B109" s="3" t="str">
        <f>IF(NodesData[[#This Row],[Context Instanciation]]="","",NodesData[[#This Row],[Context Instanciation]])</f>
        <v/>
      </c>
      <c r="C109" s="22" t="str">
        <f>NodesData[[#This Row],[Node ID]]</f>
        <v>n835E7716_4234_4D63_9E3D_53FD75BD48A0</v>
      </c>
      <c r="D109" s="10" t="s">
        <v>692</v>
      </c>
      <c r="E109" s="25" t="str" cm="1">
        <f t="array" ref="E109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Credential Service Provider</v>
      </c>
      <c r="B110" s="3" t="str">
        <f>IF(NodesData[[#This Row],[Context Instanciation]]="","",NodesData[[#This Row],[Context Instanciation]])</f>
        <v/>
      </c>
      <c r="C110" s="22" t="str">
        <f>NodesData[[#This Row],[Node ID]]</f>
        <v>nC28A38BD_F29A_4E07_BDC5_A430C7F08178</v>
      </c>
      <c r="D110" s="10" t="s">
        <v>693</v>
      </c>
      <c r="E110" s="25" t="str" cm="1">
        <f t="array" ref="E110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 Stuffing</v>
      </c>
      <c r="B111" s="3" t="str">
        <f>IF(NodesData[[#This Row],[Context Instanciation]]="","",NodesData[[#This Row],[Context Instanciation]])</f>
        <v/>
      </c>
      <c r="C111" s="22" t="str">
        <f>NodesData[[#This Row],[Node ID]]</f>
        <v>nE507E167_D5A0_4734_A76D_1E688002EDB6</v>
      </c>
      <c r="D111" s="10" t="s">
        <v>694</v>
      </c>
      <c r="E111" s="25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Credential Theft</v>
      </c>
      <c r="B112" s="3" t="str">
        <f>IF(NodesData[[#This Row],[Context Instanciation]]="","",NodesData[[#This Row],[Context Instanciation]])</f>
        <v/>
      </c>
      <c r="C112" s="22" t="str">
        <f>NodesData[[#This Row],[Node ID]]</f>
        <v>nC30B0213_3434_4800_8A7F_F5D9753E7F4F</v>
      </c>
      <c r="D112" s="10" t="s">
        <v>696</v>
      </c>
      <c r="E112" s="25" t="str" cm="1">
        <f t="array" ref="E112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Cryptographic Key</v>
      </c>
      <c r="B113" s="3" t="str">
        <f>IF(NodesData[[#This Row],[Context Instanciation]]="","",NodesData[[#This Row],[Context Instanciation]])</f>
        <v/>
      </c>
      <c r="C113" s="22" t="str">
        <f>NodesData[[#This Row],[Node ID]]</f>
        <v>nD6E2EFC3_D781_401F_AE1A_9DC8865CF67B</v>
      </c>
      <c r="D113" s="10" t="s">
        <v>704</v>
      </c>
      <c r="E113" s="25" t="str" cm="1">
        <f t="array" ref="E113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CSC</v>
      </c>
      <c r="B114" s="3" t="str">
        <f>IF(NodesData[[#This Row],[Context Instanciation]]="","",NodesData[[#This Row],[Context Instanciation]])</f>
        <v/>
      </c>
      <c r="C114" s="22" t="str">
        <f>NodesData[[#This Row],[Node ID]]</f>
        <v>n3CF9484A_E6FA_4D95_9D47_B5595CE2AD13</v>
      </c>
      <c r="D114" s="10" t="s">
        <v>698</v>
      </c>
      <c r="E114" s="25" t="str" cm="1">
        <f t="array" ref="E114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CSP</v>
      </c>
      <c r="B115" s="3" t="str">
        <f>IF(NodesData[[#This Row],[Context Instanciation]]="","",NodesData[[#This Row],[Context Instanciation]])</f>
        <v/>
      </c>
      <c r="C115" s="22" t="str">
        <f>NodesData[[#This Row],[Node ID]]</f>
        <v>n602C3EC3_8435_47BF_A604_7D75066CC857</v>
      </c>
      <c r="D115" s="10" t="s">
        <v>700</v>
      </c>
      <c r="E115" s="25" t="str" cm="1">
        <f t="array" ref="E115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CSU</v>
      </c>
      <c r="B116" s="3" t="str">
        <f>IF(NodesData[[#This Row],[Context Instanciation]]="","",NodesData[[#This Row],[Context Instanciation]])</f>
        <v/>
      </c>
      <c r="C116" s="22" t="str">
        <f>NodesData[[#This Row],[Node ID]]</f>
        <v>nFF6942C5_7966_4E4A_8491_8D4F0333B971</v>
      </c>
      <c r="D116" s="10" t="s">
        <v>702</v>
      </c>
      <c r="E116" s="25" t="str" cm="1">
        <f t="array" ref="E116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Customer Due Diligence</v>
      </c>
      <c r="B117" s="3" t="str">
        <f>IF(NodesData[[#This Row],[Context Instanciation]]="","",NodesData[[#This Row],[Context Instanciation]])</f>
        <v/>
      </c>
      <c r="C117" s="22" t="str">
        <f>NodesData[[#This Row],[Node ID]]</f>
        <v>nAF7F194C_57F9_469D_96EF_9261A46CC7FC</v>
      </c>
      <c r="D117" s="10" t="s">
        <v>710</v>
      </c>
      <c r="E117" s="25" t="str" cm="1">
        <f t="array" ref="E117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Customer Identification</v>
      </c>
      <c r="B118" s="3" t="str">
        <f>IF(NodesData[[#This Row],[Context Instanciation]]="","",NodesData[[#This Row],[Context Instanciation]])</f>
        <v/>
      </c>
      <c r="C118" s="22" t="str">
        <f>NodesData[[#This Row],[Node ID]]</f>
        <v>nC4DE4DA0_78E1_4926_AF0C_F091AF13103D</v>
      </c>
      <c r="D118" s="10" t="s">
        <v>706</v>
      </c>
      <c r="E118" s="25" t="str" cm="1">
        <f t="array" ref="E118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Customer Identity</v>
      </c>
      <c r="B119" s="3" t="str">
        <f>IF(NodesData[[#This Row],[Context Instanciation]]="","",NodesData[[#This Row],[Context Instanciation]])</f>
        <v/>
      </c>
      <c r="C119" s="22" t="str">
        <f>NodesData[[#This Row],[Node ID]]</f>
        <v>nE1CBAB67_758C_4F2C_BA6A_799375745B56</v>
      </c>
      <c r="D119" s="10" t="s">
        <v>708</v>
      </c>
      <c r="E119" s="25" t="str" cm="1">
        <f t="array" ref="E119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Identity Verification</v>
      </c>
      <c r="B120" s="3" t="str">
        <f>IF(NodesData[[#This Row],[Context Instanciation]]="","",NodesData[[#This Row],[Context Instanciation]])</f>
        <v/>
      </c>
      <c r="C120" s="22" t="str">
        <f>NodesData[[#This Row],[Node ID]]</f>
        <v>nCD6230CD_7164_4B21_8324_961CA3471D9D</v>
      </c>
      <c r="D120" s="10" t="s">
        <v>712</v>
      </c>
      <c r="E120" s="25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On-Boarding</v>
      </c>
      <c r="B121" s="3" t="str">
        <f>IF(NodesData[[#This Row],[Context Instanciation]]="","",NodesData[[#This Row],[Context Instanciation]])</f>
        <v/>
      </c>
      <c r="C121" s="22" t="str">
        <f>NodesData[[#This Row],[Node ID]]</f>
        <v>n5A0D36D7_5907_497B_BDD0_B9F7946871C7</v>
      </c>
      <c r="D121" s="10" t="s">
        <v>713</v>
      </c>
      <c r="E121" s="25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Customer Privacy and Consent Management</v>
      </c>
      <c r="B122" s="3" t="str">
        <f>IF(NodesData[[#This Row],[Context Instanciation]]="","",NodesData[[#This Row],[Context Instanciation]])</f>
        <v/>
      </c>
      <c r="C122" s="22" t="str">
        <f>NodesData[[#This Row],[Node ID]]</f>
        <v>n4729C2B4_13E7_433F_8412_F95545EA75F7</v>
      </c>
      <c r="D122" s="10" t="s">
        <v>715</v>
      </c>
      <c r="E122" s="25" t="str" cm="1">
        <f t="array" ref="E122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Cyber-sabotage</v>
      </c>
      <c r="B123" s="3" t="str">
        <f>IF(NodesData[[#This Row],[Context Instanciation]]="","",NodesData[[#This Row],[Context Instanciation]])</f>
        <v/>
      </c>
      <c r="C123" s="22" t="str">
        <f>NodesData[[#This Row],[Node ID]]</f>
        <v>n359C7AF8_8BAE_4BC7_B009_BE445CDBFC35</v>
      </c>
      <c r="D123" s="10" t="s">
        <v>716</v>
      </c>
      <c r="E123" s="25" t="str" cm="1">
        <f t="array" ref="E123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DAC</v>
      </c>
      <c r="B124" s="3" t="str">
        <f>IF(NodesData[[#This Row],[Context Instanciation]]="","",NodesData[[#This Row],[Context Instanciation]])</f>
        <v/>
      </c>
      <c r="C124" s="22" t="str">
        <f>NodesData[[#This Row],[Node ID]]</f>
        <v>n5E2EE771_5FE7_4EBD_B53E_DD8D31F6490E</v>
      </c>
      <c r="D124" s="10" t="s">
        <v>717</v>
      </c>
      <c r="E124" s="25" t="str" cm="1">
        <f t="array" ref="E124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Data</v>
      </c>
      <c r="B125" s="3" t="str">
        <f>IF(NodesData[[#This Row],[Context Instanciation]]="","",NodesData[[#This Row],[Context Instanciation]])</f>
        <v/>
      </c>
      <c r="C125" s="22" t="str">
        <f>NodesData[[#This Row],[Node ID]]</f>
        <v>n09E1C4DC_8D91_4A66_9C50_11DCDC2042FD</v>
      </c>
      <c r="D125" s="10" t="s">
        <v>663</v>
      </c>
      <c r="E125" s="25" t="str" cm="1">
        <f t="array" ref="E125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Data Anonymization</v>
      </c>
      <c r="B126" s="3" t="str">
        <f>IF(NodesData[[#This Row],[Context Instanciation]]="","",NodesData[[#This Row],[Context Instanciation]])</f>
        <v/>
      </c>
      <c r="C126" s="22" t="str">
        <f>NodesData[[#This Row],[Node ID]]</f>
        <v>nDD3247E1_B272_4575_8CB0_C2E44239A9A8</v>
      </c>
      <c r="D126" s="10" t="s">
        <v>720</v>
      </c>
      <c r="E126" s="25" t="str" cm="1">
        <f t="array" ref="E126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Data Custodian</v>
      </c>
      <c r="B127" s="3" t="str">
        <f>IF(NodesData[[#This Row],[Context Instanciation]]="","",NodesData[[#This Row],[Context Instanciation]])</f>
        <v/>
      </c>
      <c r="C127" s="22" t="str">
        <f>NodesData[[#This Row],[Node ID]]</f>
        <v>nD28793FC_291F_4F11_A09A_228AE8B3A9FC</v>
      </c>
      <c r="D127" s="10" t="s">
        <v>722</v>
      </c>
      <c r="E127" s="25" t="str" cm="1">
        <f t="array" ref="E127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 Lineage</v>
      </c>
      <c r="B128" s="3" t="str">
        <f>IF(NodesData[[#This Row],[Context Instanciation]]="","",NodesData[[#This Row],[Context Instanciation]])</f>
        <v/>
      </c>
      <c r="C128" s="22" t="str">
        <f>NodesData[[#This Row],[Node ID]]</f>
        <v>nE47A44FF_22A6_469C_82AD_696C71FBDD88</v>
      </c>
      <c r="D128" s="10" t="s">
        <v>724</v>
      </c>
      <c r="E128" s="25" t="str" cm="1">
        <f t="array" ref="E128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Obfuscation</v>
      </c>
      <c r="B129" s="3" t="str">
        <f>IF(NodesData[[#This Row],[Context Instanciation]]="","",NodesData[[#This Row],[Context Instanciation]])</f>
        <v/>
      </c>
      <c r="C129" s="22" t="str">
        <f>NodesData[[#This Row],[Node ID]]</f>
        <v>nF346FF0E_9E36_4061_B728_2051ECF4FE8F</v>
      </c>
      <c r="D129" s="10" t="s">
        <v>726</v>
      </c>
      <c r="E129" s="25" t="str" cm="1">
        <f t="array" ref="E129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Operation</v>
      </c>
      <c r="B130" s="3" t="str">
        <f>IF(NodesData[[#This Row],[Context Instanciation]]="","",NodesData[[#This Row],[Context Instanciation]])</f>
        <v/>
      </c>
      <c r="C130" s="22" t="str">
        <f>NodesData[[#This Row],[Node ID]]</f>
        <v>nEE342468_B7F3_4FB0_BA73_C88BBEA8F59E</v>
      </c>
      <c r="D130" s="10" t="s">
        <v>718</v>
      </c>
      <c r="E130" s="25" t="str" cm="1">
        <f t="array" ref="E130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 Owner</v>
      </c>
      <c r="B131" s="3" t="str">
        <f>IF(NodesData[[#This Row],[Context Instanciation]]="","",NodesData[[#This Row],[Context Instanciation]])</f>
        <v/>
      </c>
      <c r="C131" s="22" t="str">
        <f>NodesData[[#This Row],[Node ID]]</f>
        <v>n6E2830C5_7B71_4569_B55F_4C2062560D57</v>
      </c>
      <c r="D131" s="10" t="s">
        <v>732</v>
      </c>
      <c r="E131" s="25" t="str" cm="1">
        <f t="array" ref="E131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Data-Level Policy</v>
      </c>
      <c r="B132" s="3" t="str">
        <f>IF(NodesData[[#This Row],[Context Instanciation]]="","",NodesData[[#This Row],[Context Instanciation]])</f>
        <v/>
      </c>
      <c r="C132" s="22" t="str">
        <f>NodesData[[#This Row],[Node ID]]</f>
        <v>nF3A98388_9120_4053_8EBD_936BE8BBDA6F</v>
      </c>
      <c r="D132" s="10" t="s">
        <v>730</v>
      </c>
      <c r="E132" s="25" t="str" cm="1">
        <f t="array" ref="E132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Death Certificate</v>
      </c>
      <c r="B133" s="3" t="str">
        <f>IF(NodesData[[#This Row],[Context Instanciation]]="","",NodesData[[#This Row],[Context Instanciation]])</f>
        <v/>
      </c>
      <c r="C133" s="22" t="str">
        <f>NodesData[[#This Row],[Node ID]]</f>
        <v>n18684693_B96F_41F5_87E5_A8C82C5854F2</v>
      </c>
      <c r="D133" s="10" t="s">
        <v>734</v>
      </c>
      <c r="E133" s="25" t="str" cm="1">
        <f t="array" ref="E133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Decentralized Identifier</v>
      </c>
      <c r="B134" s="3" t="str">
        <f>IF(NodesData[[#This Row],[Context Instanciation]]="","",NodesData[[#This Row],[Context Instanciation]])</f>
        <v/>
      </c>
      <c r="C134" s="22" t="str">
        <f>NodesData[[#This Row],[Node ID]]</f>
        <v>nF0624D2B_D1C4_476E_A9EA_53DD33D3EFFE</v>
      </c>
      <c r="D134" s="4"/>
      <c r="E134" s="25" t="str" cm="1">
        <f t="array" ref="E134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Identifier","group":"","id":"nF0624D2B_D1C4_476E_A9EA_53DD33D3EFFE","url":""}</v>
      </c>
    </row>
    <row r="135" spans="1:5" ht="13.9" thickTop="1" thickBot="1" x14ac:dyDescent="0.4">
      <c r="A135" s="3" t="str">
        <f>NodesData[[#This Row],[Common Name]]</f>
        <v>De-duplication</v>
      </c>
      <c r="B135" s="3" t="str">
        <f>IF(NodesData[[#This Row],[Context Instanciation]]="","",NodesData[[#This Row],[Context Instanciation]])</f>
        <v/>
      </c>
      <c r="C135" s="22" t="str">
        <f>NodesData[[#This Row],[Node ID]]</f>
        <v>nBFB13F76_57DB_46B7_8AE9_952A367FBA93</v>
      </c>
      <c r="D135" s="10" t="s">
        <v>736</v>
      </c>
      <c r="E135" s="25" t="str" cm="1">
        <f t="array" ref="E135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Deprovisioning</v>
      </c>
      <c r="B136" s="3" t="str">
        <f>IF(NodesData[[#This Row],[Context Instanciation]]="","",NodesData[[#This Row],[Context Instanciation]])</f>
        <v/>
      </c>
      <c r="C136" s="22" t="str">
        <f>NodesData[[#This Row],[Node ID]]</f>
        <v>nB332A030_899A_4CDC_ABF6_7AB4C2B3D1C2</v>
      </c>
      <c r="D136" s="10" t="s">
        <v>738</v>
      </c>
      <c r="E136" s="25" t="str" cm="1">
        <f t="array" ref="E136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DID</v>
      </c>
      <c r="B137" s="3" t="str">
        <f>IF(NodesData[[#This Row],[Context Instanciation]]="","",NodesData[[#This Row],[Context Instanciation]])</f>
        <v/>
      </c>
      <c r="C137" s="22" t="str">
        <f>NodesData[[#This Row],[Node ID]]</f>
        <v>n40BF751E_86C5_46B2_8F12_8406249504A5</v>
      </c>
      <c r="D137" s="10" t="s">
        <v>740</v>
      </c>
      <c r="E137" s="25" t="str" cm="1">
        <f t="array" ref="E137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Digital Continuity</v>
      </c>
      <c r="B138" s="3" t="str">
        <f>IF(NodesData[[#This Row],[Context Instanciation]]="","",NodesData[[#This Row],[Context Instanciation]])</f>
        <v/>
      </c>
      <c r="C138" s="22" t="str">
        <f>NodesData[[#This Row],[Node ID]]</f>
        <v>n9E54AC40_1534_4653_A579_A86A08A8489A</v>
      </c>
      <c r="D138" s="10" t="s">
        <v>742</v>
      </c>
      <c r="E138" s="25" t="str" cm="1">
        <f t="array" ref="E138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Digital Identification System</v>
      </c>
      <c r="B139" s="3" t="str">
        <f>IF(NodesData[[#This Row],[Context Instanciation]]="","",NodesData[[#This Row],[Context Instanciation]])</f>
        <v/>
      </c>
      <c r="C139" s="22" t="str">
        <f>NodesData[[#This Row],[Node ID]]</f>
        <v>n0FBA5367_FBC8_4C86_A3A0_47FFA8B35813</v>
      </c>
      <c r="D139" s="10" t="s">
        <v>744</v>
      </c>
      <c r="E139" s="25" t="str" cm="1">
        <f t="array" ref="E139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Digital Identity</v>
      </c>
      <c r="B140" s="3" t="str">
        <f>IF(NodesData[[#This Row],[Context Instanciation]]="","",NodesData[[#This Row],[Context Instanciation]])</f>
        <v/>
      </c>
      <c r="C140" s="22" t="str">
        <f>NodesData[[#This Row],[Node ID]]</f>
        <v>n2D85F484_089E_4E23_B816_91EC7B0A8538</v>
      </c>
      <c r="D140" s="10" t="s">
        <v>752</v>
      </c>
      <c r="E140" s="25" t="str" cm="1">
        <f t="array" ref="E140">IF(ROW(NodesJSON[[#This Row],[label]])&gt;ROW(NodesJSON[[#Headers],[JSON]])+1,",","") &amp;"{"&amp;twoRangesToJSON(NodesJSON[[#Headers],[label]:[url]],NodesJSON[[#This Row],[label]:[url]])&amp;"}"</f>
        <v>,{"label":"Digital Identity","group":"","id":"n2D85F484_089E_4E23_B816_91EC7B0A8538","url":"https://open-measure.atlassian.net/wiki/spaces/DIC/pages/1122566173"}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Identity Authenticity</v>
      </c>
      <c r="B141" s="3" t="str">
        <f>IF(NodesData[[#This Row],[Context Instanciation]]="","",NodesData[[#This Row],[Context Instanciation]])</f>
        <v/>
      </c>
      <c r="C141" s="22" t="str">
        <f>NodesData[[#This Row],[Node ID]]</f>
        <v>n0EA691C3_41F3_4D4D_9025_8F36DE6AEDC2</v>
      </c>
      <c r="D141" s="10" t="s">
        <v>746</v>
      </c>
      <c r="E141" s="25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Digital Triangulation</v>
      </c>
      <c r="B142" s="3" t="str">
        <f>IF(NodesData[[#This Row],[Context Instanciation]]="","",NodesData[[#This Row],[Context Instanciation]])</f>
        <v/>
      </c>
      <c r="C142" s="22" t="str">
        <f>NodesData[[#This Row],[Node ID]]</f>
        <v>nE39BABFB_8F63_4F42_89E2_F06B01A51C5F</v>
      </c>
      <c r="D142" s="10" t="s">
        <v>748</v>
      </c>
      <c r="E142" s="25" t="str" cm="1">
        <f t="array" ref="E142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Discretionary Access Control</v>
      </c>
      <c r="B143" s="3" t="str">
        <f>IF(NodesData[[#This Row],[Context Instanciation]]="","",NodesData[[#This Row],[Context Instanciation]])</f>
        <v/>
      </c>
      <c r="C143" s="22" t="str">
        <f>NodesData[[#This Row],[Node ID]]</f>
        <v>n561A2BF6_5A06_42D6_B158_5683F90E84BE</v>
      </c>
      <c r="D143" s="10" t="s">
        <v>750</v>
      </c>
      <c r="E143" s="25" t="str" cm="1">
        <f t="array" ref="E143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Distributed Identity</v>
      </c>
      <c r="B144" s="3" t="str">
        <f>IF(NodesData[[#This Row],[Context Instanciation]]="","",NodesData[[#This Row],[Context Instanciation]])</f>
        <v/>
      </c>
      <c r="C144" s="22" t="str">
        <f>NodesData[[#This Row],[Node ID]]</f>
        <v>nFE60A787_3D7D_423A_ACA8_7A815881DE4A</v>
      </c>
      <c r="D144" s="10" t="s">
        <v>754</v>
      </c>
      <c r="E144" s="25" t="str" cm="1">
        <f t="array" ref="E144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Distributed Ledger Technology</v>
      </c>
      <c r="B145" s="3" t="str">
        <f>IF(NodesData[[#This Row],[Context Instanciation]]="","",NodesData[[#This Row],[Context Instanciation]])</f>
        <v/>
      </c>
      <c r="C145" s="22" t="str">
        <f>NodesData[[#This Row],[Node ID]]</f>
        <v>nF24089B1_8B95_4756_903D_A8DFDC0769E3</v>
      </c>
      <c r="D145" s="10" t="s">
        <v>756</v>
      </c>
      <c r="E145" s="25" t="str" cm="1">
        <f t="array" ref="E145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Dual Authorization</v>
      </c>
      <c r="B146" s="3" t="str">
        <f>IF(NodesData[[#This Row],[Context Instanciation]]="","",NodesData[[#This Row],[Context Instanciation]])</f>
        <v/>
      </c>
      <c r="C146" s="22" t="str">
        <f>NodesData[[#This Row],[Node ID]]</f>
        <v>n178DB8CF_C79B_49A8_900D_2EB5BD057DC7</v>
      </c>
      <c r="D146" s="10" t="s">
        <v>758</v>
      </c>
      <c r="E146" s="25" t="str" cm="1">
        <f t="array" ref="E146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ECS</v>
      </c>
      <c r="B147" s="3" t="str">
        <f>IF(NodesData[[#This Row],[Context Instanciation]]="","",NodesData[[#This Row],[Context Instanciation]])</f>
        <v/>
      </c>
      <c r="C147" s="22" t="str">
        <f>NodesData[[#This Row],[Node ID]]</f>
        <v>n746496EE_FC8C_4C19_AF3E_D8D3140567A6</v>
      </c>
      <c r="D147" s="10" t="s">
        <v>760</v>
      </c>
      <c r="E147" s="25" t="str" cm="1">
        <f t="array" ref="E147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e-Identity</v>
      </c>
      <c r="B148" s="3" t="str">
        <f>IF(NodesData[[#This Row],[Context Instanciation]]="","",NodesData[[#This Row],[Context Instanciation]])</f>
        <v/>
      </c>
      <c r="C148" s="22" t="str">
        <f>NodesData[[#This Row],[Node ID]]</f>
        <v>n29F8F3C1_3B5C_404B_985E_677B3F2469CE</v>
      </c>
      <c r="D148" s="10" t="s">
        <v>762</v>
      </c>
      <c r="E148" s="25" t="str" cm="1">
        <f t="array" ref="E148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EIdM</v>
      </c>
      <c r="B149" s="3" t="str">
        <f>IF(NodesData[[#This Row],[Context Instanciation]]="","",NodesData[[#This Row],[Context Instanciation]])</f>
        <v/>
      </c>
      <c r="C149" s="22" t="str">
        <f>NodesData[[#This Row],[Node ID]]</f>
        <v>n6DA75F23_C59A_4F3D_8369_62DF2833985B</v>
      </c>
      <c r="D149" s="10" t="s">
        <v>764</v>
      </c>
      <c r="E149" s="25" t="str" cm="1">
        <f t="array" ref="E149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Email OTP</v>
      </c>
      <c r="B150" s="3" t="str">
        <f>IF(NodesData[[#This Row],[Context Instanciation]]="","",NodesData[[#This Row],[Context Instanciation]])</f>
        <v/>
      </c>
      <c r="C150" s="22" t="str">
        <f>NodesData[[#This Row],[Node ID]]</f>
        <v>n2EA08174_481E_44C6_A012_159A6C58ECD7</v>
      </c>
      <c r="D150" s="10" t="s">
        <v>766</v>
      </c>
      <c r="E150" s="25" t="str" cm="1">
        <f t="array" ref="E150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Employee</v>
      </c>
      <c r="B151" s="3" t="str">
        <f>IF(NodesData[[#This Row],[Context Instanciation]]="","",NodesData[[#This Row],[Context Instanciation]])</f>
        <v/>
      </c>
      <c r="C151" s="22" t="str">
        <f>NodesData[[#This Row],[Node ID]]</f>
        <v>n422D81D3_0EAB_4F1E_9F34_BA01B0B35CC0</v>
      </c>
      <c r="D151" s="10" t="s">
        <v>728</v>
      </c>
      <c r="E151" s="25" t="str" cm="1">
        <f t="array" ref="E151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Enterprise Cloud Subscriber</v>
      </c>
      <c r="B152" s="3" t="str">
        <f>IF(NodesData[[#This Row],[Context Instanciation]]="","",NodesData[[#This Row],[Context Instanciation]])</f>
        <v/>
      </c>
      <c r="C152" s="22" t="str">
        <f>NodesData[[#This Row],[Node ID]]</f>
        <v>nDC7DA1B5_7FB1_493B_B76C_2A89395AAC8B</v>
      </c>
      <c r="D152" s="10" t="s">
        <v>767</v>
      </c>
      <c r="E152" s="25" t="str" cm="1">
        <f t="array" ref="E152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Enterprise Identity Management</v>
      </c>
      <c r="B153" s="3" t="str">
        <f>IF(NodesData[[#This Row],[Context Instanciation]]="","",NodesData[[#This Row],[Context Instanciation]])</f>
        <v/>
      </c>
      <c r="C153" s="22" t="str">
        <f>NodesData[[#This Row],[Node ID]]</f>
        <v>nB5BB1D89_74C2_455D_B36D_E690E04C732E</v>
      </c>
      <c r="D153" s="10" t="s">
        <v>768</v>
      </c>
      <c r="E153" s="25" t="str" cm="1">
        <f t="array" ref="E153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Enterprise Single Sign-On</v>
      </c>
      <c r="B154" s="3" t="str">
        <f>IF(NodesData[[#This Row],[Context Instanciation]]="","",NodesData[[#This Row],[Context Instanciation]])</f>
        <v/>
      </c>
      <c r="C154" s="22" t="str">
        <f>NodesData[[#This Row],[Node ID]]</f>
        <v>n4F60AFDF_063A_4037_B18B_E4FDC3B1F048</v>
      </c>
      <c r="D154" s="10" t="s">
        <v>770</v>
      </c>
      <c r="E154" s="25" t="str" cm="1">
        <f t="array" ref="E154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Entitlement</v>
      </c>
      <c r="B155" s="3" t="str">
        <f>IF(NodesData[[#This Row],[Context Instanciation]]="","",NodesData[[#This Row],[Context Instanciation]])</f>
        <v/>
      </c>
      <c r="C155" s="22" t="str">
        <f>NodesData[[#This Row],[Node ID]]</f>
        <v>n6B1C5DA7_6A6A_4239_8359_406101FDA296</v>
      </c>
      <c r="D155" s="10" t="s">
        <v>772</v>
      </c>
      <c r="E155" s="25" t="str" cm="1">
        <f t="array" ref="E155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Entitlement Management</v>
      </c>
      <c r="B156" s="3" t="str">
        <f>IF(NodesData[[#This Row],[Context Instanciation]]="","",NodesData[[#This Row],[Context Instanciation]])</f>
        <v/>
      </c>
      <c r="C156" s="22" t="str">
        <f>NodesData[[#This Row],[Node ID]]</f>
        <v>n8CCC3658_FD2A_4108_B8F8_F090D2FDA25F</v>
      </c>
      <c r="D156" s="10" t="s">
        <v>774</v>
      </c>
      <c r="E156" s="25" t="str" cm="1">
        <f t="array" ref="E156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Entitlement Management Process</v>
      </c>
      <c r="B157" s="3" t="str">
        <f>IF(NodesData[[#This Row],[Context Instanciation]]="","",NodesData[[#This Row],[Context Instanciation]])</f>
        <v/>
      </c>
      <c r="C157" s="22" t="str">
        <f>NodesData[[#This Row],[Node ID]]</f>
        <v>n6F5621C1_CD35_410A_A944_409F79163AD4</v>
      </c>
      <c r="D157" s="10" t="s">
        <v>776</v>
      </c>
      <c r="E157" s="25" t="str" cm="1">
        <f t="array" ref="E157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 Management Solution</v>
      </c>
      <c r="B158" s="3" t="str">
        <f>IF(NodesData[[#This Row],[Context Instanciation]]="","",NodesData[[#This Row],[Context Instanciation]])</f>
        <v/>
      </c>
      <c r="C158" s="22" t="str">
        <f>NodesData[[#This Row],[Node ID]]</f>
        <v>n1C189EA0_AB0A_4D8B_AC8A_A6B086B9D1C8</v>
      </c>
      <c r="D158" s="10" t="s">
        <v>778</v>
      </c>
      <c r="E158" s="25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Entitlement-Based Access Control</v>
      </c>
      <c r="B159" s="3" t="str">
        <f>IF(NodesData[[#This Row],[Context Instanciation]]="","",NodesData[[#This Row],[Context Instanciation]])</f>
        <v/>
      </c>
      <c r="C159" s="22" t="str">
        <f>NodesData[[#This Row],[Node ID]]</f>
        <v>n9A7FB9C7_BA60_455F_AF09_E8FB3AD8331D</v>
      </c>
      <c r="D159" s="10" t="s">
        <v>779</v>
      </c>
      <c r="E159" s="25" t="str" cm="1">
        <f t="array" ref="E159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Entity</v>
      </c>
      <c r="B160" s="3" t="str">
        <f>IF(NodesData[[#This Row],[Context Instanciation]]="","",NodesData[[#This Row],[Context Instanciation]])</f>
        <v/>
      </c>
      <c r="C160" s="22" t="str">
        <f>NodesData[[#This Row],[Node ID]]</f>
        <v>nD14A84EB_07B3_4B5F_BFAB_30031258CD6F</v>
      </c>
      <c r="D160" s="4"/>
      <c r="E160" s="25" t="str" cm="1">
        <f t="array" ref="E160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,{"label":"Entity","group":"","id":"nD14A84EB_07B3_4B5F_BFAB_30031258CD6F","url":""}</v>
      </c>
    </row>
    <row r="161" spans="1:5" ht="13.9" thickTop="1" thickBot="1" x14ac:dyDescent="0.4">
      <c r="A161" s="3" t="str">
        <f>NodesData[[#This Row],[Common Name]]</f>
        <v>ESSO</v>
      </c>
      <c r="B161" s="3" t="str">
        <f>IF(NodesData[[#This Row],[Context Instanciation]]="","",NodesData[[#This Row],[Context Instanciation]])</f>
        <v/>
      </c>
      <c r="C161" s="22" t="str">
        <f>NodesData[[#This Row],[Node ID]]</f>
        <v>nB81C8B35_F18D_45DB_BF0B_52A7F64CFDB9</v>
      </c>
      <c r="D161" s="10" t="s">
        <v>780</v>
      </c>
      <c r="E161" s="25" t="str" cm="1">
        <f t="array" ref="E161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Excessive Privilege Abuse</v>
      </c>
      <c r="B162" s="3" t="str">
        <f>IF(NodesData[[#This Row],[Context Instanciation]]="","",NodesData[[#This Row],[Context Instanciation]])</f>
        <v/>
      </c>
      <c r="C162" s="22" t="str">
        <f>NodesData[[#This Row],[Node ID]]</f>
        <v>n606F27DD_7057_4C49_BC05_BD18E6E8BCAE</v>
      </c>
      <c r="D162" s="10" t="s">
        <v>782</v>
      </c>
      <c r="E162" s="25" t="str" cm="1">
        <f t="array" ref="E162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Expanded Password System</v>
      </c>
      <c r="B163" s="3" t="str">
        <f>IF(NodesData[[#This Row],[Context Instanciation]]="","",NodesData[[#This Row],[Context Instanciation]])</f>
        <v/>
      </c>
      <c r="C163" s="22" t="str">
        <f>NodesData[[#This Row],[Node ID]]</f>
        <v>nF9F63BDF_0C15_417E_9C40_9CFAF09A44FE</v>
      </c>
      <c r="D163" s="10" t="s">
        <v>784</v>
      </c>
      <c r="E163" s="25" t="str" cm="1">
        <f t="array" ref="E163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Exploited Identity</v>
      </c>
      <c r="B164" s="3" t="str">
        <f>IF(NodesData[[#This Row],[Context Instanciation]]="","",NodesData[[#This Row],[Context Instanciation]])</f>
        <v/>
      </c>
      <c r="C164" s="22" t="str">
        <f>NodesData[[#This Row],[Node ID]]</f>
        <v>n84A25376_673B_437D_A0B8_E206A3A557A1</v>
      </c>
      <c r="D164" s="10" t="s">
        <v>786</v>
      </c>
      <c r="E164" s="25" t="str" cm="1">
        <f t="array" ref="E164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Extended Enterprise</v>
      </c>
      <c r="B165" s="3" t="str">
        <f>IF(NodesData[[#This Row],[Context Instanciation]]="","",NodesData[[#This Row],[Context Instanciation]])</f>
        <v/>
      </c>
      <c r="C165" s="22" t="str">
        <f>NodesData[[#This Row],[Node ID]]</f>
        <v>n59206519_5BB4_4BDF_BF6E_C333745B95BB</v>
      </c>
      <c r="D165" s="10" t="s">
        <v>788</v>
      </c>
      <c r="E165" s="25" t="str" cm="1">
        <f t="array" ref="E165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Extensible Access Control Markup Language</v>
      </c>
      <c r="B166" s="3" t="str">
        <f>IF(NodesData[[#This Row],[Context Instanciation]]="","",NodesData[[#This Row],[Context Instanciation]])</f>
        <v/>
      </c>
      <c r="C166" s="22" t="str">
        <f>NodesData[[#This Row],[Node ID]]</f>
        <v>n9D4266BF_D624_4D96_974A_C169D11071F2</v>
      </c>
      <c r="D166" s="10" t="s">
        <v>789</v>
      </c>
      <c r="E166" s="25" t="str" cm="1">
        <f t="array" ref="E166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External Threat Agent</v>
      </c>
      <c r="B167" s="3" t="str">
        <f>IF(NodesData[[#This Row],[Context Instanciation]]="","",NodesData[[#This Row],[Context Instanciation]])</f>
        <v/>
      </c>
      <c r="C167" s="22" t="str">
        <f>NodesData[[#This Row],[Node ID]]</f>
        <v>n1546AAB1_79BC_427B_AC2C_31B1E8FA4616</v>
      </c>
      <c r="D167" s="4"/>
      <c r="E167" s="25" t="str" cm="1">
        <f t="array" ref="E167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Agent","group":"","id":"n1546AAB1_79BC_427B_AC2C_31B1E8FA4616","url":""}</v>
      </c>
    </row>
    <row r="168" spans="1:5" ht="13.9" thickTop="1" thickBot="1" x14ac:dyDescent="0.4">
      <c r="A168" s="3" t="str">
        <f>NodesData[[#This Row],[Common Name]]</f>
        <v>Facial Recognition Authentication</v>
      </c>
      <c r="B168" s="3" t="str">
        <f>IF(NodesData[[#This Row],[Context Instanciation]]="","",NodesData[[#This Row],[Context Instanciation]])</f>
        <v/>
      </c>
      <c r="C168" s="22" t="str">
        <f>NodesData[[#This Row],[Node ID]]</f>
        <v>nA4759A9D_95C0_47CA_B519_8CEF217B2F74</v>
      </c>
      <c r="D168" s="10" t="s">
        <v>791</v>
      </c>
      <c r="E168" s="25" t="str" cm="1">
        <f t="array" ref="E168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Fake Digital Identity</v>
      </c>
      <c r="B169" s="3" t="str">
        <f>IF(NodesData[[#This Row],[Context Instanciation]]="","",NodesData[[#This Row],[Context Instanciation]])</f>
        <v/>
      </c>
      <c r="C169" s="22" t="str">
        <f>NodesData[[#This Row],[Node ID]]</f>
        <v>n553E3D82_733E_45F2_B9EC_3768F51696D9</v>
      </c>
      <c r="D169" s="10" t="s">
        <v>793</v>
      </c>
      <c r="E169" s="25" t="str" cm="1">
        <f t="array" ref="E169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FAPI</v>
      </c>
      <c r="B170" s="3" t="str">
        <f>IF(NodesData[[#This Row],[Context Instanciation]]="","",NodesData[[#This Row],[Context Instanciation]])</f>
        <v/>
      </c>
      <c r="C170" s="22" t="str">
        <f>NodesData[[#This Row],[Node ID]]</f>
        <v>nFB67A715_39E8_48D0_B1F1_AE50FDB72B9F</v>
      </c>
      <c r="D170" s="4"/>
      <c r="E170" s="25" t="str" cm="1">
        <f t="array" ref="E170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,{"label":"FAPI","group":"","id":"nFB67A715_39E8_48D0_B1F1_AE50FDB72B9F","url":""}</v>
      </c>
    </row>
    <row r="171" spans="1:5" ht="13.9" thickTop="1" thickBot="1" x14ac:dyDescent="0.4">
      <c r="A171" s="3" t="str">
        <f>NodesData[[#This Row],[Common Name]]</f>
        <v>Federated Identity Management</v>
      </c>
      <c r="B171" s="3" t="str">
        <f>IF(NodesData[[#This Row],[Context Instanciation]]="","",NodesData[[#This Row],[Context Instanciation]])</f>
        <v/>
      </c>
      <c r="C171" s="22" t="str">
        <f>NodesData[[#This Row],[Node ID]]</f>
        <v>n8300F70D_DC84_420B_90D6_F00C4D874F30</v>
      </c>
      <c r="D171" s="4"/>
      <c r="E171" s="25" t="str" cm="1">
        <f t="array" ref="E171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2" spans="1:5" ht="13.9" thickTop="1" thickBot="1" x14ac:dyDescent="0.4">
      <c r="A172" s="3" t="str">
        <f>NodesData[[#This Row],[Common Name]]</f>
        <v>Federated Identity Management System</v>
      </c>
      <c r="B172" s="3" t="str">
        <f>IF(NodesData[[#This Row],[Context Instanciation]]="","",NodesData[[#This Row],[Context Instanciation]])</f>
        <v/>
      </c>
      <c r="C172" s="22" t="str">
        <f>NodesData[[#This Row],[Node ID]]</f>
        <v>nB2F055B2_845D_45D7_A034_0DE4107D299F</v>
      </c>
      <c r="D172" s="4"/>
      <c r="E172" s="25" t="str" cm="1">
        <f t="array" ref="E172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System","group":"","id":"nB2F055B2_845D_45D7_A034_0DE4107D299F","url":""}</v>
      </c>
    </row>
    <row r="173" spans="1:5" ht="13.9" thickTop="1" thickBot="1" x14ac:dyDescent="0.4">
      <c r="A173" s="3" t="str">
        <f>NodesData[[#This Row],[Common Name]]</f>
        <v>Federated SSO</v>
      </c>
      <c r="B173" s="3" t="str">
        <f>IF(NodesData[[#This Row],[Context Instanciation]]="","",NodesData[[#This Row],[Context Instanciation]])</f>
        <v/>
      </c>
      <c r="C173" s="22" t="str">
        <f>NodesData[[#This Row],[Node ID]]</f>
        <v>n74954D1A_7A80_4122_B782_01D5A8EB539E</v>
      </c>
      <c r="D173" s="10" t="s">
        <v>795</v>
      </c>
      <c r="E173" s="25" t="str" cm="1">
        <f t="array" ref="E173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Federation Bridge</v>
      </c>
      <c r="B174" s="3" t="str">
        <f>IF(NodesData[[#This Row],[Context Instanciation]]="","",NodesData[[#This Row],[Context Instanciation]])</f>
        <v/>
      </c>
      <c r="C174" s="22" t="str">
        <f>NodesData[[#This Row],[Node ID]]</f>
        <v>nDD4D0EA3_423E_4998_B182_34DD6C3BE9A8</v>
      </c>
      <c r="D174" s="8"/>
      <c r="E174" s="25" t="str" cm="1">
        <f t="array" ref="E174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Bridge","group":"","id":"nDD4D0EA3_423E_4998_B182_34DD6C3BE9A8","url":""}</v>
      </c>
    </row>
    <row r="175" spans="1:5" ht="13.9" thickTop="1" thickBot="1" x14ac:dyDescent="0.4">
      <c r="A175" s="3" t="str">
        <f>NodesData[[#This Row],[Common Name]]</f>
        <v>FIM</v>
      </c>
      <c r="B175" s="3" t="str">
        <f>IF(NodesData[[#This Row],[Context Instanciation]]="","",NodesData[[#This Row],[Context Instanciation]])</f>
        <v/>
      </c>
      <c r="C175" s="22" t="str">
        <f>NodesData[[#This Row],[Node ID]]</f>
        <v>nC7FE17A9_7896_460F_B18F_651313DE938B</v>
      </c>
      <c r="D175" s="4"/>
      <c r="E175" s="25" t="str" cm="1">
        <f t="array" ref="E175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,{"label":"FIM","group":"","id":"nC7FE17A9_7896_460F_B18F_651313DE938B","url":""}</v>
      </c>
    </row>
    <row r="176" spans="1:5" ht="13.9" thickTop="1" thickBot="1" x14ac:dyDescent="0.4">
      <c r="A176" s="3" t="str">
        <f>NodesData[[#This Row],[Common Name]]</f>
        <v>Financial Gain</v>
      </c>
      <c r="B176" s="3" t="str">
        <f>IF(NodesData[[#This Row],[Context Instanciation]]="","",NodesData[[#This Row],[Context Instanciation]])</f>
        <v/>
      </c>
      <c r="C176" s="22" t="str">
        <f>NodesData[[#This Row],[Node ID]]</f>
        <v>n52564682_5FAD_48CB_A320_6CFE17950D03</v>
      </c>
      <c r="D176" s="10" t="s">
        <v>797</v>
      </c>
      <c r="E176" s="25" t="str" cm="1">
        <f t="array" ref="E176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Financial-grade API</v>
      </c>
      <c r="B177" s="3" t="str">
        <f>IF(NodesData[[#This Row],[Context Instanciation]]="","",NodesData[[#This Row],[Context Instanciation]])</f>
        <v/>
      </c>
      <c r="C177" s="22" t="str">
        <f>NodesData[[#This Row],[Node ID]]</f>
        <v>n7ED0A0F0_C8C5_4D50_B320_7841B6D641DC</v>
      </c>
      <c r="D177" s="10" t="s">
        <v>799</v>
      </c>
      <c r="E177" s="25" t="str" cm="1">
        <f t="array" ref="E177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Fingerprint Recognition Authentication</v>
      </c>
      <c r="B178" s="3" t="str">
        <f>IF(NodesData[[#This Row],[Context Instanciation]]="","",NodesData[[#This Row],[Context Instanciation]])</f>
        <v/>
      </c>
      <c r="C178" s="22" t="str">
        <f>NodesData[[#This Row],[Node ID]]</f>
        <v>nAACCE65E_6554_4FBD_B4D7_A3BA8E3BDB92</v>
      </c>
      <c r="D178" s="10" t="s">
        <v>801</v>
      </c>
      <c r="E178" s="25" t="str" cm="1">
        <f t="array" ref="E178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FinTech</v>
      </c>
      <c r="B179" s="3" t="str">
        <f>IF(NodesData[[#This Row],[Context Instanciation]]="","",NodesData[[#This Row],[Context Instanciation]])</f>
        <v/>
      </c>
      <c r="C179" s="22" t="str">
        <f>NodesData[[#This Row],[Node ID]]</f>
        <v>n24C70F4C_4BF0_490D_B57B_FE1D78BCC3DF</v>
      </c>
      <c r="D179" s="10" t="s">
        <v>802</v>
      </c>
      <c r="E179" s="25" t="str" cm="1">
        <f t="array" ref="E179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Flexibility</v>
      </c>
      <c r="B180" s="3" t="str">
        <f>IF(NodesData[[#This Row],[Context Instanciation]]="","",NodesData[[#This Row],[Context Instanciation]])</f>
        <v/>
      </c>
      <c r="C180" s="22" t="str">
        <f>NodesData[[#This Row],[Node ID]]</f>
        <v>nC4DC482E_7938_4C4B_B8F7_24B6E883D324</v>
      </c>
      <c r="D180" s="10" t="s">
        <v>803</v>
      </c>
      <c r="E180" s="25" t="str" cm="1">
        <f t="array" ref="E180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Flow Analysis</v>
      </c>
      <c r="B181" s="3" t="str">
        <f>IF(NodesData[[#This Row],[Context Instanciation]]="","",NodesData[[#This Row],[Context Instanciation]])</f>
        <v/>
      </c>
      <c r="C181" s="22" t="str">
        <f>NodesData[[#This Row],[Node ID]]</f>
        <v>n37CDF385_8395_4EBE_AD68_6B887D23D64B</v>
      </c>
      <c r="D181" s="10" t="s">
        <v>805</v>
      </c>
      <c r="E181" s="25" t="str" cm="1">
        <f t="array" ref="E181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Forged Identity</v>
      </c>
      <c r="B182" s="3" t="str">
        <f>IF(NodesData[[#This Row],[Context Instanciation]]="","",NodesData[[#This Row],[Context Instanciation]])</f>
        <v/>
      </c>
      <c r="C182" s="22" t="str">
        <f>NodesData[[#This Row],[Node ID]]</f>
        <v>n958F4918_D853_4DF1_A3CD_255CE2FA5AD2</v>
      </c>
      <c r="D182" s="10" t="s">
        <v>807</v>
      </c>
      <c r="E182" s="25" t="str" cm="1">
        <f t="array" ref="E182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Formal Verification</v>
      </c>
      <c r="B183" s="3" t="str">
        <f>IF(NodesData[[#This Row],[Context Instanciation]]="","",NodesData[[#This Row],[Context Instanciation]])</f>
        <v/>
      </c>
      <c r="C183" s="22" t="str">
        <f>NodesData[[#This Row],[Node ID]]</f>
        <v>nFEC9BD6E_999E_4253_A00A_CDCD708BCD59</v>
      </c>
      <c r="D183" s="10" t="s">
        <v>809</v>
      </c>
      <c r="E183" s="25" t="str" cm="1">
        <f t="array" ref="E183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Foundational Identification System</v>
      </c>
      <c r="B184" s="3" t="str">
        <f>IF(NodesData[[#This Row],[Context Instanciation]]="","",NodesData[[#This Row],[Context Instanciation]])</f>
        <v/>
      </c>
      <c r="C184" s="22" t="str">
        <f>NodesData[[#This Row],[Node ID]]</f>
        <v>n57922764_7F8B_43B4_9441_59AC52F06D1B</v>
      </c>
      <c r="D184" s="10" t="s">
        <v>811</v>
      </c>
      <c r="E184" s="25" t="str" cm="1">
        <f t="array" ref="E184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Front-end Authentication</v>
      </c>
      <c r="B185" s="3" t="str">
        <f>IF(NodesData[[#This Row],[Context Instanciation]]="","",NodesData[[#This Row],[Context Instanciation]])</f>
        <v/>
      </c>
      <c r="C185" s="22" t="str">
        <f>NodesData[[#This Row],[Node ID]]</f>
        <v>nA316CFA4_7E99_428D_92EE_4261D71E8D69</v>
      </c>
      <c r="D185" s="10" t="s">
        <v>813</v>
      </c>
      <c r="E185" s="25" t="str" cm="1">
        <f t="array" ref="E185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Functional Identification System</v>
      </c>
      <c r="B186" s="3" t="str">
        <f>IF(NodesData[[#This Row],[Context Instanciation]]="","",NodesData[[#This Row],[Context Instanciation]])</f>
        <v/>
      </c>
      <c r="C186" s="22" t="str">
        <f>NodesData[[#This Row],[Node ID]]</f>
        <v>n38A1520C_9EE3_4410_BDCE_EF269F09EC11</v>
      </c>
      <c r="D186" s="10" t="s">
        <v>815</v>
      </c>
      <c r="E186" s="25" t="str" cm="1">
        <f t="array" ref="E186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Functional System</v>
      </c>
      <c r="B187" s="3" t="str">
        <f>IF(NodesData[[#This Row],[Context Instanciation]]="","",NodesData[[#This Row],[Context Instanciation]])</f>
        <v/>
      </c>
      <c r="C187" s="22" t="str">
        <f>NodesData[[#This Row],[Node ID]]</f>
        <v>n053A92F1_5083_4E3C_8C99_65FB345EE29F</v>
      </c>
      <c r="D187" s="10" t="s">
        <v>817</v>
      </c>
      <c r="E187" s="25" t="str" cm="1">
        <f t="array" ref="E187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Gait Recognition Authentication</v>
      </c>
      <c r="B188" s="3" t="str">
        <f>IF(NodesData[[#This Row],[Context Instanciation]]="","",NodesData[[#This Row],[Context Instanciation]])</f>
        <v/>
      </c>
      <c r="C188" s="22" t="str">
        <f>NodesData[[#This Row],[Node ID]]</f>
        <v>nF5B3A52F_6645_4E18_BE53_3CA330AAEC4A</v>
      </c>
      <c r="D188" s="10" t="s">
        <v>819</v>
      </c>
      <c r="E188" s="25" t="str" cm="1">
        <f t="array" ref="E188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Geo-localization Authentication</v>
      </c>
      <c r="B189" s="3" t="str">
        <f>IF(NodesData[[#This Row],[Context Instanciation]]="","",NodesData[[#This Row],[Context Instanciation]])</f>
        <v/>
      </c>
      <c r="C189" s="22" t="str">
        <f>NodesData[[#This Row],[Node ID]]</f>
        <v>nFA8764B3_A099_4BC5_A496_69DDA8F0CAC5</v>
      </c>
      <c r="D189" s="10" t="s">
        <v>820</v>
      </c>
      <c r="E189" s="25" t="str" cm="1">
        <f t="array" ref="E189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Graphical Password-Based Authentication</v>
      </c>
      <c r="B190" s="3" t="str">
        <f>IF(NodesData[[#This Row],[Context Instanciation]]="","",NodesData[[#This Row],[Context Instanciation]])</f>
        <v/>
      </c>
      <c r="C190" s="22" t="str">
        <f>NodesData[[#This Row],[Node ID]]</f>
        <v>nBEC4F328_7640_4005_B2B5_DE2C74B06CE0</v>
      </c>
      <c r="D190" s="10" t="s">
        <v>822</v>
      </c>
      <c r="E190" s="25" t="str" cm="1">
        <f t="array" ref="E190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Guest Account</v>
      </c>
      <c r="B191" s="3" t="str">
        <f>IF(NodesData[[#This Row],[Context Instanciation]]="","",NodesData[[#This Row],[Context Instanciation]])</f>
        <v/>
      </c>
      <c r="C191" s="22" t="str">
        <f>NodesData[[#This Row],[Node ID]]</f>
        <v>nE943B166_DDA1_4E51_8018_B658EF2F6050</v>
      </c>
      <c r="D191" s="10" t="s">
        <v>823</v>
      </c>
      <c r="E191" s="25" t="str" cm="1">
        <f t="array" ref="E191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Hand Gestures Recognition Authentication</v>
      </c>
      <c r="B192" s="3" t="str">
        <f>IF(NodesData[[#This Row],[Context Instanciation]]="","",NodesData[[#This Row],[Context Instanciation]])</f>
        <v/>
      </c>
      <c r="C192" s="22" t="str">
        <f>NodesData[[#This Row],[Node ID]]</f>
        <v>nE75296C8_9CA1_417E_B05B_CC1BDF26F9C3</v>
      </c>
      <c r="D192" s="10" t="s">
        <v>824</v>
      </c>
      <c r="E192" s="25" t="str" cm="1">
        <f t="array" ref="E192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Heartbeats Recognition Authentication</v>
      </c>
      <c r="B193" s="3" t="str">
        <f>IF(NodesData[[#This Row],[Context Instanciation]]="","",NodesData[[#This Row],[Context Instanciation]])</f>
        <v/>
      </c>
      <c r="C193" s="22" t="str">
        <f>NodesData[[#This Row],[Node ID]]</f>
        <v>n3E35442D_91A0_4B21_B0FC_31EF1D8BC55F</v>
      </c>
      <c r="D193" s="10" t="s">
        <v>825</v>
      </c>
      <c r="E193" s="25" t="str" cm="1">
        <f t="array" ref="E193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High Water Mark Principle</v>
      </c>
      <c r="B194" s="3" t="str">
        <f>IF(NodesData[[#This Row],[Context Instanciation]]="","",NodesData[[#This Row],[Context Instanciation]])</f>
        <v/>
      </c>
      <c r="C194" s="22" t="str">
        <f>NodesData[[#This Row],[Node ID]]</f>
        <v>n7457AC3C_F0BA_459B_9A5D_91BA732BAF2F</v>
      </c>
      <c r="D194" s="10" t="s">
        <v>848</v>
      </c>
      <c r="E194" s="25" t="str" cm="1">
        <f t="array" ref="E194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Human Error</v>
      </c>
      <c r="B195" s="3" t="str">
        <f>IF(NodesData[[#This Row],[Context Instanciation]]="","",NodesData[[#This Row],[Context Instanciation]])</f>
        <v/>
      </c>
      <c r="C195" s="22" t="str">
        <f>NodesData[[#This Row],[Node ID]]</f>
        <v>nDB531138_5CD4_4604_965F_9676F4CF6D57</v>
      </c>
      <c r="D195" s="10" t="s">
        <v>826</v>
      </c>
      <c r="E195" s="25" t="str" cm="1">
        <f t="array" ref="E195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Human Reliability</v>
      </c>
      <c r="B196" s="3" t="str">
        <f>IF(NodesData[[#This Row],[Context Instanciation]]="","",NodesData[[#This Row],[Context Instanciation]])</f>
        <v/>
      </c>
      <c r="C196" s="22" t="str">
        <f>NodesData[[#This Row],[Node ID]]</f>
        <v>n2C274975_7B46_4E24_8A70_7B0858D9811F</v>
      </c>
      <c r="D196" s="10" t="s">
        <v>828</v>
      </c>
      <c r="E196" s="25" t="str" cm="1">
        <f t="array" ref="E196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IAG</v>
      </c>
      <c r="B197" s="3" t="str">
        <f>IF(NodesData[[#This Row],[Context Instanciation]]="","",NodesData[[#This Row],[Context Instanciation]])</f>
        <v/>
      </c>
      <c r="C197" s="22" t="str">
        <f>NodesData[[#This Row],[Node ID]]</f>
        <v>nE137080A_673D_49B5_B79E_E40DCA00457A</v>
      </c>
      <c r="D197" s="10" t="s">
        <v>850</v>
      </c>
      <c r="E197" s="25" t="str" cm="1">
        <f t="array" ref="E197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IAM ARN</v>
      </c>
      <c r="B198" s="3" t="str">
        <f>IF(NodesData[[#This Row],[Context Instanciation]]="","",NodesData[[#This Row],[Context Instanciation]])</f>
        <v/>
      </c>
      <c r="C198" s="22" t="str">
        <f>NodesData[[#This Row],[Node ID]]</f>
        <v>nD20859BA_5BFA_4068_B1B8_4E74C6744811</v>
      </c>
      <c r="D198" s="10" t="s">
        <v>829</v>
      </c>
      <c r="E198" s="25" t="str" cm="1">
        <f t="array" ref="E198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IAM Management</v>
      </c>
      <c r="B199" s="3" t="str">
        <f>IF(NodesData[[#This Row],[Context Instanciation]]="","",NodesData[[#This Row],[Context Instanciation]])</f>
        <v/>
      </c>
      <c r="C199" s="22" t="str">
        <f>NodesData[[#This Row],[Node ID]]</f>
        <v>n4D07384C_221F_41CD_941F_F0FD865EE0EB</v>
      </c>
      <c r="D199" s="10" t="s">
        <v>830</v>
      </c>
      <c r="E199" s="25" t="str" cm="1">
        <f t="array" ref="E199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IAM</v>
      </c>
      <c r="B200" s="3" t="str">
        <f>IF(NodesData[[#This Row],[Context Instanciation]]="","",NodesData[[#This Row],[Context Instanciation]])</f>
        <v/>
      </c>
      <c r="C200" s="22" t="str">
        <f>NodesData[[#This Row],[Node ID]]</f>
        <v>n9E70E20F_8AC9_4A48_83FE_BA2E942E7C88</v>
      </c>
      <c r="D200" s="10" t="s">
        <v>831</v>
      </c>
      <c r="E200" s="25" t="str" cm="1">
        <f t="array" ref="E200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IAP</v>
      </c>
      <c r="B201" s="3" t="str">
        <f>IF(NodesData[[#This Row],[Context Instanciation]]="","",NodesData[[#This Row],[Context Instanciation]])</f>
        <v/>
      </c>
      <c r="C201" s="22" t="str">
        <f>NodesData[[#This Row],[Node ID]]</f>
        <v>nA093745B_C215_44C5_9618_075099F0D7DA</v>
      </c>
      <c r="D201" s="10" t="s">
        <v>833</v>
      </c>
      <c r="E201" s="25" t="str" cm="1">
        <f t="array" ref="E201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IDaaS</v>
      </c>
      <c r="B202" s="3" t="str">
        <f>IF(NodesData[[#This Row],[Context Instanciation]]="","",NodesData[[#This Row],[Context Instanciation]])</f>
        <v/>
      </c>
      <c r="C202" s="22" t="str">
        <f>NodesData[[#This Row],[Node ID]]</f>
        <v>nDCAD400F_962A_4D5B_A523_07C3D5D11C2F</v>
      </c>
      <c r="D202" s="10" t="s">
        <v>835</v>
      </c>
      <c r="E202" s="25" t="str" cm="1">
        <f t="array" ref="E202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Ideal Type</v>
      </c>
      <c r="B203" s="3" t="str">
        <f>IF(NodesData[[#This Row],[Context Instanciation]]="","",NodesData[[#This Row],[Context Instanciation]])</f>
        <v/>
      </c>
      <c r="C203" s="22" t="str">
        <f>NodesData[[#This Row],[Node ID]]</f>
        <v>n36ADA97B_45B1_4B3E_9BB8_5ED9EE8FFF07</v>
      </c>
      <c r="D203" s="10" t="s">
        <v>837</v>
      </c>
      <c r="E203" s="25" t="str" cm="1">
        <f t="array" ref="E203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Identification</v>
      </c>
      <c r="B204" s="3" t="str">
        <f>IF(NodesData[[#This Row],[Context Instanciation]]="","",NodesData[[#This Row],[Context Instanciation]])</f>
        <v/>
      </c>
      <c r="C204" s="22" t="str">
        <f>NodesData[[#This Row],[Node ID]]</f>
        <v>nDE675697_10CB_42A7_971F_C62CCDC742AB</v>
      </c>
      <c r="D204" s="10" t="s">
        <v>838</v>
      </c>
      <c r="E204" s="25" t="str" cm="1">
        <f t="array" ref="E204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Identification System</v>
      </c>
      <c r="B205" s="3" t="str">
        <f>IF(NodesData[[#This Row],[Context Instanciation]]="","",NodesData[[#This Row],[Context Instanciation]])</f>
        <v/>
      </c>
      <c r="C205" s="22" t="str">
        <f>NodesData[[#This Row],[Node ID]]</f>
        <v>n07633555_1CF5_4F31_8EB2_BF5AE15BFE5B</v>
      </c>
      <c r="D205" s="10" t="s">
        <v>840</v>
      </c>
      <c r="E205" s="25" t="str" cm="1">
        <f t="array" ref="E205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Identifier</v>
      </c>
      <c r="B206" s="3" t="str">
        <f>IF(NodesData[[#This Row],[Context Instanciation]]="","",NodesData[[#This Row],[Context Instanciation]])</f>
        <v/>
      </c>
      <c r="C206" s="22" t="str">
        <f>NodesData[[#This Row],[Node ID]]</f>
        <v>n12D825BF_1AD6_45DA_A3EE_F24F0C494771</v>
      </c>
      <c r="D206" s="10" t="s">
        <v>842</v>
      </c>
      <c r="E206" s="25" t="str" cm="1">
        <f t="array" ref="E206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Identifier Registry Model</v>
      </c>
      <c r="B207" s="3" t="str">
        <f>IF(NodesData[[#This Row],[Context Instanciation]]="","",NodesData[[#This Row],[Context Instanciation]])</f>
        <v/>
      </c>
      <c r="C207" s="22" t="str">
        <f>NodesData[[#This Row],[Node ID]]</f>
        <v>n1A14A6FB_7322_4971_AD06_EE6FE1DBEF85</v>
      </c>
      <c r="D207" s="10" t="s">
        <v>844</v>
      </c>
      <c r="E207" s="25" t="str" cm="1">
        <f t="array" ref="E207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Identity</v>
      </c>
      <c r="B208" s="3" t="str">
        <f>IF(NodesData[[#This Row],[Context Instanciation]]="","",NodesData[[#This Row],[Context Instanciation]])</f>
        <v/>
      </c>
      <c r="C208" s="22" t="str">
        <f>NodesData[[#This Row],[Node ID]]</f>
        <v>n5D6597B4_7390_4065_87F6_BFCDCE5625EB</v>
      </c>
      <c r="D208" s="10" t="s">
        <v>846</v>
      </c>
      <c r="E208" s="25" t="str" cm="1">
        <f t="array" ref="E208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Identity Aggregation</v>
      </c>
      <c r="B209" s="3" t="str">
        <f>IF(NodesData[[#This Row],[Context Instanciation]]="","",NodesData[[#This Row],[Context Instanciation]])</f>
        <v/>
      </c>
      <c r="C209" s="22" t="str">
        <f>NodesData[[#This Row],[Node ID]]</f>
        <v>n5FE194E6_55B4_4F11_8A29_041408582E45</v>
      </c>
      <c r="D209" s="10" t="s">
        <v>852</v>
      </c>
      <c r="E209" s="25" t="str" cm="1">
        <f t="array" ref="E209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Identity and Access Governance</v>
      </c>
      <c r="B210" s="3" t="str">
        <f>IF(NodesData[[#This Row],[Context Instanciation]]="","",NodesData[[#This Row],[Context Instanciation]])</f>
        <v/>
      </c>
      <c r="C210" s="22" t="str">
        <f>NodesData[[#This Row],[Node ID]]</f>
        <v>nAC531F4A_1CDD_4F70_94C5_8473E1965EEA</v>
      </c>
      <c r="D210" s="10" t="s">
        <v>854</v>
      </c>
      <c r="E210" s="25" t="str" cm="1">
        <f t="array" ref="E210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 and Access Management</v>
      </c>
      <c r="B211" s="3" t="str">
        <f>IF(NodesData[[#This Row],[Context Instanciation]]="","",NodesData[[#This Row],[Context Instanciation]])</f>
        <v/>
      </c>
      <c r="C211" s="22" t="str">
        <f>NodesData[[#This Row],[Node ID]]</f>
        <v>n95B65CD1_4E0F_4180_9C1E_3B497411E687</v>
      </c>
      <c r="D211" s="10" t="s">
        <v>856</v>
      </c>
      <c r="E211" s="25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Assurance</v>
      </c>
      <c r="B212" s="3" t="str">
        <f>IF(NodesData[[#This Row],[Context Instanciation]]="","",NodesData[[#This Row],[Context Instanciation]])</f>
        <v/>
      </c>
      <c r="C212" s="22" t="str">
        <f>NodesData[[#This Row],[Node ID]]</f>
        <v>n63259FD4_267B_439E_81C4_0877FBB2B1F4</v>
      </c>
      <c r="D212" s="10" t="s">
        <v>858</v>
      </c>
      <c r="E212" s="25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Attribute</v>
      </c>
      <c r="B213" s="3" t="str">
        <f>IF(NodesData[[#This Row],[Context Instanciation]]="","",NodesData[[#This Row],[Context Instanciation]])</f>
        <v/>
      </c>
      <c r="C213" s="22" t="str">
        <f>NodesData[[#This Row],[Node ID]]</f>
        <v>n2D781A60_CB81_46E7_B4BE_BFEC7B061FE5</v>
      </c>
      <c r="D213" s="4"/>
      <c r="E213" s="25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Attribute","group":"","id":"n2D781A60_CB81_46E7_B4BE_BFEC7B061FE5","url":""}</v>
      </c>
    </row>
    <row r="214" spans="1:5" ht="13.9" thickTop="1" thickBot="1" x14ac:dyDescent="0.4">
      <c r="A214" s="3" t="str">
        <f>NodesData[[#This Row],[Common Name]]</f>
        <v>Identity Deception</v>
      </c>
      <c r="B214" s="3" t="str">
        <f>IF(NodesData[[#This Row],[Context Instanciation]]="","",NodesData[[#This Row],[Context Instanciation]])</f>
        <v/>
      </c>
      <c r="C214" s="22" t="str">
        <f>NodesData[[#This Row],[Node ID]]</f>
        <v>nC0AF8721_A868_4A4D_9F85_3A6D9B88B489</v>
      </c>
      <c r="D214" s="10" t="s">
        <v>860</v>
      </c>
      <c r="E214" s="25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Establishment</v>
      </c>
      <c r="B215" s="3" t="str">
        <f>IF(NodesData[[#This Row],[Context Instanciation]]="","",NodesData[[#This Row],[Context Instanciation]])</f>
        <v/>
      </c>
      <c r="C215" s="22" t="str">
        <f>NodesData[[#This Row],[Node ID]]</f>
        <v>nDE7DDB58_F055_42EF_B2D7_1F23FA251512</v>
      </c>
      <c r="D215" s="10" t="s">
        <v>862</v>
      </c>
      <c r="E215" s="25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Federation</v>
      </c>
      <c r="B216" s="3" t="str">
        <f>IF(NodesData[[#This Row],[Context Instanciation]]="","",NodesData[[#This Row],[Context Instanciation]])</f>
        <v/>
      </c>
      <c r="C216" s="22" t="str">
        <f>NodesData[[#This Row],[Node ID]]</f>
        <v>nA28C3DFF_EE9A_433F_8E87_6F1C3611654C</v>
      </c>
      <c r="D216" s="10" t="s">
        <v>864</v>
      </c>
      <c r="E216" s="25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Guardian</v>
      </c>
      <c r="B217" s="3" t="str">
        <f>IF(NodesData[[#This Row],[Context Instanciation]]="","",NodesData[[#This Row],[Context Instanciation]])</f>
        <v/>
      </c>
      <c r="C217" s="22" t="str">
        <f>NodesData[[#This Row],[Node ID]]</f>
        <v>n57BE0CB5_BAC2_4A6C_BB09_BA0710799A01</v>
      </c>
      <c r="D217" s="10" t="s">
        <v>866</v>
      </c>
      <c r="E217" s="25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Lifecycle</v>
      </c>
      <c r="B218" s="3" t="str">
        <f>IF(NodesData[[#This Row],[Context Instanciation]]="","",NodesData[[#This Row],[Context Instanciation]])</f>
        <v/>
      </c>
      <c r="C218" s="22" t="str">
        <f>NodesData[[#This Row],[Node ID]]</f>
        <v>n18B21D41_7371_42BA_AD55_EBF42E646C44</v>
      </c>
      <c r="D218" s="10" t="s">
        <v>868</v>
      </c>
      <c r="E218" s="25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Management</v>
      </c>
      <c r="B219" s="3" t="str">
        <f>IF(NodesData[[#This Row],[Context Instanciation]]="","",NodesData[[#This Row],[Context Instanciation]])</f>
        <v/>
      </c>
      <c r="C219" s="22" t="str">
        <f>NodesData[[#This Row],[Node ID]]</f>
        <v>nE76134B5_D4DF_454A_B8A9_6698D084CDB1</v>
      </c>
      <c r="D219" s="10" t="s">
        <v>869</v>
      </c>
      <c r="E219" s="25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Management System</v>
      </c>
      <c r="B220" s="3" t="str">
        <f>IF(NodesData[[#This Row],[Context Instanciation]]="","",NodesData[[#This Row],[Context Instanciation]])</f>
        <v/>
      </c>
      <c r="C220" s="22" t="str">
        <f>NodesData[[#This Row],[Node ID]]</f>
        <v>n3F575B2E_542A_4EE1_86A9_93DA3991C61D</v>
      </c>
      <c r="D220" s="10" t="s">
        <v>870</v>
      </c>
      <c r="E220" s="25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Portability</v>
      </c>
      <c r="B221" s="3" t="str">
        <f>IF(NodesData[[#This Row],[Context Instanciation]]="","",NodesData[[#This Row],[Context Instanciation]])</f>
        <v/>
      </c>
      <c r="C221" s="22" t="str">
        <f>NodesData[[#This Row],[Node ID]]</f>
        <v>nB826581E_8230_4CC8_9A14_B1F944C22935</v>
      </c>
      <c r="D221" s="3"/>
      <c r="E221" s="25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Portability","group":"","id":"nB826581E_8230_4CC8_9A14_B1F944C22935","url":""}</v>
      </c>
    </row>
    <row r="222" spans="1:5" ht="13.9" thickTop="1" thickBot="1" x14ac:dyDescent="0.4">
      <c r="A222" s="3" t="str">
        <f>NodesData[[#This Row],[Common Name]]</f>
        <v>Identity Proofing</v>
      </c>
      <c r="B222" s="3" t="str">
        <f>IF(NodesData[[#This Row],[Context Instanciation]]="","",NodesData[[#This Row],[Context Instanciation]])</f>
        <v/>
      </c>
      <c r="C222" s="22" t="str">
        <f>NodesData[[#This Row],[Node ID]]</f>
        <v>nA168EF24_837F_4964_BE44_E7CADDEC08AE</v>
      </c>
      <c r="D222" s="10" t="s">
        <v>871</v>
      </c>
      <c r="E222" s="25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Propagation</v>
      </c>
      <c r="B223" s="3" t="str">
        <f>IF(NodesData[[#This Row],[Context Instanciation]]="","",NodesData[[#This Row],[Context Instanciation]])</f>
        <v/>
      </c>
      <c r="C223" s="22" t="str">
        <f>NodesData[[#This Row],[Node ID]]</f>
        <v>n34461AB4_2CB5_4D9C_ACD7_11E6DB87C391</v>
      </c>
      <c r="D223" s="10" t="s">
        <v>872</v>
      </c>
      <c r="E223" s="25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Provider</v>
      </c>
      <c r="B224" s="3" t="str">
        <f>IF(NodesData[[#This Row],[Context Instanciation]]="","",NodesData[[#This Row],[Context Instanciation]])</f>
        <v/>
      </c>
      <c r="C224" s="22" t="str">
        <f>NodesData[[#This Row],[Node ID]]</f>
        <v>n5F66D728_84BD_4BB4_98BF_785C5DAD60D5</v>
      </c>
      <c r="D224" s="10" t="s">
        <v>873</v>
      </c>
      <c r="E224" s="25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Repository</v>
      </c>
      <c r="B225" s="3" t="str">
        <f>IF(NodesData[[#This Row],[Context Instanciation]]="","",NodesData[[#This Row],[Context Instanciation]])</f>
        <v/>
      </c>
      <c r="C225" s="22" t="str">
        <f>NodesData[[#This Row],[Node ID]]</f>
        <v>n168F06B1_8C97_4DA7_90D4_CC52279D2500</v>
      </c>
      <c r="D225" s="10" t="s">
        <v>874</v>
      </c>
      <c r="E225" s="25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Theft</v>
      </c>
      <c r="B226" s="3" t="str">
        <f>IF(NodesData[[#This Row],[Context Instanciation]]="","",NodesData[[#This Row],[Context Instanciation]])</f>
        <v/>
      </c>
      <c r="C226" s="22" t="str">
        <f>NodesData[[#This Row],[Node ID]]</f>
        <v>n23656C0A_A156_405F_9FF8_7AE62FD6FB07</v>
      </c>
      <c r="D226" s="10" t="s">
        <v>876</v>
      </c>
      <c r="E226" s="25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Identity-as-a-Service</v>
      </c>
      <c r="B227" s="3" t="str">
        <f>IF(NodesData[[#This Row],[Context Instanciation]]="","",NodesData[[#This Row],[Context Instanciation]])</f>
        <v/>
      </c>
      <c r="C227" s="22" t="str">
        <f>NodesData[[#This Row],[Node ID]]</f>
        <v>nE705445E_1259_48CD_9B7E_9243AD8DAA5B</v>
      </c>
      <c r="D227" s="10" t="s">
        <v>878</v>
      </c>
      <c r="E227" s="25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Identity-Aware Proxy</v>
      </c>
      <c r="B228" s="3" t="str">
        <f>IF(NodesData[[#This Row],[Context Instanciation]]="","",NodesData[[#This Row],[Context Instanciation]])</f>
        <v/>
      </c>
      <c r="C228" s="22" t="str">
        <f>NodesData[[#This Row],[Node ID]]</f>
        <v>n9AB3CC59_5E4C_4E34_BC2C_1596F01FC5F3</v>
      </c>
      <c r="D228" s="10" t="s">
        <v>880</v>
      </c>
      <c r="E228" s="25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IdMS</v>
      </c>
      <c r="B229" s="3" t="str">
        <f>IF(NodesData[[#This Row],[Context Instanciation]]="","",NodesData[[#This Row],[Context Instanciation]])</f>
        <v/>
      </c>
      <c r="C229" s="22" t="str">
        <f>NodesData[[#This Row],[Node ID]]</f>
        <v>n0625B885_15FF_4EC6_89B2_0542A53D54F0</v>
      </c>
      <c r="D229" s="10" t="s">
        <v>882</v>
      </c>
      <c r="E229" s="25" t="str" cm="1">
        <f t="array" ref="E229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IdP</v>
      </c>
      <c r="B230" s="3" t="str">
        <f>IF(NodesData[[#This Row],[Context Instanciation]]="","",NodesData[[#This Row],[Context Instanciation]])</f>
        <v/>
      </c>
      <c r="C230" s="22" t="str">
        <f>NodesData[[#This Row],[Node ID]]</f>
        <v>n6C8D27BA_3A49_456D_9605_33E2EBC545E0</v>
      </c>
      <c r="D230" s="10" t="s">
        <v>884</v>
      </c>
      <c r="E230" s="25" t="str" cm="1">
        <f t="array" ref="E230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Illegal Action</v>
      </c>
      <c r="B231" s="3" t="str">
        <f>IF(NodesData[[#This Row],[Context Instanciation]]="","",NodesData[[#This Row],[Context Instanciation]])</f>
        <v/>
      </c>
      <c r="C231" s="22" t="str">
        <f>NodesData[[#This Row],[Node ID]]</f>
        <v>nE0352234_7814_467F_8B8B_EF900BACC357</v>
      </c>
      <c r="D231" s="3"/>
      <c r="E231" s="25" t="str" cm="1">
        <f t="array" ref="E231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Action","group":"","id":"nE0352234_7814_467F_8B8B_EF900BACC357","url":""}</v>
      </c>
    </row>
    <row r="232" spans="1:5" ht="13.9" thickTop="1" thickBot="1" x14ac:dyDescent="0.4">
      <c r="A232" s="3" t="str">
        <f>NodesData[[#This Row],[Common Name]]</f>
        <v>IMG</v>
      </c>
      <c r="B232" s="3" t="str">
        <f>IF(NodesData[[#This Row],[Context Instanciation]]="","",NodesData[[#This Row],[Context Instanciation]])</f>
        <v/>
      </c>
      <c r="C232" s="22" t="str">
        <f>NodesData[[#This Row],[Node ID]]</f>
        <v>nC513AF63_36CC_4FB7_911F_7E98C3C107B2</v>
      </c>
      <c r="D232" s="10" t="s">
        <v>886</v>
      </c>
      <c r="E232" s="25" t="str" cm="1">
        <f t="array" ref="E232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Impersonation</v>
      </c>
      <c r="B233" s="3" t="str">
        <f>IF(NodesData[[#This Row],[Context Instanciation]]="","",NodesData[[#This Row],[Context Instanciation]])</f>
        <v/>
      </c>
      <c r="C233" s="22" t="str">
        <f>NodesData[[#This Row],[Node ID]]</f>
        <v>nBE119251_3169_4F9E_A3A9_744A248EAAA6</v>
      </c>
      <c r="D233" s="10" t="s">
        <v>888</v>
      </c>
      <c r="E233" s="25" t="str" cm="1">
        <f t="array" ref="E233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In-band Authentication</v>
      </c>
      <c r="B234" s="3" t="str">
        <f>IF(NodesData[[#This Row],[Context Instanciation]]="","",NodesData[[#This Row],[Context Instanciation]])</f>
        <v/>
      </c>
      <c r="C234" s="22" t="str">
        <f>NodesData[[#This Row],[Node ID]]</f>
        <v>n4DC17AF9_0DFB_478B_B5A5_3463E37CAB92</v>
      </c>
      <c r="D234" s="10" t="s">
        <v>889</v>
      </c>
      <c r="E234" s="25" t="str" cm="1">
        <f t="array" ref="E234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Information</v>
      </c>
      <c r="B235" s="3" t="str">
        <f>IF(NodesData[[#This Row],[Context Instanciation]]="","",NodesData[[#This Row],[Context Instanciation]])</f>
        <v/>
      </c>
      <c r="C235" s="22" t="str">
        <f>NodesData[[#This Row],[Node ID]]</f>
        <v>n21D68DDF_6871_4E72_BC2D_303C40ED5E42</v>
      </c>
      <c r="D235" s="10" t="s">
        <v>891</v>
      </c>
      <c r="E235" s="25" t="str" cm="1">
        <f t="array" ref="E235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Information Asset</v>
      </c>
      <c r="B236" s="3" t="str">
        <f>IF(NodesData[[#This Row],[Context Instanciation]]="","",NodesData[[#This Row],[Context Instanciation]])</f>
        <v/>
      </c>
      <c r="C236" s="22" t="str">
        <f>NodesData[[#This Row],[Node ID]]</f>
        <v>n28E78E51_49BC_40D3_A073_5C152D095C48</v>
      </c>
      <c r="D236" s="10" t="s">
        <v>893</v>
      </c>
      <c r="E236" s="25" t="str" cm="1">
        <f t="array" ref="E236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Information Custodian</v>
      </c>
      <c r="B237" s="3" t="str">
        <f>IF(NodesData[[#This Row],[Context Instanciation]]="","",NodesData[[#This Row],[Context Instanciation]])</f>
        <v/>
      </c>
      <c r="C237" s="22" t="str">
        <f>NodesData[[#This Row],[Node ID]]</f>
        <v>n7FA93F24_5E66_4779_BA3D_3A073C96F04F</v>
      </c>
      <c r="D237" s="10" t="s">
        <v>895</v>
      </c>
      <c r="E237" s="25" t="str" cm="1">
        <f t="array" ref="E237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 Flow Policy</v>
      </c>
      <c r="B238" s="3" t="str">
        <f>IF(NodesData[[#This Row],[Context Instanciation]]="","",NodesData[[#This Row],[Context Instanciation]])</f>
        <v/>
      </c>
      <c r="C238" s="22" t="str">
        <f>NodesData[[#This Row],[Node ID]]</f>
        <v>n88A9AD71_624D_49D1_933C_A9F4498456BE</v>
      </c>
      <c r="D238" s="10" t="s">
        <v>897</v>
      </c>
      <c r="E238" s="25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Owner</v>
      </c>
      <c r="B239" s="3" t="str">
        <f>IF(NodesData[[#This Row],[Context Instanciation]]="","",NodesData[[#This Row],[Context Instanciation]])</f>
        <v/>
      </c>
      <c r="C239" s="22" t="str">
        <f>NodesData[[#This Row],[Node ID]]</f>
        <v>nAF966081_CDB0_45B3_BB9A_12F39BA05533</v>
      </c>
      <c r="D239" s="10" t="s">
        <v>899</v>
      </c>
      <c r="E239" s="25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Security Domain</v>
      </c>
      <c r="B240" s="3" t="str">
        <f>IF(NodesData[[#This Row],[Context Instanciation]]="","",NodesData[[#This Row],[Context Instanciation]])</f>
        <v/>
      </c>
      <c r="C240" s="22" t="str">
        <f>NodesData[[#This Row],[Node ID]]</f>
        <v>n9A6A0946_FAF0_4301_9CFA_1EAAAF6EFADF</v>
      </c>
      <c r="D240" s="10" t="s">
        <v>901</v>
      </c>
      <c r="E240" s="25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System</v>
      </c>
      <c r="B241" s="3" t="str">
        <f>IF(NodesData[[#This Row],[Context Instanciation]]="","",NodesData[[#This Row],[Context Instanciation]])</f>
        <v/>
      </c>
      <c r="C241" s="22" t="str">
        <f>NodesData[[#This Row],[Node ID]]</f>
        <v>nB0B5F503_B8FC_4496_972E_66927B58AF67</v>
      </c>
      <c r="D241" s="10" t="s">
        <v>903</v>
      </c>
      <c r="E241" s="25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Inherence Factor</v>
      </c>
      <c r="B242" s="3" t="str">
        <f>IF(NodesData[[#This Row],[Context Instanciation]]="","",NodesData[[#This Row],[Context Instanciation]])</f>
        <v/>
      </c>
      <c r="C242" s="22" t="str">
        <f>NodesData[[#This Row],[Node ID]]</f>
        <v>n99E2EC41_CA7B_41FD_8304_3926884533F9</v>
      </c>
      <c r="D242" s="10" t="s">
        <v>905</v>
      </c>
      <c r="E242" s="25" t="str" cm="1">
        <f t="array" ref="E242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Inside Attacker</v>
      </c>
      <c r="B243" s="3" t="str">
        <f>IF(NodesData[[#This Row],[Context Instanciation]]="","",NodesData[[#This Row],[Context Instanciation]])</f>
        <v/>
      </c>
      <c r="C243" s="22" t="str">
        <f>NodesData[[#This Row],[Node ID]]</f>
        <v>nE918EA94_ED3D_49AA_8C98_9382D56885C2</v>
      </c>
      <c r="D243" s="10" t="s">
        <v>907</v>
      </c>
      <c r="E243" s="25" t="str" cm="1">
        <f t="array" ref="E243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Insider</v>
      </c>
      <c r="B244" s="3" t="str">
        <f>IF(NodesData[[#This Row],[Context Instanciation]]="","",NodesData[[#This Row],[Context Instanciation]])</f>
        <v/>
      </c>
      <c r="C244" s="22" t="str">
        <f>NodesData[[#This Row],[Node ID]]</f>
        <v>n4FB0018B_54D8_4931_8F94_16C63A3F8C83</v>
      </c>
      <c r="D244" s="4"/>
      <c r="E244" s="25" t="str" cm="1">
        <f t="array" ref="E244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,{"label":"Insider","group":"","id":"n4FB0018B_54D8_4931_8F94_16C63A3F8C83","url":""}</v>
      </c>
    </row>
    <row r="245" spans="1:5" ht="13.9" thickTop="1" thickBot="1" x14ac:dyDescent="0.4">
      <c r="A245" s="3" t="str">
        <f>NodesData[[#This Row],[Common Name]]</f>
        <v>Insider Attack</v>
      </c>
      <c r="B245" s="3" t="str">
        <f>IF(NodesData[[#This Row],[Context Instanciation]]="","",NodesData[[#This Row],[Context Instanciation]])</f>
        <v/>
      </c>
      <c r="C245" s="22" t="str">
        <f>NodesData[[#This Row],[Node ID]]</f>
        <v>n429FED9F_D609_402A_A4D4_27BF7F04F154</v>
      </c>
      <c r="D245" s="3"/>
      <c r="E245" s="25" t="str" cm="1">
        <f t="array" ref="E245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Attack","group":"","id":"n429FED9F_D609_402A_A4D4_27BF7F04F154","url":""}</v>
      </c>
    </row>
    <row r="246" spans="1:5" ht="13.9" thickTop="1" thickBot="1" x14ac:dyDescent="0.4">
      <c r="A246" s="3" t="str">
        <f>NodesData[[#This Row],[Common Name]]</f>
        <v>Insider Threat</v>
      </c>
      <c r="B246" s="3" t="str">
        <f>IF(NodesData[[#This Row],[Context Instanciation]]="","",NodesData[[#This Row],[Context Instanciation]])</f>
        <v/>
      </c>
      <c r="C246" s="22" t="str">
        <f>NodesData[[#This Row],[Node ID]]</f>
        <v>n4BBD1B98_1E78_4A7C_AFAA_86753DB40829</v>
      </c>
      <c r="D246" s="4"/>
      <c r="E246" s="25" t="str" cm="1">
        <f t="array" ref="E246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Threat","group":"","id":"n4BBD1B98_1E78_4A7C_AFAA_86753DB40829","url":""}</v>
      </c>
    </row>
    <row r="247" spans="1:5" ht="13.9" thickTop="1" thickBot="1" x14ac:dyDescent="0.4">
      <c r="A247" s="3" t="str">
        <f>NodesData[[#This Row],[Common Name]]</f>
        <v>Insufficient Granularity of Access Control</v>
      </c>
      <c r="B247" s="3" t="str">
        <f>IF(NodesData[[#This Row],[Context Instanciation]]="","",NodesData[[#This Row],[Context Instanciation]])</f>
        <v/>
      </c>
      <c r="C247" s="22" t="str">
        <f>NodesData[[#This Row],[Node ID]]</f>
        <v>n5C69F995_02F9_4641_8DDC_1DEAB80E3377</v>
      </c>
      <c r="D247" s="10" t="s">
        <v>909</v>
      </c>
      <c r="E247" s="25" t="str" cm="1">
        <f t="array" ref="E247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Intentional Error</v>
      </c>
      <c r="B248" s="3" t="str">
        <f>IF(NodesData[[#This Row],[Context Instanciation]]="","",NodesData[[#This Row],[Context Instanciation]])</f>
        <v/>
      </c>
      <c r="C248" s="22" t="str">
        <f>NodesData[[#This Row],[Node ID]]</f>
        <v>nA9BAB0B4_F590_4EA4_BCC5_9C8C3863E83A</v>
      </c>
      <c r="D248" s="10" t="s">
        <v>911</v>
      </c>
      <c r="E248" s="25" t="str" cm="1">
        <f t="array" ref="E248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Interested Party</v>
      </c>
      <c r="B249" s="3" t="str">
        <f>IF(NodesData[[#This Row],[Context Instanciation]]="","",NodesData[[#This Row],[Context Instanciation]])</f>
        <v/>
      </c>
      <c r="C249" s="22" t="str">
        <f>NodesData[[#This Row],[Node ID]]</f>
        <v>n0C1E6A85_DF85_4330_881B_C5F42F671FD5</v>
      </c>
      <c r="D249" s="10" t="s">
        <v>913</v>
      </c>
      <c r="E249" s="25" t="str" cm="1">
        <f t="array" ref="E249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Interoperability</v>
      </c>
      <c r="B250" s="3" t="str">
        <f>IF(NodesData[[#This Row],[Context Instanciation]]="","",NodesData[[#This Row],[Context Instanciation]])</f>
        <v/>
      </c>
      <c r="C250" s="22" t="str">
        <f>NodesData[[#This Row],[Node ID]]</f>
        <v>nE94C80F1_064A_44B2_BDBC_0056E1019A9F</v>
      </c>
      <c r="D250" s="10" t="s">
        <v>915</v>
      </c>
      <c r="E250" s="25" t="str" cm="1">
        <f t="array" ref="E250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Interval Scale</v>
      </c>
      <c r="B251" s="3" t="str">
        <f>IF(NodesData[[#This Row],[Context Instanciation]]="","",NodesData[[#This Row],[Context Instanciation]])</f>
        <v/>
      </c>
      <c r="C251" s="22" t="str">
        <f>NodesData[[#This Row],[Node ID]]</f>
        <v>n3EBA3C47_F9ED_429B_BC3D_679D12721192</v>
      </c>
      <c r="D251" s="10" t="s">
        <v>917</v>
      </c>
      <c r="E251" s="25" t="str" cm="1">
        <f t="array" ref="E251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Iris Recognition Authentication</v>
      </c>
      <c r="B252" s="3" t="str">
        <f>IF(NodesData[[#This Row],[Context Instanciation]]="","",NodesData[[#This Row],[Context Instanciation]])</f>
        <v/>
      </c>
      <c r="C252" s="22" t="str">
        <f>NodesData[[#This Row],[Node ID]]</f>
        <v>nFF2EA87E_84ED_44A7_83DE_4A3C4C0F01DF</v>
      </c>
      <c r="D252" s="10" t="s">
        <v>919</v>
      </c>
      <c r="E252" s="25" t="str" cm="1">
        <f t="array" ref="E252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Isolated Identity Management System</v>
      </c>
      <c r="B253" s="3" t="str">
        <f>IF(NodesData[[#This Row],[Context Instanciation]]="","",NodesData[[#This Row],[Context Instanciation]])</f>
        <v/>
      </c>
      <c r="C253" s="22" t="str">
        <f>NodesData[[#This Row],[Node ID]]</f>
        <v>n06B404BB_42D7_49A0_87EF_0BD1066C228B</v>
      </c>
      <c r="D253" s="10" t="s">
        <v>921</v>
      </c>
      <c r="E253" s="25" t="str" cm="1">
        <f t="array" ref="E253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IT Asset Scope</v>
      </c>
      <c r="B254" s="3" t="str">
        <f>IF(NodesData[[#This Row],[Context Instanciation]]="","",NodesData[[#This Row],[Context Instanciation]])</f>
        <v/>
      </c>
      <c r="C254" s="22" t="str">
        <f>NodesData[[#This Row],[Node ID]]</f>
        <v>n29ED772E_0526_4755_B8BE_2218FA7602F9</v>
      </c>
      <c r="D254" s="10" t="s">
        <v>923</v>
      </c>
      <c r="E254" s="25" t="str" cm="1">
        <f t="array" ref="E254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IT Component</v>
      </c>
      <c r="B255" s="3" t="str">
        <f>IF(NodesData[[#This Row],[Context Instanciation]]="","",NodesData[[#This Row],[Context Instanciation]])</f>
        <v/>
      </c>
      <c r="C255" s="22" t="str">
        <f>NodesData[[#This Row],[Node ID]]</f>
        <v>n80310A12_2F48_48B9_A9C3_E6FADD4B55C9</v>
      </c>
      <c r="D255" s="10" t="s">
        <v>925</v>
      </c>
      <c r="E255" s="25" t="str" cm="1">
        <f t="array" ref="E255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IT Hardware</v>
      </c>
      <c r="B256" s="3" t="str">
        <f>IF(NodesData[[#This Row],[Context Instanciation]]="","",NodesData[[#This Row],[Context Instanciation]])</f>
        <v/>
      </c>
      <c r="C256" s="22" t="str">
        <f>NodesData[[#This Row],[Node ID]]</f>
        <v>n940256DD_635E_4F4B_91EA_B3366D40E947</v>
      </c>
      <c r="D256" s="10" t="s">
        <v>927</v>
      </c>
      <c r="E256" s="25" t="str" cm="1">
        <f t="array" ref="E256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Software</v>
      </c>
      <c r="B257" s="3" t="str">
        <f>IF(NodesData[[#This Row],[Context Instanciation]]="","",NodesData[[#This Row],[Context Instanciation]])</f>
        <v/>
      </c>
      <c r="C257" s="22" t="str">
        <f>NodesData[[#This Row],[Node ID]]</f>
        <v>nBB725018_7327_49FB_A48A_74839D0C04F9</v>
      </c>
      <c r="D257" s="10" t="s">
        <v>929</v>
      </c>
      <c r="E257" s="25" t="str" cm="1">
        <f t="array" ref="E257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System</v>
      </c>
      <c r="B258" s="3" t="str">
        <f>IF(NodesData[[#This Row],[Context Instanciation]]="","",NodesData[[#This Row],[Context Instanciation]])</f>
        <v/>
      </c>
      <c r="C258" s="22" t="str">
        <f>NodesData[[#This Row],[Node ID]]</f>
        <v>nC607594D_D597_4C8E_9605_EED87566C2FD</v>
      </c>
      <c r="D258" s="10" t="s">
        <v>931</v>
      </c>
      <c r="E258" s="25" t="str" cm="1">
        <f t="array" ref="E258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JML</v>
      </c>
      <c r="B259" s="3" t="str">
        <f>IF(NodesData[[#This Row],[Context Instanciation]]="","",NodesData[[#This Row],[Context Instanciation]])</f>
        <v/>
      </c>
      <c r="C259" s="22" t="str">
        <f>NodesData[[#This Row],[Node ID]]</f>
        <v>n4BA874E7_FD38_4B95_9C12_7EC786240F23</v>
      </c>
      <c r="D259" s="10" t="s">
        <v>933</v>
      </c>
      <c r="E259" s="25" t="str" cm="1">
        <f t="array" ref="E259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Joiner</v>
      </c>
      <c r="B260" s="3" t="str">
        <f>IF(NodesData[[#This Row],[Context Instanciation]]="","",NodesData[[#This Row],[Context Instanciation]])</f>
        <v/>
      </c>
      <c r="C260" s="22" t="str">
        <f>NodesData[[#This Row],[Node ID]]</f>
        <v>n919E37D7_0E0D_437A_A4B9_F0C63FC91592</v>
      </c>
      <c r="D260" s="3"/>
      <c r="E260" s="25" t="str" cm="1">
        <f t="array" ref="E260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,{"label":"Joiner","group":"","id":"n919E37D7_0E0D_437A_A4B9_F0C63FC91592","url":""}</v>
      </c>
    </row>
    <row r="261" spans="1:5" ht="13.9" thickTop="1" thickBot="1" x14ac:dyDescent="0.4">
      <c r="A261" s="3" t="str">
        <f>NodesData[[#This Row],[Common Name]]</f>
        <v>Joiner Hire Date</v>
      </c>
      <c r="B261" s="3" t="str">
        <f>IF(NodesData[[#This Row],[Context Instanciation]]="","",NodesData[[#This Row],[Context Instanciation]])</f>
        <v/>
      </c>
      <c r="C261" s="22" t="str">
        <f>NodesData[[#This Row],[Node ID]]</f>
        <v>nF036ACA7_5DED_4C47_BEC4_43A7941A1A11</v>
      </c>
      <c r="D261" s="10" t="s">
        <v>934</v>
      </c>
      <c r="E261" s="25" t="str" cm="1">
        <f t="array" ref="E261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Joiner Lead Time</v>
      </c>
      <c r="B262" s="3" t="str">
        <f>IF(NodesData[[#This Row],[Context Instanciation]]="","",NodesData[[#This Row],[Context Instanciation]])</f>
        <v/>
      </c>
      <c r="C262" s="22" t="str">
        <f>NodesData[[#This Row],[Node ID]]</f>
        <v>n85D3D9C0_BF0A_457D_9E9E_918869EE6A60</v>
      </c>
      <c r="D262" s="10" t="s">
        <v>935</v>
      </c>
      <c r="E262" s="25" t="str" cm="1">
        <f t="array" ref="E262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 Process</v>
      </c>
      <c r="B263" s="3" t="str">
        <f>IF(NodesData[[#This Row],[Context Instanciation]]="","",NodesData[[#This Row],[Context Instanciation]])</f>
        <v/>
      </c>
      <c r="C263" s="22" t="str">
        <f>NodesData[[#This Row],[Node ID]]</f>
        <v>n2156A14C_9F0A_4133_9B6B_E2F493C2DDE5</v>
      </c>
      <c r="D263" s="10" t="s">
        <v>936</v>
      </c>
      <c r="E263" s="25" t="str" cm="1">
        <f t="array" ref="E263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Start Date</v>
      </c>
      <c r="B264" s="3" t="str">
        <f>IF(NodesData[[#This Row],[Context Instanciation]]="","",NodesData[[#This Row],[Context Instanciation]])</f>
        <v/>
      </c>
      <c r="C264" s="22" t="str">
        <f>NodesData[[#This Row],[Node ID]]</f>
        <v>n9DBB71BC_1401_49CF_8C61_CD7DE85382A7</v>
      </c>
      <c r="D264" s="10" t="s">
        <v>937</v>
      </c>
      <c r="E264" s="25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Key Criteria Type</v>
      </c>
      <c r="B265" s="3" t="str">
        <f>IF(NodesData[[#This Row],[Context Instanciation]]="","",NodesData[[#This Row],[Context Instanciation]])</f>
        <v/>
      </c>
      <c r="C265" s="22" t="str">
        <f>NodesData[[#This Row],[Node ID]]</f>
        <v>n8B8EDDAB_CC41_45B7_8B8A_AC9D282F1C05</v>
      </c>
      <c r="D265" s="10" t="s">
        <v>939</v>
      </c>
      <c r="E265" s="25" t="str" cm="1">
        <f t="array" ref="E265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Key Information</v>
      </c>
      <c r="B266" s="3" t="str">
        <f>IF(NodesData[[#This Row],[Context Instanciation]]="","",NodesData[[#This Row],[Context Instanciation]])</f>
        <v/>
      </c>
      <c r="C266" s="22" t="str">
        <f>NodesData[[#This Row],[Node ID]]</f>
        <v>n3073C6C9_12F8_44C9_8D1B_2F7187AD9F60</v>
      </c>
      <c r="D266" s="10" t="s">
        <v>941</v>
      </c>
      <c r="E266" s="25" t="str" cm="1">
        <f t="array" ref="E266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Keying Material</v>
      </c>
      <c r="B267" s="3" t="str">
        <f>IF(NodesData[[#This Row],[Context Instanciation]]="","",NodesData[[#This Row],[Context Instanciation]])</f>
        <v/>
      </c>
      <c r="C267" s="22" t="str">
        <f>NodesData[[#This Row],[Node ID]]</f>
        <v>n6AE1B549_6E17_4533_A2B8_5AFB4B73B654</v>
      </c>
      <c r="D267" s="4"/>
      <c r="E267" s="25" t="str" cm="1">
        <f t="array" ref="E267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Material","group":"","id":"n6AE1B549_6E17_4533_A2B8_5AFB4B73B654","url":""}</v>
      </c>
    </row>
    <row r="268" spans="1:5" ht="13.9" thickTop="1" thickBot="1" x14ac:dyDescent="0.4">
      <c r="A268" s="3" t="str">
        <f>NodesData[[#This Row],[Common Name]]</f>
        <v>Keystroke Recognition Authentication</v>
      </c>
      <c r="B268" s="3" t="str">
        <f>IF(NodesData[[#This Row],[Context Instanciation]]="","",NodesData[[#This Row],[Context Instanciation]])</f>
        <v/>
      </c>
      <c r="C268" s="22" t="str">
        <f>NodesData[[#This Row],[Node ID]]</f>
        <v>n35F5759D_AAFF_439C_A04E_623AA07EE4D9</v>
      </c>
      <c r="D268" s="10" t="s">
        <v>943</v>
      </c>
      <c r="E268" s="25" t="str" cm="1">
        <f t="array" ref="E268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Knowledge Factor</v>
      </c>
      <c r="B269" s="3" t="str">
        <f>IF(NodesData[[#This Row],[Context Instanciation]]="","",NodesData[[#This Row],[Context Instanciation]])</f>
        <v/>
      </c>
      <c r="C269" s="22" t="str">
        <f>NodesData[[#This Row],[Node ID]]</f>
        <v>n63EDDBAD_A168_4974_B9D5_9B90FB3F688E</v>
      </c>
      <c r="D269" s="10" t="s">
        <v>945</v>
      </c>
      <c r="E269" s="25" t="str" cm="1">
        <f t="array" ref="E269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Knuckleprint Recognition Authentication</v>
      </c>
      <c r="B270" s="3" t="str">
        <f>IF(NodesData[[#This Row],[Context Instanciation]]="","",NodesData[[#This Row],[Context Instanciation]])</f>
        <v/>
      </c>
      <c r="C270" s="22" t="str">
        <f>NodesData[[#This Row],[Node ID]]</f>
        <v>nC63D5B91_5DF9_4B35_856B_670E59CF1CA0</v>
      </c>
      <c r="D270" s="10" t="s">
        <v>946</v>
      </c>
      <c r="E270" s="25" t="str" cm="1">
        <f t="array" ref="E270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KYC Registry</v>
      </c>
      <c r="B271" s="3" t="str">
        <f>IF(NodesData[[#This Row],[Context Instanciation]]="","",NodesData[[#This Row],[Context Instanciation]])</f>
        <v/>
      </c>
      <c r="C271" s="22" t="str">
        <f>NodesData[[#This Row],[Node ID]]</f>
        <v>n118336A6_0C60_4B0E_8F22_B48CA99CA2F4</v>
      </c>
      <c r="D271" s="4"/>
      <c r="E271" s="25" t="str" cm="1">
        <f t="array" ref="E271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Registry","group":"","id":"n118336A6_0C60_4B0E_8F22_B48CA99CA2F4","url":""}</v>
      </c>
    </row>
    <row r="272" spans="1:5" ht="13.9" thickTop="1" thickBot="1" x14ac:dyDescent="0.4">
      <c r="A272" s="3" t="str">
        <f>NodesData[[#This Row],[Common Name]]</f>
        <v>KYC</v>
      </c>
      <c r="B272" s="3" t="str">
        <f>IF(NodesData[[#This Row],[Context Instanciation]]="","",NodesData[[#This Row],[Context Instanciation]])</f>
        <v/>
      </c>
      <c r="C272" s="22" t="str">
        <f>NodesData[[#This Row],[Node ID]]</f>
        <v>nD722A063_3ADB_4367_9941_1F20AAC0CAEC</v>
      </c>
      <c r="D272" s="10" t="s">
        <v>949</v>
      </c>
      <c r="E272" s="25" t="str" cm="1">
        <f t="array" ref="E272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Lattice-Based Access Control</v>
      </c>
      <c r="B273" s="3" t="str">
        <f>IF(NodesData[[#This Row],[Context Instanciation]]="","",NodesData[[#This Row],[Context Instanciation]])</f>
        <v/>
      </c>
      <c r="C273" s="22" t="str">
        <f>NodesData[[#This Row],[Node ID]]</f>
        <v>nA1358380_830F_4EEB_80CE_CC83C065B2E4</v>
      </c>
      <c r="D273" s="10" t="s">
        <v>951</v>
      </c>
      <c r="E273" s="25" t="str" cm="1">
        <f t="array" ref="E273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Layers Architectural Pattern</v>
      </c>
      <c r="B274" s="3" t="str">
        <f>IF(NodesData[[#This Row],[Context Instanciation]]="","",NodesData[[#This Row],[Context Instanciation]])</f>
        <v/>
      </c>
      <c r="C274" s="22" t="str">
        <f>NodesData[[#This Row],[Node ID]]</f>
        <v>n3EAC848A_1433_441F_9E9A_7FE06432D202</v>
      </c>
      <c r="D274" s="10" t="s">
        <v>953</v>
      </c>
      <c r="E274" s="25" t="str" cm="1">
        <f t="array" ref="E274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LBAC</v>
      </c>
      <c r="B275" s="3" t="str">
        <f>IF(NodesData[[#This Row],[Context Instanciation]]="","",NodesData[[#This Row],[Context Instanciation]])</f>
        <v/>
      </c>
      <c r="C275" s="22" t="str">
        <f>NodesData[[#This Row],[Node ID]]</f>
        <v>n7F5407C3_E9C5_4FD3_A4BC_1BF68CE94502</v>
      </c>
      <c r="D275" s="10" t="s">
        <v>955</v>
      </c>
      <c r="E275" s="25" t="str" cm="1">
        <f t="array" ref="E275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Leading Indicator</v>
      </c>
      <c r="B276" s="3" t="str">
        <f>IF(NodesData[[#This Row],[Context Instanciation]]="","",NodesData[[#This Row],[Context Instanciation]])</f>
        <v/>
      </c>
      <c r="C276" s="22" t="str">
        <f>NodesData[[#This Row],[Node ID]]</f>
        <v>nCDB2CA01_F37D_45DF_8EBF_86192F36727D</v>
      </c>
      <c r="D276" s="10" t="s">
        <v>956</v>
      </c>
      <c r="E276" s="25" t="str" cm="1">
        <f t="array" ref="E276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Least Privilege</v>
      </c>
      <c r="B277" s="3" t="str">
        <f>IF(NodesData[[#This Row],[Context Instanciation]]="","",NodesData[[#This Row],[Context Instanciation]])</f>
        <v/>
      </c>
      <c r="C277" s="22" t="str">
        <f>NodesData[[#This Row],[Node ID]]</f>
        <v>n55E83346_C5D9_4522_AAFE_41AFD850D242</v>
      </c>
      <c r="D277" s="10" t="s">
        <v>948</v>
      </c>
      <c r="E277" s="25" t="str" cm="1">
        <f t="array" ref="E277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Legal Entity Identifier</v>
      </c>
      <c r="B278" s="3" t="str">
        <f>IF(NodesData[[#This Row],[Context Instanciation]]="","",NodesData[[#This Row],[Context Instanciation]])</f>
        <v/>
      </c>
      <c r="C278" s="22" t="str">
        <f>NodesData[[#This Row],[Node ID]]</f>
        <v>n532F9243_3E60_4095_B0E5_8AEED1D0ED9A</v>
      </c>
      <c r="D278" s="10" t="s">
        <v>960</v>
      </c>
      <c r="E278" s="25" t="str" cm="1">
        <f t="array" ref="E278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Legitimate Privilege Abuse</v>
      </c>
      <c r="B279" s="3" t="str">
        <f>IF(NodesData[[#This Row],[Context Instanciation]]="","",NodesData[[#This Row],[Context Instanciation]])</f>
        <v/>
      </c>
      <c r="C279" s="22" t="str">
        <f>NodesData[[#This Row],[Node ID]]</f>
        <v>n9DB8F87B_0E27_4ADC_A89D_30DC429109ED</v>
      </c>
      <c r="D279" s="10" t="s">
        <v>962</v>
      </c>
      <c r="E279" s="25" t="str" cm="1">
        <f t="array" ref="E279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LEI</v>
      </c>
      <c r="B280" s="3" t="str">
        <f>IF(NodesData[[#This Row],[Context Instanciation]]="","",NodesData[[#This Row],[Context Instanciation]])</f>
        <v/>
      </c>
      <c r="C280" s="22" t="str">
        <f>NodesData[[#This Row],[Node ID]]</f>
        <v>nE1D131E1_6E4B_4128_ACFC_B11E0284331D</v>
      </c>
      <c r="D280" s="10" t="s">
        <v>958</v>
      </c>
      <c r="E280" s="25" t="str" cm="1">
        <f t="array" ref="E280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Levels of Assurance</v>
      </c>
      <c r="B281" s="3" t="str">
        <f>IF(NodesData[[#This Row],[Context Instanciation]]="","",NodesData[[#This Row],[Context Instanciation]])</f>
        <v/>
      </c>
      <c r="C281" s="22" t="str">
        <f>NodesData[[#This Row],[Node ID]]</f>
        <v>n42CABDEA_283C_4884_BBFF_7B24A5E715E6</v>
      </c>
      <c r="D281" s="10" t="s">
        <v>964</v>
      </c>
      <c r="E281" s="25" t="str" cm="1">
        <f t="array" ref="E281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Liberal Discretionary Access Control</v>
      </c>
      <c r="B282" s="3" t="str">
        <f>IF(NodesData[[#This Row],[Context Instanciation]]="","",NodesData[[#This Row],[Context Instanciation]])</f>
        <v/>
      </c>
      <c r="C282" s="22" t="str">
        <f>NodesData[[#This Row],[Node ID]]</f>
        <v>n6803C365_1074_4F24_A95A_585E021E5FF0</v>
      </c>
      <c r="D282" s="10" t="s">
        <v>966</v>
      </c>
      <c r="E282" s="25" t="str" cm="1">
        <f t="array" ref="E282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LOA</v>
      </c>
      <c r="B283" s="3" t="str">
        <f>IF(NodesData[[#This Row],[Context Instanciation]]="","",NodesData[[#This Row],[Context Instanciation]])</f>
        <v/>
      </c>
      <c r="C283" s="22" t="str">
        <f>NodesData[[#This Row],[Node ID]]</f>
        <v>n0CFBF92C_8241_4364_871A_4D3705CF95A0</v>
      </c>
      <c r="D283" s="10" t="s">
        <v>968</v>
      </c>
      <c r="E283" s="25" t="str" cm="1">
        <f t="array" ref="E283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Location Factor</v>
      </c>
      <c r="B284" s="3" t="str">
        <f>IF(NodesData[[#This Row],[Context Instanciation]]="","",NodesData[[#This Row],[Context Instanciation]])</f>
        <v/>
      </c>
      <c r="C284" s="22" t="str">
        <f>NodesData[[#This Row],[Node ID]]</f>
        <v>nE61E61F3_D210_49D4_9FB5_8E7744490C9D</v>
      </c>
      <c r="D284" s="10" t="s">
        <v>970</v>
      </c>
      <c r="E284" s="25" t="str" cm="1">
        <f t="array" ref="E284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Logic Bomb</v>
      </c>
      <c r="B285" s="3" t="str">
        <f>IF(NodesData[[#This Row],[Context Instanciation]]="","",NodesData[[#This Row],[Context Instanciation]])</f>
        <v/>
      </c>
      <c r="C285" s="22" t="str">
        <f>NodesData[[#This Row],[Node ID]]</f>
        <v>n0824A767_06E0_42E4_86AA_C7ECB7A1A81E</v>
      </c>
      <c r="D285" s="10" t="s">
        <v>972</v>
      </c>
      <c r="E285" s="25" t="str" cm="1">
        <f t="array" ref="E285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Login</v>
      </c>
      <c r="B286" s="3" t="str">
        <f>IF(NodesData[[#This Row],[Context Instanciation]]="","",NodesData[[#This Row],[Context Instanciation]])</f>
        <v/>
      </c>
      <c r="C286" s="22" t="str">
        <f>NodesData[[#This Row],[Node ID]]</f>
        <v>n46EF9D9A_E262_42CE_84DD_31B44FFFC872</v>
      </c>
      <c r="D286" s="10" t="s">
        <v>973</v>
      </c>
      <c r="E286" s="25" t="str" cm="1">
        <f t="array" ref="E286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Login ID</v>
      </c>
      <c r="B287" s="3" t="str">
        <f>IF(NodesData[[#This Row],[Context Instanciation]]="","",NodesData[[#This Row],[Context Instanciation]])</f>
        <v/>
      </c>
      <c r="C287" s="22" t="str">
        <f>NodesData[[#This Row],[Node ID]]</f>
        <v>nE45E61D9_9369_4987_B110_303B87C7DD18</v>
      </c>
      <c r="D287" s="10" t="s">
        <v>974</v>
      </c>
      <c r="E287" s="25" t="str" cm="1">
        <f t="array" ref="E287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Login Name</v>
      </c>
      <c r="B288" s="3" t="str">
        <f>IF(NodesData[[#This Row],[Context Instanciation]]="","",NodesData[[#This Row],[Context Instanciation]])</f>
        <v/>
      </c>
      <c r="C288" s="22" t="str">
        <f>NodesData[[#This Row],[Node ID]]</f>
        <v>n7CFF42F4_F82C_4184_81FE_6459832E495C</v>
      </c>
      <c r="D288" s="10" t="s">
        <v>976</v>
      </c>
      <c r="E288" s="25" t="str" cm="1">
        <f t="array" ref="E288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Mechanism</v>
      </c>
      <c r="B289" s="3" t="str">
        <f>IF(NodesData[[#This Row],[Context Instanciation]]="","",NodesData[[#This Row],[Context Instanciation]])</f>
        <v/>
      </c>
      <c r="C289" s="22" t="str">
        <f>NodesData[[#This Row],[Node ID]]</f>
        <v>n5093C332_EBE3_4146_9E6E_13A644D6709F</v>
      </c>
      <c r="D289" s="10" t="s">
        <v>977</v>
      </c>
      <c r="E289" s="25" t="str" cm="1">
        <f t="array" ref="E289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Metadirectory</v>
      </c>
      <c r="B290" s="3" t="str">
        <f>IF(NodesData[[#This Row],[Context Instanciation]]="","",NodesData[[#This Row],[Context Instanciation]])</f>
        <v/>
      </c>
      <c r="C290" s="22" t="str">
        <f>NodesData[[#This Row],[Node ID]]</f>
        <v>nFADAB6B8_8A3D_435C_9AD9_15538E50E471</v>
      </c>
      <c r="D290" s="10" t="s">
        <v>979</v>
      </c>
      <c r="E290" s="25" t="str" cm="1">
        <f t="array" ref="E290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Multidomain Single Sign-On</v>
      </c>
      <c r="B291" s="3" t="str">
        <f>IF(NodesData[[#This Row],[Context Instanciation]]="","",NodesData[[#This Row],[Context Instanciation]])</f>
        <v/>
      </c>
      <c r="C291" s="22" t="str">
        <f>NodesData[[#This Row],[Node ID]]</f>
        <v>nE2E1BE6A_43E8_4B96_8DF5_2E30C8EF3BDF</v>
      </c>
      <c r="D291" s="10" t="s">
        <v>981</v>
      </c>
      <c r="E291" s="25" t="str" cm="1">
        <f t="array" ref="E291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Multilevel Security</v>
      </c>
      <c r="B292" s="3" t="str">
        <f>IF(NodesData[[#This Row],[Context Instanciation]]="","",NodesData[[#This Row],[Context Instanciation]])</f>
        <v/>
      </c>
      <c r="C292" s="22" t="str">
        <f>NodesData[[#This Row],[Node ID]]</f>
        <v>nF7063463_177E_42A8_8F09_57EF6B9D00BD</v>
      </c>
      <c r="D292" s="10" t="s">
        <v>983</v>
      </c>
      <c r="E292" s="25" t="str" cm="1">
        <f t="array" ref="E292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Multi-Modal Biometric Authentication</v>
      </c>
      <c r="B293" s="3" t="str">
        <f>IF(NodesData[[#This Row],[Context Instanciation]]="","",NodesData[[#This Row],[Context Instanciation]])</f>
        <v/>
      </c>
      <c r="C293" s="22" t="str">
        <f>NodesData[[#This Row],[Node ID]]</f>
        <v>nF4329B4E_89AE_4B13_8BA2_B6BEFB931A12</v>
      </c>
      <c r="D293" s="10" t="s">
        <v>985</v>
      </c>
      <c r="E293" s="25" t="str" cm="1">
        <f t="array" ref="E293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Multiple Accounts</v>
      </c>
      <c r="B294" s="3" t="str">
        <f>IF(NodesData[[#This Row],[Context Instanciation]]="","",NodesData[[#This Row],[Context Instanciation]])</f>
        <v/>
      </c>
      <c r="C294" s="22" t="str">
        <f>NodesData[[#This Row],[Node ID]]</f>
        <v>n526624DF_C2E0_4B21_9A61_CEED4CD47F26</v>
      </c>
      <c r="D294" s="10" t="s">
        <v>987</v>
      </c>
      <c r="E294" s="25" t="str" cm="1">
        <f t="array" ref="E294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Mutual Authentication</v>
      </c>
      <c r="B295" s="3" t="str">
        <f>IF(NodesData[[#This Row],[Context Instanciation]]="","",NodesData[[#This Row],[Context Instanciation]])</f>
        <v/>
      </c>
      <c r="C295" s="22" t="str">
        <f>NodesData[[#This Row],[Node ID]]</f>
        <v>n64D10171_0B22_4711_A563_45B7D52F62A1</v>
      </c>
      <c r="D295" s="10" t="s">
        <v>989</v>
      </c>
      <c r="E295" s="25" t="str" cm="1">
        <f t="array" ref="E295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Need-to-Know</v>
      </c>
      <c r="B296" s="3" t="str">
        <f>IF(NodesData[[#This Row],[Context Instanciation]]="","",NodesData[[#This Row],[Context Instanciation]])</f>
        <v/>
      </c>
      <c r="C296" s="22" t="str">
        <f>NodesData[[#This Row],[Node ID]]</f>
        <v>n5E26B41D_6E03_4C12_AACA_F0C33BED131F</v>
      </c>
      <c r="D296" s="10" t="s">
        <v>991</v>
      </c>
      <c r="E296" s="25" t="str" cm="1">
        <f t="array" ref="E296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New Joiner</v>
      </c>
      <c r="B297" s="3" t="str">
        <f>IF(NodesData[[#This Row],[Context Instanciation]]="","",NodesData[[#This Row],[Context Instanciation]])</f>
        <v/>
      </c>
      <c r="C297" s="22" t="str">
        <f>NodesData[[#This Row],[Node ID]]</f>
        <v>n42AE1DFB_EDB7_42D2_89EE_3945EA0F348C</v>
      </c>
      <c r="D297" s="4"/>
      <c r="E297" s="25" t="str" cm="1">
        <f t="array" ref="E297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Joiner","group":"","id":"n42AE1DFB_EDB7_42D2_89EE_3945EA0F348C","url":""}</v>
      </c>
    </row>
    <row r="298" spans="1:5" ht="13.9" thickTop="1" thickBot="1" x14ac:dyDescent="0.4">
      <c r="A298" s="3" t="str">
        <f>NodesData[[#This Row],[Common Name]]</f>
        <v>No Tranquility Property</v>
      </c>
      <c r="B298" s="3" t="str">
        <f>IF(NodesData[[#This Row],[Context Instanciation]]="","",NodesData[[#This Row],[Context Instanciation]])</f>
        <v/>
      </c>
      <c r="C298" s="22" t="str">
        <f>NodesData[[#This Row],[Node ID]]</f>
        <v>n4ED00BBB_87C8_4B44_B7F1_FEDB8DD6A7D4</v>
      </c>
      <c r="D298" s="10" t="s">
        <v>992</v>
      </c>
      <c r="E298" s="25" t="str" cm="1">
        <f t="array" ref="E298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Nonworker</v>
      </c>
      <c r="B299" s="3" t="str">
        <f>IF(NodesData[[#This Row],[Context Instanciation]]="","",NodesData[[#This Row],[Context Instanciation]])</f>
        <v/>
      </c>
      <c r="C299" s="22" t="str">
        <f>NodesData[[#This Row],[Node ID]]</f>
        <v>n2B01D047_3E55_4928_89FF_89BF0E4C9A55</v>
      </c>
      <c r="D299" s="4"/>
      <c r="E299" s="25" t="str" cm="1">
        <f t="array" ref="E299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,{"label":"Nonworker","group":"","id":"n2B01D047_3E55_4928_89FF_89BF0E4C9A55","url":""}</v>
      </c>
    </row>
    <row r="300" spans="1:5" ht="13.9" thickTop="1" thickBot="1" x14ac:dyDescent="0.4">
      <c r="A300" s="3" t="str">
        <f>NodesData[[#This Row],[Common Name]]</f>
        <v>Numerical Identity</v>
      </c>
      <c r="B300" s="3" t="str">
        <f>IF(NodesData[[#This Row],[Context Instanciation]]="","",NodesData[[#This Row],[Context Instanciation]])</f>
        <v/>
      </c>
      <c r="C300" s="22" t="str">
        <f>NodesData[[#This Row],[Node ID]]</f>
        <v>n5FC0E690_BD8A_4D6A_8185_1DC8FF5EE7BE</v>
      </c>
      <c r="D300" s="10" t="s">
        <v>994</v>
      </c>
      <c r="E300" s="25" t="str" cm="1">
        <f t="array" ref="E300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OAuth</v>
      </c>
      <c r="B301" s="3" t="str">
        <f>IF(NodesData[[#This Row],[Context Instanciation]]="","",NodesData[[#This Row],[Context Instanciation]])</f>
        <v/>
      </c>
      <c r="C301" s="22" t="str">
        <f>NodesData[[#This Row],[Node ID]]</f>
        <v>n59BB7020_7AB1_4728_86F2_1E393E0E8707</v>
      </c>
      <c r="D301" s="4"/>
      <c r="E301" s="25" t="str" cm="1">
        <f t="array" ref="E301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,{"label":"OAuth","group":"","id":"n59BB7020_7AB1_4728_86F2_1E393E0E8707","url":""}</v>
      </c>
    </row>
    <row r="302" spans="1:5" ht="13.9" thickTop="1" thickBot="1" x14ac:dyDescent="0.4">
      <c r="A302" s="3" t="str">
        <f>NodesData[[#This Row],[Common Name]]</f>
        <v>Object</v>
      </c>
      <c r="B302" s="3" t="str">
        <f>IF(NodesData[[#This Row],[Context Instanciation]]="","",NodesData[[#This Row],[Context Instanciation]])</f>
        <v/>
      </c>
      <c r="C302" s="22" t="str">
        <f>NodesData[[#This Row],[Node ID]]</f>
        <v>nBB8CA37A_77F7_45A6_8D48_E3EAE7C070CC</v>
      </c>
      <c r="D302" s="8"/>
      <c r="E302" s="25" t="str" cm="1">
        <f t="array" ref="E302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,{"label":"Object","group":"","id":"nBB8CA37A_77F7_45A6_8D48_E3EAE7C070CC","url":""}</v>
      </c>
    </row>
    <row r="303" spans="1:5" ht="13.9" thickTop="1" thickBot="1" x14ac:dyDescent="0.4">
      <c r="A303" s="3" t="str">
        <f>NodesData[[#This Row],[Common Name]]</f>
        <v>Omission Error</v>
      </c>
      <c r="B303" s="3" t="str">
        <f>IF(NodesData[[#This Row],[Context Instanciation]]="","",NodesData[[#This Row],[Context Instanciation]])</f>
        <v/>
      </c>
      <c r="C303" s="22" t="str">
        <f>NodesData[[#This Row],[Node ID]]</f>
        <v>nE5FB6AFC_FC63_4B56_A4C6_E23F16E9BC61</v>
      </c>
      <c r="D303" s="10" t="s">
        <v>995</v>
      </c>
      <c r="E303" s="25" t="str" cm="1">
        <f t="array" ref="E303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One-Time Passcode Authentication</v>
      </c>
      <c r="B304" s="3" t="str">
        <f>IF(NodesData[[#This Row],[Context Instanciation]]="","",NodesData[[#This Row],[Context Instanciation]])</f>
        <v/>
      </c>
      <c r="C304" s="22" t="str">
        <f>NodesData[[#This Row],[Node ID]]</f>
        <v>n476800A3_2E26_4AE7_BDA9_7E883266BCE1</v>
      </c>
      <c r="D304" s="10" t="s">
        <v>997</v>
      </c>
      <c r="E304" s="25" t="str" cm="1">
        <f t="array" ref="E304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OPA</v>
      </c>
      <c r="B305" s="3" t="str">
        <f>IF(NodesData[[#This Row],[Context Instanciation]]="","",NodesData[[#This Row],[Context Instanciation]])</f>
        <v/>
      </c>
      <c r="C305" s="22" t="str">
        <f>NodesData[[#This Row],[Node ID]]</f>
        <v>n6C614E81_1E4F_490D_BA0A_44FBC9CBCFE0</v>
      </c>
      <c r="D305" s="10" t="s">
        <v>998</v>
      </c>
      <c r="E305" s="25" t="str" cm="1">
        <f t="array" ref="E305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Open Policy Agent</v>
      </c>
      <c r="B306" s="3" t="str">
        <f>IF(NodesData[[#This Row],[Context Instanciation]]="","",NodesData[[#This Row],[Context Instanciation]])</f>
        <v/>
      </c>
      <c r="C306" s="22" t="str">
        <f>NodesData[[#This Row],[Node ID]]</f>
        <v>nD995A6A9_C3A9_4283_82AA_4AB97DA2B578</v>
      </c>
      <c r="D306" s="8"/>
      <c r="E306" s="25" t="str" cm="1">
        <f t="array" ref="E306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Agent","group":"","id":"nD995A6A9_C3A9_4283_82AA_4AB97DA2B578","url":""}</v>
      </c>
    </row>
    <row r="307" spans="1:5" ht="13.9" thickTop="1" thickBot="1" x14ac:dyDescent="0.4">
      <c r="A307" s="3" t="str">
        <f>NodesData[[#This Row],[Common Name]]</f>
        <v>Operational Definition</v>
      </c>
      <c r="B307" s="3" t="str">
        <f>IF(NodesData[[#This Row],[Context Instanciation]]="","",NodesData[[#This Row],[Context Instanciation]])</f>
        <v/>
      </c>
      <c r="C307" s="22" t="str">
        <f>NodesData[[#This Row],[Node ID]]</f>
        <v>n9C348411_DBC2_4D83_98F6_DA323939AD65</v>
      </c>
      <c r="D307" s="10" t="s">
        <v>1000</v>
      </c>
      <c r="E307" s="25" t="str" cm="1">
        <f t="array" ref="E307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Operational Taxonomic Unit</v>
      </c>
      <c r="B308" s="3" t="str">
        <f>IF(NodesData[[#This Row],[Context Instanciation]]="","",NodesData[[#This Row],[Context Instanciation]])</f>
        <v/>
      </c>
      <c r="C308" s="22" t="str">
        <f>NodesData[[#This Row],[Node ID]]</f>
        <v>nE33FC009_B7E4_40FD_9745_D826E24B6E94</v>
      </c>
      <c r="D308" s="10" t="s">
        <v>1002</v>
      </c>
      <c r="E308" s="25" t="str" cm="1">
        <f t="array" ref="E308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Ordinal Scale</v>
      </c>
      <c r="B309" s="3" t="str">
        <f>IF(NodesData[[#This Row],[Context Instanciation]]="","",NodesData[[#This Row],[Context Instanciation]])</f>
        <v/>
      </c>
      <c r="C309" s="22" t="str">
        <f>NodesData[[#This Row],[Node ID]]</f>
        <v>nF7D4524F_C6C0_4EC5_9552_75B99B9D5A42</v>
      </c>
      <c r="D309" s="10" t="s">
        <v>1003</v>
      </c>
      <c r="E309" s="25" t="str" cm="1">
        <f t="array" ref="E309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Organization Context</v>
      </c>
      <c r="B310" s="3" t="str">
        <f>IF(NodesData[[#This Row],[Context Instanciation]]="","",NodesData[[#This Row],[Context Instanciation]])</f>
        <v/>
      </c>
      <c r="C310" s="22" t="str">
        <f>NodesData[[#This Row],[Node ID]]</f>
        <v>n33A86B12_0EA4_4F3E_BC6D_E3702F9EAE81</v>
      </c>
      <c r="D310" s="10" t="s">
        <v>999</v>
      </c>
      <c r="E310" s="25" t="str" cm="1">
        <f t="array" ref="E310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Organization Scope</v>
      </c>
      <c r="B311" s="3" t="str">
        <f>IF(NodesData[[#This Row],[Context Instanciation]]="","",NodesData[[#This Row],[Context Instanciation]])</f>
        <v/>
      </c>
      <c r="C311" s="22" t="str">
        <f>NodesData[[#This Row],[Node ID]]</f>
        <v>nA41D81DD_A231_43DB_A8BF_E136E86BDC97</v>
      </c>
      <c r="D311" s="4"/>
      <c r="E311" s="25" t="str" cm="1">
        <f t="array" ref="E311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Scope","group":"","id":"nA41D81DD_A231_43DB_A8BF_E136E86BDC97","url":""}</v>
      </c>
    </row>
    <row r="312" spans="1:5" ht="13.9" thickTop="1" thickBot="1" x14ac:dyDescent="0.4">
      <c r="A312" s="3" t="str">
        <f>NodesData[[#This Row],[Common Name]]</f>
        <v>Orphan</v>
      </c>
      <c r="B312" s="3" t="str">
        <f>IF(NodesData[[#This Row],[Context Instanciation]]="","",NodesData[[#This Row],[Context Instanciation]])</f>
        <v/>
      </c>
      <c r="C312" s="22" t="str">
        <f>NodesData[[#This Row],[Node ID]]</f>
        <v>n4AE20DB0_76C4_4F45_8465_74F243AABAEF</v>
      </c>
      <c r="D312" s="10" t="s">
        <v>1005</v>
      </c>
      <c r="E312" s="25" t="str" cm="1">
        <f t="array" ref="E312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Orphan Account</v>
      </c>
      <c r="B313" s="3" t="str">
        <f>IF(NodesData[[#This Row],[Context Instanciation]]="","",NodesData[[#This Row],[Context Instanciation]])</f>
        <v/>
      </c>
      <c r="C313" s="22" t="str">
        <f>NodesData[[#This Row],[Node ID]]</f>
        <v>n9BFEB967_7B86_4B3D_9C7E_0511B974AE4D</v>
      </c>
      <c r="D313" s="10" t="s">
        <v>1007</v>
      </c>
      <c r="E313" s="25" t="str" cm="1">
        <f t="array" ref="E313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Orphan File</v>
      </c>
      <c r="B314" s="3" t="str">
        <f>IF(NodesData[[#This Row],[Context Instanciation]]="","",NodesData[[#This Row],[Context Instanciation]])</f>
        <v/>
      </c>
      <c r="C314" s="22" t="str">
        <f>NodesData[[#This Row],[Node ID]]</f>
        <v>n5AE1D03E_6BE9_4D64_877A_463F2CD1823C</v>
      </c>
      <c r="D314" s="10" t="s">
        <v>1009</v>
      </c>
      <c r="E314" s="25" t="str" cm="1">
        <f t="array" ref="E314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Orphan Object</v>
      </c>
      <c r="B315" s="3" t="str">
        <f>IF(NodesData[[#This Row],[Context Instanciation]]="","",NodesData[[#This Row],[Context Instanciation]])</f>
        <v/>
      </c>
      <c r="C315" s="22" t="str">
        <f>NodesData[[#This Row],[Node ID]]</f>
        <v>nBF0C1B68_F08A_4202_9757_9E8291426C10</v>
      </c>
      <c r="D315" s="10" t="s">
        <v>1011</v>
      </c>
      <c r="E315" s="25" t="str" cm="1">
        <f t="array" ref="E315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 Process</v>
      </c>
      <c r="B316" s="3" t="str">
        <f>IF(NodesData[[#This Row],[Context Instanciation]]="","",NodesData[[#This Row],[Context Instanciation]])</f>
        <v/>
      </c>
      <c r="C316" s="22" t="str">
        <f>NodesData[[#This Row],[Node ID]]</f>
        <v>nAEC674BE_91C6_4A77_962B_1FC629184791</v>
      </c>
      <c r="D316" s="10" t="s">
        <v>1013</v>
      </c>
      <c r="E316" s="25" t="str" cm="1">
        <f t="array" ref="E316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Product</v>
      </c>
      <c r="B317" s="3" t="str">
        <f>IF(NodesData[[#This Row],[Context Instanciation]]="","",NodesData[[#This Row],[Context Instanciation]])</f>
        <v/>
      </c>
      <c r="C317" s="22" t="str">
        <f>NodesData[[#This Row],[Node ID]]</f>
        <v>n6F060A06_4EC7_40D0_BE25_18BB706EAC33</v>
      </c>
      <c r="D317" s="10" t="s">
        <v>1015</v>
      </c>
      <c r="E317" s="25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Role</v>
      </c>
      <c r="B318" s="3" t="str">
        <f>IF(NodesData[[#This Row],[Context Instanciation]]="","",NodesData[[#This Row],[Context Instanciation]])</f>
        <v/>
      </c>
      <c r="C318" s="22" t="str">
        <f>NodesData[[#This Row],[Node ID]]</f>
        <v>n0D10D535_12CA_43D7_8C25_D56FF795B5EB</v>
      </c>
      <c r="D318" s="10" t="s">
        <v>1017</v>
      </c>
      <c r="E318" s="25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Routes / APIs</v>
      </c>
      <c r="B319" s="3" t="str">
        <f>IF(NodesData[[#This Row],[Context Instanciation]]="","",NodesData[[#This Row],[Context Instanciation]])</f>
        <v/>
      </c>
      <c r="C319" s="22" t="str">
        <f>NodesData[[#This Row],[Node ID]]</f>
        <v>nFB81B88B_935E_4937_8C9D_107D390BB8B5</v>
      </c>
      <c r="D319" s="10" t="s">
        <v>1019</v>
      </c>
      <c r="E319" s="25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System</v>
      </c>
      <c r="B320" s="3" t="str">
        <f>IF(NodesData[[#This Row],[Context Instanciation]]="","",NodesData[[#This Row],[Context Instanciation]])</f>
        <v/>
      </c>
      <c r="C320" s="22" t="str">
        <f>NodesData[[#This Row],[Node ID]]</f>
        <v>nEF01C104_C9F5_4399_B8A7_5AEEE0AEED69</v>
      </c>
      <c r="D320" s="3"/>
      <c r="E320" s="25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System","group":"","id":"nEF01C104_C9F5_4399_B8A7_5AEEE0AEED69","url":""}</v>
      </c>
    </row>
    <row r="321" spans="1:5" ht="13.9" thickTop="1" thickBot="1" x14ac:dyDescent="0.4">
      <c r="A321" s="3" t="str">
        <f>NodesData[[#This Row],[Common Name]]</f>
        <v>Out-of-band Authentication</v>
      </c>
      <c r="B321" s="3" t="str">
        <f>IF(NodesData[[#This Row],[Context Instanciation]]="","",NodesData[[#This Row],[Context Instanciation]])</f>
        <v/>
      </c>
      <c r="C321" s="22" t="str">
        <f>NodesData[[#This Row],[Node ID]]</f>
        <v>n7044B2C5_B689_4BDB_A361_6960562C0FC0</v>
      </c>
      <c r="D321" s="10" t="s">
        <v>1021</v>
      </c>
      <c r="E321" s="25" t="str" cm="1">
        <f t="array" ref="E321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Outsider</v>
      </c>
      <c r="B322" s="3" t="str">
        <f>IF(NodesData[[#This Row],[Context Instanciation]]="","",NodesData[[#This Row],[Context Instanciation]])</f>
        <v/>
      </c>
      <c r="C322" s="22" t="str">
        <f>NodesData[[#This Row],[Node ID]]</f>
        <v>n04522218_BC1E_4939_A068_7AA0277A1265</v>
      </c>
      <c r="D322" s="10" t="s">
        <v>1023</v>
      </c>
      <c r="E322" s="25" t="str" cm="1">
        <f t="array" ref="E322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Palmprint Recognition Authentication</v>
      </c>
      <c r="B323" s="3" t="str">
        <f>IF(NodesData[[#This Row],[Context Instanciation]]="","",NodesData[[#This Row],[Context Instanciation]])</f>
        <v/>
      </c>
      <c r="C323" s="22" t="str">
        <f>NodesData[[#This Row],[Node ID]]</f>
        <v>nD67337C3_82D6_4A00_9312_77ECF955E4EE</v>
      </c>
      <c r="D323" s="10" t="s">
        <v>1024</v>
      </c>
      <c r="E323" s="25" t="str" cm="1">
        <f t="array" ref="E323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Passive Impersonation Attack</v>
      </c>
      <c r="B324" s="3" t="str">
        <f>IF(NodesData[[#This Row],[Context Instanciation]]="","",NodesData[[#This Row],[Context Instanciation]])</f>
        <v/>
      </c>
      <c r="C324" s="22" t="str">
        <f>NodesData[[#This Row],[Node ID]]</f>
        <v>n4734DAE8_90B6_45CA_8550_5A34B658FAEC</v>
      </c>
      <c r="D324" s="10" t="s">
        <v>1026</v>
      </c>
      <c r="E324" s="25" t="str" cm="1">
        <f t="array" ref="E324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Passphrase Authentication</v>
      </c>
      <c r="B325" s="3" t="str">
        <f>IF(NodesData[[#This Row],[Context Instanciation]]="","",NodesData[[#This Row],[Context Instanciation]])</f>
        <v/>
      </c>
      <c r="C325" s="22" t="str">
        <f>NodesData[[#This Row],[Node ID]]</f>
        <v>n3CB32145_0EE1_4C68_8C6C_279904089B9A</v>
      </c>
      <c r="D325" s="10" t="s">
        <v>1027</v>
      </c>
      <c r="E325" s="25" t="str" cm="1">
        <f t="array" ref="E325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Password Guessing Attack</v>
      </c>
      <c r="B326" s="3" t="str">
        <f>IF(NodesData[[#This Row],[Context Instanciation]]="","",NodesData[[#This Row],[Context Instanciation]])</f>
        <v/>
      </c>
      <c r="C326" s="22" t="str">
        <f>NodesData[[#This Row],[Node ID]]</f>
        <v>n8F169889_C3EB_49DF_A679_4F5F53173B73</v>
      </c>
      <c r="D326" s="10" t="s">
        <v>1029</v>
      </c>
      <c r="E326" s="25" t="str" cm="1">
        <f t="array" ref="E326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Password Rotation</v>
      </c>
      <c r="B327" s="3" t="str">
        <f>IF(NodesData[[#This Row],[Context Instanciation]]="","",NodesData[[#This Row],[Context Instanciation]])</f>
        <v/>
      </c>
      <c r="C327" s="22" t="str">
        <f>NodesData[[#This Row],[Node ID]]</f>
        <v>n6265AECA_324C_41E3_B3D3_84135CF3C7BD</v>
      </c>
      <c r="D327" s="10" t="s">
        <v>1031</v>
      </c>
      <c r="E327" s="25" t="str" cm="1">
        <f t="array" ref="E327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Password Spraying Attack</v>
      </c>
      <c r="B328" s="3" t="str">
        <f>IF(NodesData[[#This Row],[Context Instanciation]]="","",NodesData[[#This Row],[Context Instanciation]])</f>
        <v/>
      </c>
      <c r="C328" s="22" t="str">
        <f>NodesData[[#This Row],[Node ID]]</f>
        <v>nD75B5C62_D379_4138_8BEA_4403C4F682CA</v>
      </c>
      <c r="D328" s="10" t="s">
        <v>1033</v>
      </c>
      <c r="E328" s="25" t="str" cm="1">
        <f t="array" ref="E328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Password-Based Authentication</v>
      </c>
      <c r="B329" s="3" t="str">
        <f>IF(NodesData[[#This Row],[Context Instanciation]]="","",NodesData[[#This Row],[Context Instanciation]])</f>
        <v/>
      </c>
      <c r="C329" s="22" t="str">
        <f>NodesData[[#This Row],[Node ID]]</f>
        <v>nC40BED13_84D6_4487_B1D8_408847C59080</v>
      </c>
      <c r="D329" s="10" t="s">
        <v>1034</v>
      </c>
      <c r="E329" s="25" t="str" cm="1">
        <f t="array" ref="E329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Passwordless Authentication</v>
      </c>
      <c r="B330" s="3" t="str">
        <f>IF(NodesData[[#This Row],[Context Instanciation]]="","",NodesData[[#This Row],[Context Instanciation]])</f>
        <v/>
      </c>
      <c r="C330" s="22" t="str">
        <f>NodesData[[#This Row],[Node ID]]</f>
        <v>n78F6BABC_A65F_473D_BCDE_FEE7D54A424A</v>
      </c>
      <c r="D330" s="10" t="s">
        <v>1036</v>
      </c>
      <c r="E330" s="25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People</v>
      </c>
      <c r="B331" s="3" t="str">
        <f>IF(NodesData[[#This Row],[Context Instanciation]]="","",NodesData[[#This Row],[Context Instanciation]])</f>
        <v/>
      </c>
      <c r="C331" s="22" t="str">
        <f>NodesData[[#This Row],[Node ID]]</f>
        <v>n4CF1B3F5_CACC_4AD2_BDA1_4AF301F4C65D</v>
      </c>
      <c r="D331" s="8"/>
      <c r="E331" s="25" t="str" cm="1">
        <f t="array" ref="E331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,{"label":"People","group":"","id":"n4CF1B3F5_CACC_4AD2_BDA1_4AF301F4C65D","url":""}</v>
      </c>
    </row>
    <row r="332" spans="1:5" ht="13.9" thickTop="1" thickBot="1" x14ac:dyDescent="0.4">
      <c r="A332" s="3" t="str">
        <f>NodesData[[#This Row],[Common Name]]</f>
        <v>Permission</v>
      </c>
      <c r="B332" s="3" t="str">
        <f>IF(NodesData[[#This Row],[Context Instanciation]]="","",NodesData[[#This Row],[Context Instanciation]])</f>
        <v/>
      </c>
      <c r="C332" s="22" t="str">
        <f>NodesData[[#This Row],[Node ID]]</f>
        <v>n01EF8E33_9CCC_40C8_9331_68F0F5358EC1</v>
      </c>
      <c r="D332" s="10" t="s">
        <v>1038</v>
      </c>
      <c r="E332" s="25" t="str" cm="1">
        <f t="array" ref="E332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Persona</v>
      </c>
      <c r="B333" s="3" t="str">
        <f>IF(NodesData[[#This Row],[Context Instanciation]]="","",NodesData[[#This Row],[Context Instanciation]])</f>
        <v/>
      </c>
      <c r="C333" s="22" t="str">
        <f>NodesData[[#This Row],[Node ID]]</f>
        <v>n36E8FD72_C9A2_4D50_986E_5DC62C773748</v>
      </c>
      <c r="D333" s="10" t="s">
        <v>1040</v>
      </c>
      <c r="E333" s="25" t="str" cm="1">
        <f t="array" ref="E333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Personal Identification Number Authentication</v>
      </c>
      <c r="B334" s="3" t="str">
        <f>IF(NodesData[[#This Row],[Context Instanciation]]="","",NodesData[[#This Row],[Context Instanciation]])</f>
        <v/>
      </c>
      <c r="C334" s="22" t="str">
        <f>NodesData[[#This Row],[Node ID]]</f>
        <v>n7A6515A7_E313_45AC_A024_B7321A51BBF0</v>
      </c>
      <c r="D334" s="10" t="s">
        <v>1042</v>
      </c>
      <c r="E334" s="25" t="str" cm="1">
        <f t="array" ref="E334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Physical Token OTP</v>
      </c>
      <c r="B335" s="3" t="str">
        <f>IF(NodesData[[#This Row],[Context Instanciation]]="","",NodesData[[#This Row],[Context Instanciation]])</f>
        <v/>
      </c>
      <c r="C335" s="22" t="str">
        <f>NodesData[[#This Row],[Node ID]]</f>
        <v>n464C132D_5900_4F55_8F96_F62557EA18BE</v>
      </c>
      <c r="D335" s="10" t="s">
        <v>1044</v>
      </c>
      <c r="E335" s="25" t="str" cm="1">
        <f t="array" ref="E335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PMS</v>
      </c>
      <c r="B336" s="3" t="str">
        <f>IF(NodesData[[#This Row],[Context Instanciation]]="","",NodesData[[#This Row],[Context Instanciation]])</f>
        <v/>
      </c>
      <c r="C336" s="22" t="str">
        <f>NodesData[[#This Row],[Node ID]]</f>
        <v>nEBC962F0_3340_49DC_9E34_B2B7557F9372</v>
      </c>
      <c r="D336" s="10" t="s">
        <v>1037</v>
      </c>
      <c r="E336" s="25" t="str" cm="1">
        <f t="array" ref="E336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Policy</v>
      </c>
      <c r="B337" s="3" t="str">
        <f>IF(NodesData[[#This Row],[Context Instanciation]]="","",NodesData[[#This Row],[Context Instanciation]])</f>
        <v/>
      </c>
      <c r="C337" s="22" t="str">
        <f>NodesData[[#This Row],[Node ID]]</f>
        <v>nAA77CC85_5C4B_467C_8062_029385C2AF09</v>
      </c>
      <c r="D337" s="10" t="s">
        <v>1048</v>
      </c>
      <c r="E337" s="25" t="str" cm="1">
        <f t="array" ref="E337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Policy Analysis</v>
      </c>
      <c r="B338" s="3" t="str">
        <f>IF(NodesData[[#This Row],[Context Instanciation]]="","",NodesData[[#This Row],[Context Instanciation]])</f>
        <v/>
      </c>
      <c r="C338" s="22" t="str">
        <f>NodesData[[#This Row],[Node ID]]</f>
        <v>n5873E20E_7DC8_43B0_B048_106A80E87640</v>
      </c>
      <c r="D338" s="10" t="s">
        <v>1050</v>
      </c>
      <c r="E338" s="25" t="str" cm="1">
        <f t="array" ref="E338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Policy Centralization</v>
      </c>
      <c r="B339" s="3" t="str">
        <f>IF(NodesData[[#This Row],[Context Instanciation]]="","",NodesData[[#This Row],[Context Instanciation]])</f>
        <v/>
      </c>
      <c r="C339" s="22" t="str">
        <f>NodesData[[#This Row],[Node ID]]</f>
        <v>n10B244A8_21C9_4D9D_9E27_FE5ABBED56A5</v>
      </c>
      <c r="D339" s="10" t="s">
        <v>1046</v>
      </c>
      <c r="E339" s="25" t="str" cm="1">
        <f t="array" ref="E339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Policy Interoperability</v>
      </c>
      <c r="B340" s="3" t="str">
        <f>IF(NodesData[[#This Row],[Context Instanciation]]="","",NodesData[[#This Row],[Context Instanciation]])</f>
        <v/>
      </c>
      <c r="C340" s="22" t="str">
        <f>NodesData[[#This Row],[Node ID]]</f>
        <v>n76740F74_7039_4200_B48A_59A8A4A3D1A0</v>
      </c>
      <c r="D340" s="10" t="s">
        <v>1054</v>
      </c>
      <c r="E340" s="25" t="str" cm="1">
        <f t="array" ref="E340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 Manageability</v>
      </c>
      <c r="B341" s="3" t="str">
        <f>IF(NodesData[[#This Row],[Context Instanciation]]="","",NodesData[[#This Row],[Context Instanciation]])</f>
        <v/>
      </c>
      <c r="C341" s="22" t="str">
        <f>NodesData[[#This Row],[Node ID]]</f>
        <v>nD3DD18B2_66DE_48D3_962B_511205F74E07</v>
      </c>
      <c r="D341" s="10" t="s">
        <v>1056</v>
      </c>
      <c r="E341" s="25" t="str" cm="1">
        <f t="array" ref="E341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Mining</v>
      </c>
      <c r="B342" s="3" t="str">
        <f>IF(NodesData[[#This Row],[Context Instanciation]]="","",NodesData[[#This Row],[Context Instanciation]])</f>
        <v/>
      </c>
      <c r="C342" s="22" t="str">
        <f>NodesData[[#This Row],[Node ID]]</f>
        <v>nB5D0C15D_30A8_4D8C_9DF1_B0D78AC0EB44</v>
      </c>
      <c r="D342" s="10" t="s">
        <v>1058</v>
      </c>
      <c r="E342" s="25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Modeling</v>
      </c>
      <c r="B343" s="3" t="str">
        <f>IF(NodesData[[#This Row],[Context Instanciation]]="","",NodesData[[#This Row],[Context Instanciation]])</f>
        <v/>
      </c>
      <c r="C343" s="22" t="str">
        <f>NodesData[[#This Row],[Node ID]]</f>
        <v>n455C0775_9E71_475A_9F9D_FE0281B80BC0</v>
      </c>
      <c r="D343" s="10" t="s">
        <v>1060</v>
      </c>
      <c r="E343" s="25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Possession Factor</v>
      </c>
      <c r="B344" s="3" t="str">
        <f>IF(NodesData[[#This Row],[Context Instanciation]]="","",NodesData[[#This Row],[Context Instanciation]])</f>
        <v/>
      </c>
      <c r="C344" s="22" t="str">
        <f>NodesData[[#This Row],[Node ID]]</f>
        <v>n8B4BB7FC_2E2A_4C1A_8657_58EEC2DF8A9A</v>
      </c>
      <c r="D344" s="10" t="s">
        <v>1062</v>
      </c>
      <c r="E344" s="25" t="str" cm="1">
        <f t="array" ref="E344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Pre-approval</v>
      </c>
      <c r="B345" s="3" t="str">
        <f>IF(NodesData[[#This Row],[Context Instanciation]]="","",NodesData[[#This Row],[Context Instanciation]])</f>
        <v/>
      </c>
      <c r="C345" s="22" t="str">
        <f>NodesData[[#This Row],[Node ID]]</f>
        <v>n709A4E65_BD24_4FB3_AF6D_E95E57F0157C</v>
      </c>
      <c r="D345" s="10" t="s">
        <v>1064</v>
      </c>
      <c r="E345" s="25" t="str" cm="1">
        <f t="array" ref="E345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Principal</v>
      </c>
      <c r="B346" s="3" t="str">
        <f>IF(NodesData[[#This Row],[Context Instanciation]]="","",NodesData[[#This Row],[Context Instanciation]])</f>
        <v/>
      </c>
      <c r="C346" s="22" t="str">
        <f>NodesData[[#This Row],[Node ID]]</f>
        <v>nE2F3A772_EEDF_4F78_9194_533B50B4644F</v>
      </c>
      <c r="D346" s="10" t="s">
        <v>1066</v>
      </c>
      <c r="E346" s="25" t="str" cm="1">
        <f t="array" ref="E346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Private Key Loss</v>
      </c>
      <c r="B347" s="3" t="str">
        <f>IF(NodesData[[#This Row],[Context Instanciation]]="","",NodesData[[#This Row],[Context Instanciation]])</f>
        <v/>
      </c>
      <c r="C347" s="22" t="str">
        <f>NodesData[[#This Row],[Node ID]]</f>
        <v>n3805BE20_DE10_4929_A9F5_5042661EDA36</v>
      </c>
      <c r="D347" s="10" t="s">
        <v>1068</v>
      </c>
      <c r="E347" s="25" t="str" cm="1">
        <f t="array" ref="E347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Privilege</v>
      </c>
      <c r="B348" s="3" t="str">
        <f>IF(NodesData[[#This Row],[Context Instanciation]]="","",NodesData[[#This Row],[Context Instanciation]])</f>
        <v/>
      </c>
      <c r="C348" s="22" t="str">
        <f>NodesData[[#This Row],[Node ID]]</f>
        <v>n3A9A58DA_FA73_4A42_AD4D_20181F1594F1</v>
      </c>
      <c r="D348" s="10" t="s">
        <v>1052</v>
      </c>
      <c r="E348" s="25" t="str" cm="1">
        <f t="array" ref="E348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Privilege Abuse</v>
      </c>
      <c r="B349" s="3" t="str">
        <f>IF(NodesData[[#This Row],[Context Instanciation]]="","",NodesData[[#This Row],[Context Instanciation]])</f>
        <v/>
      </c>
      <c r="C349" s="22" t="str">
        <f>NodesData[[#This Row],[Node ID]]</f>
        <v>nC8E821DA_5F6B_4960_9FEF_DC5199DC42F0</v>
      </c>
      <c r="D349" s="10" t="s">
        <v>1072</v>
      </c>
      <c r="E349" s="25" t="str" cm="1">
        <f t="array" ref="E349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Privilege Chaining</v>
      </c>
      <c r="B350" s="3" t="str">
        <f>IF(NodesData[[#This Row],[Context Instanciation]]="","",NodesData[[#This Row],[Context Instanciation]])</f>
        <v/>
      </c>
      <c r="C350" s="22" t="str">
        <f>NodesData[[#This Row],[Node ID]]</f>
        <v>n6AAB869E_8FFB_43B2_BCDE_C4BB8F0E0948</v>
      </c>
      <c r="D350" s="10" t="s">
        <v>1086</v>
      </c>
      <c r="E350" s="25" t="str" cm="1">
        <f t="array" ref="E350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Privilege Escalation</v>
      </c>
      <c r="B351" s="3" t="str">
        <f>IF(NodesData[[#This Row],[Context Instanciation]]="","",NodesData[[#This Row],[Context Instanciation]])</f>
        <v/>
      </c>
      <c r="C351" s="22" t="str">
        <f>NodesData[[#This Row],[Node ID]]</f>
        <v>n640E2EBF_F163_41EF_A5E7_E328911BBC8E</v>
      </c>
      <c r="D351" s="10" t="s">
        <v>1074</v>
      </c>
      <c r="E351" s="25" t="str" cm="1">
        <f t="array" ref="E351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Privileged Identity</v>
      </c>
      <c r="B352" s="3" t="str">
        <f>IF(NodesData[[#This Row],[Context Instanciation]]="","",NodesData[[#This Row],[Context Instanciation]])</f>
        <v/>
      </c>
      <c r="C352" s="22" t="str">
        <f>NodesData[[#This Row],[Node ID]]</f>
        <v>n38442FF1_AFF1_4481_B414_D70DEE27F0EC</v>
      </c>
      <c r="D352" s="10" t="s">
        <v>1076</v>
      </c>
      <c r="E352" s="25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Privileged Insider</v>
      </c>
      <c r="B353" s="3" t="str">
        <f>IF(NodesData[[#This Row],[Context Instanciation]]="","",NodesData[[#This Row],[Context Instanciation]])</f>
        <v/>
      </c>
      <c r="C353" s="22" t="str">
        <f>NodesData[[#This Row],[Node ID]]</f>
        <v>nB8B1D9E3_CCB1_4B48_8962_EA0A592DA1E6</v>
      </c>
      <c r="D353" s="10" t="s">
        <v>1078</v>
      </c>
      <c r="E353" s="25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Provisioning</v>
      </c>
      <c r="B354" s="3" t="str">
        <f>IF(NodesData[[#This Row],[Context Instanciation]]="","",NodesData[[#This Row],[Context Instanciation]])</f>
        <v/>
      </c>
      <c r="C354" s="22" t="str">
        <f>NodesData[[#This Row],[Node ID]]</f>
        <v>nD0A7D3C9_1A0B_49DC_A3E2_41483CB017E4</v>
      </c>
      <c r="D354" s="10" t="s">
        <v>1080</v>
      </c>
      <c r="E354" s="25" t="str" cm="1">
        <f t="array" ref="E354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QR Code Authentication</v>
      </c>
      <c r="B355" s="3" t="str">
        <f>IF(NodesData[[#This Row],[Context Instanciation]]="","",NodesData[[#This Row],[Context Instanciation]])</f>
        <v/>
      </c>
      <c r="C355" s="22" t="str">
        <f>NodesData[[#This Row],[Node ID]]</f>
        <v>n797F89B7_EBFE_4624_B7EE_5952C851879E</v>
      </c>
      <c r="D355" s="10" t="s">
        <v>1082</v>
      </c>
      <c r="E355" s="25" t="str" cm="1">
        <f t="array" ref="E355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Qualitative Identity</v>
      </c>
      <c r="B356" s="3" t="str">
        <f>IF(NodesData[[#This Row],[Context Instanciation]]="","",NodesData[[#This Row],[Context Instanciation]])</f>
        <v/>
      </c>
      <c r="C356" s="22" t="str">
        <f>NodesData[[#This Row],[Node ID]]</f>
        <v>n2D4F2CD5_91A2_4116_8CF5_9FA6ED9E736D</v>
      </c>
      <c r="D356" s="10" t="s">
        <v>1084</v>
      </c>
      <c r="E356" s="25" t="str" cm="1">
        <f t="array" ref="E356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RA</v>
      </c>
      <c r="B357" s="3" t="str">
        <f>IF(NodesData[[#This Row],[Context Instanciation]]="","",NodesData[[#This Row],[Context Instanciation]])</f>
        <v/>
      </c>
      <c r="C357" s="22" t="str">
        <f>NodesData[[#This Row],[Node ID]]</f>
        <v>n9F7D871B_3DEB_4A88_B41B_59E3F5381286</v>
      </c>
      <c r="D357" s="10" t="s">
        <v>1088</v>
      </c>
      <c r="E357" s="25" t="str" cm="1">
        <f t="array" ref="E357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Ratio Scale</v>
      </c>
      <c r="B358" s="3" t="str">
        <f>IF(NodesData[[#This Row],[Context Instanciation]]="","",NodesData[[#This Row],[Context Instanciation]])</f>
        <v/>
      </c>
      <c r="C358" s="22" t="str">
        <f>NodesData[[#This Row],[Node ID]]</f>
        <v>n9EABB6A3_3B7A_42A6_A127_9CD98E43B6C0</v>
      </c>
      <c r="D358" s="10" t="s">
        <v>1089</v>
      </c>
      <c r="E358" s="25" t="str" cm="1">
        <f t="array" ref="E358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RBA</v>
      </c>
      <c r="B359" s="3" t="str">
        <f>IF(NodesData[[#This Row],[Context Instanciation]]="","",NodesData[[#This Row],[Context Instanciation]])</f>
        <v/>
      </c>
      <c r="C359" s="22" t="str">
        <f>NodesData[[#This Row],[Node ID]]</f>
        <v>nA3D07637_D18C_4A84_B9BE_EC33462CCE27</v>
      </c>
      <c r="D359" s="10" t="s">
        <v>1090</v>
      </c>
      <c r="E359" s="25" t="str" cm="1">
        <f t="array" ref="E359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Re-authentication</v>
      </c>
      <c r="B360" s="3" t="str">
        <f>IF(NodesData[[#This Row],[Context Instanciation]]="","",NodesData[[#This Row],[Context Instanciation]])</f>
        <v/>
      </c>
      <c r="C360" s="22" t="str">
        <f>NodesData[[#This Row],[Node ID]]</f>
        <v>n7F9AFAF9_8A03_4A7B_B9E6_BFE1D2A9302D</v>
      </c>
      <c r="D360" s="10" t="s">
        <v>1092</v>
      </c>
      <c r="E360" s="25" t="str" cm="1">
        <f t="array" ref="E360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Recertification</v>
      </c>
      <c r="B361" s="3" t="str">
        <f>IF(NodesData[[#This Row],[Context Instanciation]]="","",NodesData[[#This Row],[Context Instanciation]])</f>
        <v/>
      </c>
      <c r="C361" s="22" t="str">
        <f>NodesData[[#This Row],[Node ID]]</f>
        <v>nD44F34C0_2002_47C7_8592_BF38B5BF83F8</v>
      </c>
      <c r="D361" s="10" t="s">
        <v>1094</v>
      </c>
      <c r="E361" s="25" t="str" cm="1">
        <f t="array" ref="E361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Reference Monitor</v>
      </c>
      <c r="B362" s="3" t="str">
        <f>IF(NodesData[[#This Row],[Context Instanciation]]="","",NodesData[[#This Row],[Context Instanciation]])</f>
        <v/>
      </c>
      <c r="C362" s="22" t="str">
        <f>NodesData[[#This Row],[Node ID]]</f>
        <v>n000D1617_D659_4780_A829_736ADFBC46B9</v>
      </c>
      <c r="D362" s="10" t="s">
        <v>1096</v>
      </c>
      <c r="E362" s="25" t="str" cm="1">
        <f t="array" ref="E362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Registration Authority</v>
      </c>
      <c r="B363" s="3" t="str">
        <f>IF(NodesData[[#This Row],[Context Instanciation]]="","",NodesData[[#This Row],[Context Instanciation]])</f>
        <v/>
      </c>
      <c r="C363" s="22" t="str">
        <f>NodesData[[#This Row],[Node ID]]</f>
        <v>nA28366D4_CC5A_467A_B4DC_EB619866BB17</v>
      </c>
      <c r="D363" s="10" t="s">
        <v>1098</v>
      </c>
      <c r="E363" s="25" t="str" cm="1">
        <f t="array" ref="E363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Rejoiner</v>
      </c>
      <c r="B364" s="3" t="str">
        <f>IF(NodesData[[#This Row],[Context Instanciation]]="","",NodesData[[#This Row],[Context Instanciation]])</f>
        <v/>
      </c>
      <c r="C364" s="22" t="str">
        <f>NodesData[[#This Row],[Node ID]]</f>
        <v>nFFC60251_1B95_42A0_9516_E5AC18B9BF28</v>
      </c>
      <c r="D364" s="10" t="s">
        <v>1100</v>
      </c>
      <c r="E364" s="25" t="str" cm="1">
        <f t="array" ref="E364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Relying Party</v>
      </c>
      <c r="B365" s="3" t="str">
        <f>IF(NodesData[[#This Row],[Context Instanciation]]="","",NodesData[[#This Row],[Context Instanciation]])</f>
        <v/>
      </c>
      <c r="C365" s="22" t="str">
        <f>NodesData[[#This Row],[Node ID]]</f>
        <v>n85520257_66D0_4CD1_A52A_85A6885DB4CE</v>
      </c>
      <c r="D365" s="10" t="s">
        <v>1102</v>
      </c>
      <c r="E365" s="25" t="str" cm="1">
        <f t="array" ref="E365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Remote Identity Proofing</v>
      </c>
      <c r="B366" s="3" t="str">
        <f>IF(NodesData[[#This Row],[Context Instanciation]]="","",NodesData[[#This Row],[Context Instanciation]])</f>
        <v/>
      </c>
      <c r="C366" s="22" t="str">
        <f>NodesData[[#This Row],[Node ID]]</f>
        <v>nCF5B4529_F5E4_4C1C_9CD1_0E67643481B4</v>
      </c>
      <c r="D366" s="10" t="s">
        <v>1104</v>
      </c>
      <c r="E366" s="25" t="str" cm="1">
        <f t="array" ref="E366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Repeatability</v>
      </c>
      <c r="B367" s="3" t="str">
        <f>IF(NodesData[[#This Row],[Context Instanciation]]="","",NodesData[[#This Row],[Context Instanciation]])</f>
        <v/>
      </c>
      <c r="C367" s="22" t="str">
        <f>NodesData[[#This Row],[Node ID]]</f>
        <v>n27D0EABD_A0B3_47A6_A86A_8C13F8721BE1</v>
      </c>
      <c r="D367" s="10" t="s">
        <v>1106</v>
      </c>
      <c r="E367" s="25" t="str" cm="1">
        <f t="array" ref="E367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Representation Target</v>
      </c>
      <c r="B368" s="3" t="str">
        <f>IF(NodesData[[#This Row],[Context Instanciation]]="","",NodesData[[#This Row],[Context Instanciation]])</f>
        <v/>
      </c>
      <c r="C368" s="22" t="str">
        <f>NodesData[[#This Row],[Node ID]]</f>
        <v>nE99045EA_CC68_44E2_A22A_2917BDB8276C</v>
      </c>
      <c r="D368" s="10" t="s">
        <v>1108</v>
      </c>
      <c r="E368" s="25" t="str" cm="1">
        <f t="array" ref="E368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Reproducibility</v>
      </c>
      <c r="B369" s="3" t="str">
        <f>IF(NodesData[[#This Row],[Context Instanciation]]="","",NodesData[[#This Row],[Context Instanciation]])</f>
        <v/>
      </c>
      <c r="C369" s="22" t="str">
        <f>NodesData[[#This Row],[Node ID]]</f>
        <v>n92552E85_6D6E_4D55_B4F1_C478A4FB8BC6</v>
      </c>
      <c r="D369" s="10" t="s">
        <v>1110</v>
      </c>
      <c r="E369" s="25" t="str" cm="1">
        <f t="array" ref="E369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Revocation</v>
      </c>
      <c r="B370" s="3" t="str">
        <f>IF(NodesData[[#This Row],[Context Instanciation]]="","",NodesData[[#This Row],[Context Instanciation]])</f>
        <v/>
      </c>
      <c r="C370" s="22" t="str">
        <f>NodesData[[#This Row],[Node ID]]</f>
        <v>n019EE7D0_AFF3_44D6_B229_9F7E8C9D4151</v>
      </c>
      <c r="D370" s="10" t="s">
        <v>1112</v>
      </c>
      <c r="E370" s="25" t="str" cm="1">
        <f t="array" ref="E370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RIDP</v>
      </c>
      <c r="B371" s="3" t="str">
        <f>IF(NodesData[[#This Row],[Context Instanciation]]="","",NodesData[[#This Row],[Context Instanciation]])</f>
        <v/>
      </c>
      <c r="C371" s="22" t="str">
        <f>NodesData[[#This Row],[Node ID]]</f>
        <v>n2B1493D9_E52C_47E8_875B_74265080C8CB</v>
      </c>
      <c r="D371" s="10" t="s">
        <v>1113</v>
      </c>
      <c r="E371" s="25" t="str" cm="1">
        <f t="array" ref="E371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Risk-Based Authentication</v>
      </c>
      <c r="B372" s="3" t="str">
        <f>IF(NodesData[[#This Row],[Context Instanciation]]="","",NodesData[[#This Row],[Context Instanciation]])</f>
        <v/>
      </c>
      <c r="C372" s="22" t="str">
        <f>NodesData[[#This Row],[Node ID]]</f>
        <v>n963C5840_F55F_44D3_ABCE_9B86FAE16FEF</v>
      </c>
      <c r="D372" s="10" t="s">
        <v>1115</v>
      </c>
      <c r="E372" s="25" t="str" cm="1">
        <f t="array" ref="E372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Role</v>
      </c>
      <c r="B373" s="3" t="str">
        <f>IF(NodesData[[#This Row],[Context Instanciation]]="","",NodesData[[#This Row],[Context Instanciation]])</f>
        <v/>
      </c>
      <c r="C373" s="22" t="str">
        <f>NodesData[[#This Row],[Node ID]]</f>
        <v>nE1050999_27A0_46D4_AFD8_BAFC2970E276</v>
      </c>
      <c r="D373" s="10" t="s">
        <v>1117</v>
      </c>
      <c r="E373" s="25" t="str" cm="1">
        <f t="array" ref="E373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Role Bloating</v>
      </c>
      <c r="B374" s="3" t="str">
        <f>IF(NodesData[[#This Row],[Context Instanciation]]="","",NodesData[[#This Row],[Context Instanciation]])</f>
        <v/>
      </c>
      <c r="C374" s="22" t="str">
        <f>NodesData[[#This Row],[Node ID]]</f>
        <v>n5B801607_99C5_4D93_91CB_94A21227408C</v>
      </c>
      <c r="D374" s="10" t="s">
        <v>1119</v>
      </c>
      <c r="E374" s="25" t="str" cm="1">
        <f t="array" ref="E374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Role Capacity</v>
      </c>
      <c r="B375" s="3" t="str">
        <f>IF(NodesData[[#This Row],[Context Instanciation]]="","",NodesData[[#This Row],[Context Instanciation]])</f>
        <v/>
      </c>
      <c r="C375" s="22" t="str">
        <f>NodesData[[#This Row],[Node ID]]</f>
        <v>n4129C99E_02BA_4B11_AED3_6029D49927EE</v>
      </c>
      <c r="D375" s="10" t="s">
        <v>1070</v>
      </c>
      <c r="E375" s="25" t="str" cm="1">
        <f t="array" ref="E375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Role Cardinality</v>
      </c>
      <c r="B376" s="3" t="str">
        <f>IF(NodesData[[#This Row],[Context Instanciation]]="","",NodesData[[#This Row],[Context Instanciation]])</f>
        <v/>
      </c>
      <c r="C376" s="22" t="str">
        <f>NodesData[[#This Row],[Node ID]]</f>
        <v>nD9EF9B83_2494_406B_95F4_C53820EE35CA</v>
      </c>
      <c r="D376" s="10" t="s">
        <v>1121</v>
      </c>
      <c r="E376" s="25" t="str" cm="1">
        <f t="array" ref="E376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 Cardinality Activation Control</v>
      </c>
      <c r="B377" s="3" t="str">
        <f>IF(NodesData[[#This Row],[Context Instanciation]]="","",NodesData[[#This Row],[Context Instanciation]])</f>
        <v/>
      </c>
      <c r="C377" s="22" t="str">
        <f>NodesData[[#This Row],[Node ID]]</f>
        <v>nC1D0A8DC_6691_4020_A24F_A3218608CDB9</v>
      </c>
      <c r="D377" s="10" t="s">
        <v>1122</v>
      </c>
      <c r="E377" s="25" t="str" cm="1">
        <f t="array" ref="E377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Explosion</v>
      </c>
      <c r="B378" s="3" t="str">
        <f>IF(NodesData[[#This Row],[Context Instanciation]]="","",NodesData[[#This Row],[Context Instanciation]])</f>
        <v/>
      </c>
      <c r="C378" s="22" t="str">
        <f>NodesData[[#This Row],[Node ID]]</f>
        <v>nF3022911_57AF_4961_BB85_E6B8E9F54AEF</v>
      </c>
      <c r="D378" s="10" t="s">
        <v>1124</v>
      </c>
      <c r="E378" s="25" t="str" cm="1">
        <f t="array" ref="E378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Management</v>
      </c>
      <c r="B379" s="3" t="str">
        <f>IF(NodesData[[#This Row],[Context Instanciation]]="","",NodesData[[#This Row],[Context Instanciation]])</f>
        <v/>
      </c>
      <c r="C379" s="22" t="str">
        <f>NodesData[[#This Row],[Node ID]]</f>
        <v>n5A5CD70F_DB4D_4769_97A2_CE29EAE58971</v>
      </c>
      <c r="D379" s="10" t="s">
        <v>1126</v>
      </c>
      <c r="E379" s="25" t="str" cm="1">
        <f t="array" ref="E379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Role-Based Access Control</v>
      </c>
      <c r="B380" s="3" t="str">
        <f>IF(NodesData[[#This Row],[Context Instanciation]]="","",NodesData[[#This Row],[Context Instanciation]])</f>
        <v/>
      </c>
      <c r="C380" s="22" t="str">
        <f>NodesData[[#This Row],[Node ID]]</f>
        <v>nC663B247_7314_44F0_87C7_6C58BAD193CB</v>
      </c>
      <c r="D380" s="10" t="s">
        <v>1127</v>
      </c>
      <c r="E380" s="25" t="str" cm="1">
        <f t="array" ref="E380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RP</v>
      </c>
      <c r="B381" s="3" t="str">
        <f>IF(NodesData[[#This Row],[Context Instanciation]]="","",NodesData[[#This Row],[Context Instanciation]])</f>
        <v/>
      </c>
      <c r="C381" s="22" t="str">
        <f>NodesData[[#This Row],[Node ID]]</f>
        <v>nD0324B54_4F7D_4DD3_BBD1_3E5B237DE6B4</v>
      </c>
      <c r="D381" s="10" t="s">
        <v>1129</v>
      </c>
      <c r="E381" s="25" t="str" cm="1">
        <f t="array" ref="E381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SAM Database</v>
      </c>
      <c r="B382" s="3" t="str">
        <f>IF(NodesData[[#This Row],[Context Instanciation]]="","",NodesData[[#This Row],[Context Instanciation]])</f>
        <v/>
      </c>
      <c r="C382" s="22" t="str">
        <f>NodesData[[#This Row],[Node ID]]</f>
        <v>nD9C66A40_325F_45DA_A6E3_E4C20F9377A4</v>
      </c>
      <c r="D382" s="8"/>
      <c r="E382" s="25" t="str" cm="1">
        <f t="array" ref="E382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Database","group":"","id":"nD9C66A40_325F_45DA_A6E3_E4C20F9377A4","url":""}</v>
      </c>
    </row>
    <row r="383" spans="1:5" ht="13.9" thickTop="1" thickBot="1" x14ac:dyDescent="0.4">
      <c r="A383" s="3" t="str">
        <f>NodesData[[#This Row],[Common Name]]</f>
        <v>SAML</v>
      </c>
      <c r="B383" s="3" t="str">
        <f>IF(NodesData[[#This Row],[Context Instanciation]]="","",NodesData[[#This Row],[Context Instanciation]])</f>
        <v/>
      </c>
      <c r="C383" s="22" t="str">
        <f>NodesData[[#This Row],[Node ID]]</f>
        <v>nDCCE280E_D684_42A8_B37B_5711CE76BC43</v>
      </c>
      <c r="D383" s="10" t="s">
        <v>1131</v>
      </c>
      <c r="E383" s="25" t="str" cm="1">
        <f t="array" ref="E383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SCIM 1.0</v>
      </c>
      <c r="B384" s="3" t="str">
        <f>IF(NodesData[[#This Row],[Context Instanciation]]="","",NodesData[[#This Row],[Context Instanciation]])</f>
        <v/>
      </c>
      <c r="C384" s="22" t="str">
        <f>NodesData[[#This Row],[Node ID]]</f>
        <v>n0FF516F1_21CA_4A0C_8AC4_4487F5E1E2CB</v>
      </c>
      <c r="D384" s="10" t="s">
        <v>1133</v>
      </c>
      <c r="E384" s="25" t="str" cm="1">
        <f t="array" ref="E384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SCIM 1.1</v>
      </c>
      <c r="B385" s="3" t="str">
        <f>IF(NodesData[[#This Row],[Context Instanciation]]="","",NodesData[[#This Row],[Context Instanciation]])</f>
        <v/>
      </c>
      <c r="C385" s="22" t="str">
        <f>NodesData[[#This Row],[Node ID]]</f>
        <v>n205B8D02_E855_4B2F_91EF_26C1B23CFC50</v>
      </c>
      <c r="D385" s="8"/>
      <c r="E385" s="25" t="str" cm="1">
        <f t="array" ref="E385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86" spans="1:5" ht="13.9" thickTop="1" thickBot="1" x14ac:dyDescent="0.4">
      <c r="A386" s="3" t="str">
        <f>NodesData[[#This Row],[Common Name]]</f>
        <v>SCIM 2.0</v>
      </c>
      <c r="B386" s="3" t="str">
        <f>IF(NodesData[[#This Row],[Context Instanciation]]="","",NodesData[[#This Row],[Context Instanciation]])</f>
        <v/>
      </c>
      <c r="C386" s="22" t="str">
        <f>NodesData[[#This Row],[Node ID]]</f>
        <v>n1A99C52D_471D_462A_87B9_5E8D4560D58F</v>
      </c>
      <c r="D386" s="4"/>
      <c r="E386" s="25" t="str" cm="1">
        <f t="array" ref="E386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2.0","group":"","id":"n1A99C52D_471D_462A_87B9_5E8D4560D58F","url":""}</v>
      </c>
    </row>
    <row r="387" spans="1:5" ht="13.9" thickTop="1" thickBot="1" x14ac:dyDescent="0.4">
      <c r="A387" s="3" t="str">
        <f>NodesData[[#This Row],[Common Name]]</f>
        <v>SCIM</v>
      </c>
      <c r="B387" s="3" t="str">
        <f>IF(NodesData[[#This Row],[Context Instanciation]]="","",NodesData[[#This Row],[Context Instanciation]])</f>
        <v/>
      </c>
      <c r="C387" s="22" t="str">
        <f>NodesData[[#This Row],[Node ID]]</f>
        <v>n149B4F80_9A70_4D1D_8260_94C137DBFBBE</v>
      </c>
      <c r="D387" s="8"/>
      <c r="E387" s="25" t="str" cm="1">
        <f t="array" ref="E387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,{"label":"SCIM","group":"","id":"n149B4F80_9A70_4D1D_8260_94C137DBFBBE","url":""}</v>
      </c>
    </row>
    <row r="388" spans="1:5" ht="13.9" thickTop="1" thickBot="1" x14ac:dyDescent="0.4">
      <c r="A388" s="3" t="str">
        <f>NodesData[[#This Row],[Common Name]]</f>
        <v>Scoping</v>
      </c>
      <c r="B388" s="3" t="str">
        <f>IF(NodesData[[#This Row],[Context Instanciation]]="","",NodesData[[#This Row],[Context Instanciation]])</f>
        <v/>
      </c>
      <c r="C388" s="22" t="str">
        <f>NodesData[[#This Row],[Node ID]]</f>
        <v>n6E3234B2_E757_4333_BA58_DAFF5B1D943A</v>
      </c>
      <c r="D388" s="10" t="s">
        <v>1135</v>
      </c>
      <c r="E388" s="25" t="str" cm="1">
        <f t="array" ref="E388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SD</v>
      </c>
      <c r="B389" s="3" t="str">
        <f>IF(NodesData[[#This Row],[Context Instanciation]]="","",NodesData[[#This Row],[Context Instanciation]])</f>
        <v/>
      </c>
      <c r="C389" s="22" t="str">
        <f>NodesData[[#This Row],[Node ID]]</f>
        <v>nD3FFB967_77A4_45B9_A5A4_A9FBB2367C89</v>
      </c>
      <c r="D389" s="10" t="s">
        <v>1137</v>
      </c>
      <c r="E389" s="25" t="str" cm="1">
        <f t="array" ref="E389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SDP</v>
      </c>
      <c r="B390" s="3" t="str">
        <f>IF(NodesData[[#This Row],[Context Instanciation]]="","",NodesData[[#This Row],[Context Instanciation]])</f>
        <v/>
      </c>
      <c r="C390" s="22" t="str">
        <f>NodesData[[#This Row],[Node ID]]</f>
        <v>n1CD1BA03_756A_4932_9441_C0DBAE224934</v>
      </c>
      <c r="D390" s="4"/>
      <c r="E390" s="25" t="str" cm="1">
        <f t="array" ref="E390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,{"label":"SDP","group":"","id":"n1CD1BA03_756A_4932_9441_C0DBAE224934","url":""}</v>
      </c>
    </row>
    <row r="391" spans="1:5" ht="13.9" thickTop="1" thickBot="1" x14ac:dyDescent="0.4">
      <c r="A391" s="3" t="str">
        <f>NodesData[[#This Row],[Common Name]]</f>
        <v>Secure Production Identity Framework for Everyone</v>
      </c>
      <c r="B391" s="3" t="str">
        <f>IF(NodesData[[#This Row],[Context Instanciation]]="","",NodesData[[#This Row],[Context Instanciation]])</f>
        <v/>
      </c>
      <c r="C391" s="22" t="str">
        <f>NodesData[[#This Row],[Node ID]]</f>
        <v>nDFF0F332_91D0_4DCD_9272_B0AC7CB47061</v>
      </c>
      <c r="D391" s="10" t="s">
        <v>1139</v>
      </c>
      <c r="E391" s="25" t="str" cm="1">
        <f t="array" ref="E391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Secure System</v>
      </c>
      <c r="B392" s="3" t="str">
        <f>IF(NodesData[[#This Row],[Context Instanciation]]="","",NodesData[[#This Row],[Context Instanciation]])</f>
        <v/>
      </c>
      <c r="C392" s="22" t="str">
        <f>NodesData[[#This Row],[Node ID]]</f>
        <v>n684E2CA8_D61D_459D_846A_4F41E87E62C9</v>
      </c>
      <c r="D392" s="10" t="s">
        <v>1141</v>
      </c>
      <c r="E392" s="25" t="str" cm="1">
        <f t="array" ref="E392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Security</v>
      </c>
      <c r="B393" s="3" t="str">
        <f>IF(NodesData[[#This Row],[Context Instanciation]]="","",NodesData[[#This Row],[Context Instanciation]])</f>
        <v/>
      </c>
      <c r="C393" s="22" t="str">
        <f>NodesData[[#This Row],[Node ID]]</f>
        <v>nCC901E67_11E1_4971_ACD2_99886D05F2BB</v>
      </c>
      <c r="D393" s="10" t="s">
        <v>1143</v>
      </c>
      <c r="E393" s="25" t="str" cm="1">
        <f t="array" ref="E393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Security Accounts Manager</v>
      </c>
      <c r="B394" s="3" t="str">
        <f>IF(NodesData[[#This Row],[Context Instanciation]]="","",NodesData[[#This Row],[Context Instanciation]])</f>
        <v/>
      </c>
      <c r="C394" s="22" t="str">
        <f>NodesData[[#This Row],[Node ID]]</f>
        <v>nF2255395_848A_427B_89E9_3BB7DD7580BB</v>
      </c>
      <c r="D394" s="10" t="s">
        <v>1145</v>
      </c>
      <c r="E394" s="25" t="str" cm="1">
        <f t="array" ref="E394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Security Assertion Markup Language</v>
      </c>
      <c r="B395" s="3" t="str">
        <f>IF(NodesData[[#This Row],[Context Instanciation]]="","",NodesData[[#This Row],[Context Instanciation]])</f>
        <v/>
      </c>
      <c r="C395" s="22" t="str">
        <f>NodesData[[#This Row],[Node ID]]</f>
        <v>nE58B987B_C4CB_4FB3_9868_F8040123B702</v>
      </c>
      <c r="D395" s="10" t="s">
        <v>1146</v>
      </c>
      <c r="E395" s="25" t="str" cm="1">
        <f t="array" ref="E395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Security Clearance Level</v>
      </c>
      <c r="B396" s="3" t="str">
        <f>IF(NodesData[[#This Row],[Context Instanciation]]="","",NodesData[[#This Row],[Context Instanciation]])</f>
        <v/>
      </c>
      <c r="C396" s="22" t="str">
        <f>NodesData[[#This Row],[Node ID]]</f>
        <v>n9AE9641B_8E15_44BE_BE39_5928AF98C403</v>
      </c>
      <c r="D396" s="10" t="s">
        <v>1148</v>
      </c>
      <c r="E396" s="25" t="str" cm="1">
        <f t="array" ref="E396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 Compartment</v>
      </c>
      <c r="B397" s="3" t="str">
        <f>IF(NodesData[[#This Row],[Context Instanciation]]="","",NodesData[[#This Row],[Context Instanciation]])</f>
        <v/>
      </c>
      <c r="C397" s="22" t="str">
        <f>NodesData[[#This Row],[Node ID]]</f>
        <v>n4AB9C40A_FFE6_4F52_BBD5_1C60BD60C22D</v>
      </c>
      <c r="D397" s="8"/>
      <c r="E397" s="25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Compartment","group":"","id":"n4AB9C40A_FFE6_4F52_BBD5_1C60BD60C22D","url":""}</v>
      </c>
    </row>
    <row r="398" spans="1:5" ht="13.9" thickTop="1" thickBot="1" x14ac:dyDescent="0.4">
      <c r="A398" s="3" t="str">
        <f>NodesData[[#This Row],[Common Name]]</f>
        <v>Security Label</v>
      </c>
      <c r="B398" s="3" t="str">
        <f>IF(NodesData[[#This Row],[Context Instanciation]]="","",NodesData[[#This Row],[Context Instanciation]])</f>
        <v/>
      </c>
      <c r="C398" s="22" t="str">
        <f>NodesData[[#This Row],[Node ID]]</f>
        <v>nB97D2A38_A342_46DA_ABE9_AE6CB1417AAE</v>
      </c>
      <c r="D398" s="10" t="s">
        <v>1150</v>
      </c>
      <c r="E398" s="25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Question Authentication</v>
      </c>
      <c r="B399" s="3" t="str">
        <f>IF(NodesData[[#This Row],[Context Instanciation]]="","",NodesData[[#This Row],[Context Instanciation]])</f>
        <v/>
      </c>
      <c r="C399" s="22" t="str">
        <f>NodesData[[#This Row],[Node ID]]</f>
        <v>n3C201BF8_F9EA_4428_B9FA_FC0267427653</v>
      </c>
      <c r="D399" s="10" t="s">
        <v>1152</v>
      </c>
      <c r="E399" s="25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Segregation of Duties</v>
      </c>
      <c r="B400" s="3" t="str">
        <f>IF(NodesData[[#This Row],[Context Instanciation]]="","",NodesData[[#This Row],[Context Instanciation]])</f>
        <v/>
      </c>
      <c r="C400" s="22" t="str">
        <f>NodesData[[#This Row],[Node ID]]</f>
        <v>nD567DDAF_88E4_460A_8360_AB49285CB8DD</v>
      </c>
      <c r="D400" s="10" t="s">
        <v>1134</v>
      </c>
      <c r="E400" s="25" t="str" cm="1">
        <f t="array" ref="E400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Self-Sovereign Identity</v>
      </c>
      <c r="B401" s="3" t="str">
        <f>IF(NodesData[[#This Row],[Context Instanciation]]="","",NodesData[[#This Row],[Context Instanciation]])</f>
        <v/>
      </c>
      <c r="C401" s="22" t="str">
        <f>NodesData[[#This Row],[Node ID]]</f>
        <v>nB870A42F_E8DF_49EE_839E_8237D0D08E6C</v>
      </c>
      <c r="D401" s="10" t="s">
        <v>1155</v>
      </c>
      <c r="E401" s="25" t="str" cm="1">
        <f t="array" ref="E401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Semantic Differential</v>
      </c>
      <c r="B402" s="3" t="str">
        <f>IF(NodesData[[#This Row],[Context Instanciation]]="","",NodesData[[#This Row],[Context Instanciation]])</f>
        <v/>
      </c>
      <c r="C402" s="22" t="str">
        <f>NodesData[[#This Row],[Node ID]]</f>
        <v>n05769AFC_D0B1_4FEC_A0E1_842407E11B7A</v>
      </c>
      <c r="D402" s="10" t="s">
        <v>1157</v>
      </c>
      <c r="E402" s="25" t="str" cm="1">
        <f t="array" ref="E402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Service Account</v>
      </c>
      <c r="B403" s="3" t="str">
        <f>IF(NodesData[[#This Row],[Context Instanciation]]="","",NodesData[[#This Row],[Context Instanciation]])</f>
        <v/>
      </c>
      <c r="C403" s="22" t="str">
        <f>NodesData[[#This Row],[Node ID]]</f>
        <v>n901E5DAB_D27E_4BEE_8BBB_AC47FA69CFBA</v>
      </c>
      <c r="D403" s="10" t="s">
        <v>1153</v>
      </c>
      <c r="E403" s="25" t="str" cm="1">
        <f t="array" ref="E403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Service-Centric Identity Management System</v>
      </c>
      <c r="B404" s="3" t="str">
        <f>IF(NodesData[[#This Row],[Context Instanciation]]="","",NodesData[[#This Row],[Context Instanciation]])</f>
        <v/>
      </c>
      <c r="C404" s="22" t="str">
        <f>NodesData[[#This Row],[Node ID]]</f>
        <v>n491440D0_18B1_419D_82A7_5E14101A7E9B</v>
      </c>
      <c r="D404" s="10" t="s">
        <v>1161</v>
      </c>
      <c r="E404" s="25" t="str" cm="1">
        <f t="array" ref="E404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Session</v>
      </c>
      <c r="B405" s="3" t="str">
        <f>IF(NodesData[[#This Row],[Context Instanciation]]="","",NodesData[[#This Row],[Context Instanciation]])</f>
        <v/>
      </c>
      <c r="C405" s="22" t="str">
        <f>NodesData[[#This Row],[Node ID]]</f>
        <v>n279CC740_4E96_4D2A_923D_3603EA0FD247</v>
      </c>
      <c r="D405" s="10" t="s">
        <v>1163</v>
      </c>
      <c r="E405" s="25" t="str" cm="1">
        <f t="array" ref="E405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Session Authentication</v>
      </c>
      <c r="B406" s="3" t="str">
        <f>IF(NodesData[[#This Row],[Context Instanciation]]="","",NodesData[[#This Row],[Context Instanciation]])</f>
        <v/>
      </c>
      <c r="C406" s="22" t="str">
        <f>NodesData[[#This Row],[Node ID]]</f>
        <v>nDF95A25A_2B47_4C54_8D11_CCEA52064067</v>
      </c>
      <c r="D406" s="10" t="s">
        <v>1165</v>
      </c>
      <c r="E406" s="25" t="str" cm="1">
        <f t="array" ref="E406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Single Login</v>
      </c>
      <c r="B407" s="3" t="str">
        <f>IF(NodesData[[#This Row],[Context Instanciation]]="","",NodesData[[#This Row],[Context Instanciation]])</f>
        <v/>
      </c>
      <c r="C407" s="22" t="str">
        <f>NodesData[[#This Row],[Node ID]]</f>
        <v>n95300591_0D21_454A_83B8_F3C9C74C21E3</v>
      </c>
      <c r="D407" s="10" t="s">
        <v>1166</v>
      </c>
      <c r="E407" s="25" t="str" cm="1">
        <f t="array" ref="E407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Single Sign-On</v>
      </c>
      <c r="B408" s="3" t="str">
        <f>IF(NodesData[[#This Row],[Context Instanciation]]="","",NodesData[[#This Row],[Context Instanciation]])</f>
        <v/>
      </c>
      <c r="C408" s="22" t="str">
        <f>NodesData[[#This Row],[Node ID]]</f>
        <v>nCDC41020_7C5B_4C7F_9A4D_8C0F159CD585</v>
      </c>
      <c r="D408" s="10" t="s">
        <v>1167</v>
      </c>
      <c r="E408" s="25" t="str" cm="1">
        <f t="array" ref="E408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Single Sign-On</v>
      </c>
      <c r="B409" s="3" t="str">
        <f>IF(NodesData[[#This Row],[Context Instanciation]]="","",NodesData[[#This Row],[Context Instanciation]])</f>
        <v/>
      </c>
      <c r="C409" s="22" t="str">
        <f>NodesData[[#This Row],[Node ID]]</f>
        <v>nF3399109_259D_4ABC_BC52_EDB47E2CAF1A</v>
      </c>
      <c r="D409" s="10" t="s">
        <v>1169</v>
      </c>
      <c r="E409" s="25" t="str" cm="1">
        <f t="array" ref="E409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SMS OTP</v>
      </c>
      <c r="B410" s="3" t="str">
        <f>IF(NodesData[[#This Row],[Context Instanciation]]="","",NodesData[[#This Row],[Context Instanciation]])</f>
        <v/>
      </c>
      <c r="C410" s="22" t="str">
        <f>NodesData[[#This Row],[Node ID]]</f>
        <v>nC659F8FA_B1EB_46E9_B13C_FE5C1B62DEA3</v>
      </c>
      <c r="D410" s="10" t="s">
        <v>1170</v>
      </c>
      <c r="E410" s="25" t="str" cm="1">
        <f t="array" ref="E410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Social Authentication</v>
      </c>
      <c r="B411" s="3" t="str">
        <f>IF(NodesData[[#This Row],[Context Instanciation]]="","",NodesData[[#This Row],[Context Instanciation]])</f>
        <v/>
      </c>
      <c r="C411" s="22" t="str">
        <f>NodesData[[#This Row],[Node ID]]</f>
        <v>n60A42831_8FFC_43B5_9189_8FC2450794A3</v>
      </c>
      <c r="D411" s="10" t="s">
        <v>1171</v>
      </c>
      <c r="E411" s="25" t="str" cm="1">
        <f t="array" ref="E411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Social Honeypot</v>
      </c>
      <c r="B412" s="3" t="str">
        <f>IF(NodesData[[#This Row],[Context Instanciation]]="","",NodesData[[#This Row],[Context Instanciation]])</f>
        <v/>
      </c>
      <c r="C412" s="22" t="str">
        <f>NodesData[[#This Row],[Node ID]]</f>
        <v>n56573FF9_22B4_4629_B28C_392B006A4AA8</v>
      </c>
      <c r="D412" s="10" t="s">
        <v>1173</v>
      </c>
      <c r="E412" s="25" t="str" cm="1">
        <f t="array" ref="E412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SoD</v>
      </c>
      <c r="B413" s="3" t="str">
        <f>IF(NodesData[[#This Row],[Context Instanciation]]="","",NodesData[[#This Row],[Context Instanciation]])</f>
        <v/>
      </c>
      <c r="C413" s="22" t="str">
        <f>NodesData[[#This Row],[Node ID]]</f>
        <v>nA9A30C47_5F47_4988_8FC5_F4CF9EB080CC</v>
      </c>
      <c r="D413" s="10" t="s">
        <v>1175</v>
      </c>
      <c r="E413" s="25" t="str" cm="1">
        <f t="array" ref="E413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Software / App OTP</v>
      </c>
      <c r="B414" s="3" t="str">
        <f>IF(NodesData[[#This Row],[Context Instanciation]]="","",NodesData[[#This Row],[Context Instanciation]])</f>
        <v/>
      </c>
      <c r="C414" s="22" t="str">
        <f>NodesData[[#This Row],[Node ID]]</f>
        <v>n53FEC273_D9E0_42F6_BEB3_18333BB567ED</v>
      </c>
      <c r="D414" s="10" t="s">
        <v>1177</v>
      </c>
      <c r="E414" s="25" t="str" cm="1">
        <f t="array" ref="E414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Software-Defined Perimeter</v>
      </c>
      <c r="B415" s="3" t="str">
        <f>IF(NodesData[[#This Row],[Context Instanciation]]="","",NodesData[[#This Row],[Context Instanciation]])</f>
        <v/>
      </c>
      <c r="C415" s="22" t="str">
        <f>NodesData[[#This Row],[Node ID]]</f>
        <v>n5E41A9D4_819D_4864_B6AE_33A53A7DDD7C</v>
      </c>
      <c r="D415" s="4"/>
      <c r="E415" s="25" t="str" cm="1">
        <f t="array" ref="E415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Perimeter","group":"","id":"n5E41A9D4_819D_4864_B6AE_33A53A7DDD7C","url":""}</v>
      </c>
    </row>
    <row r="416" spans="1:5" ht="13.9" thickTop="1" thickBot="1" x14ac:dyDescent="0.4">
      <c r="A416" s="3" t="str">
        <f>NodesData[[#This Row],[Common Name]]</f>
        <v>SPIFFE</v>
      </c>
      <c r="B416" s="3" t="str">
        <f>IF(NodesData[[#This Row],[Context Instanciation]]="","",NodesData[[#This Row],[Context Instanciation]])</f>
        <v/>
      </c>
      <c r="C416" s="22" t="str">
        <f>NodesData[[#This Row],[Node ID]]</f>
        <v>n00E1D349_3D00_4487_9F58_1785F1B304DB</v>
      </c>
      <c r="D416" s="10" t="s">
        <v>1179</v>
      </c>
      <c r="E416" s="25" t="str" cm="1">
        <f t="array" ref="E416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SPMS</v>
      </c>
      <c r="B417" s="3" t="str">
        <f>IF(NodesData[[#This Row],[Context Instanciation]]="","",NodesData[[#This Row],[Context Instanciation]])</f>
        <v/>
      </c>
      <c r="C417" s="22" t="str">
        <f>NodesData[[#This Row],[Node ID]]</f>
        <v>n5CF2F923_671C_4D8A_ADA8_855ACC57144A</v>
      </c>
      <c r="D417" s="10" t="s">
        <v>1159</v>
      </c>
      <c r="E417" s="25" t="str" cm="1">
        <f t="array" ref="E417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SSH Key</v>
      </c>
      <c r="B418" s="3" t="str">
        <f>IF(NodesData[[#This Row],[Context Instanciation]]="","",NodesData[[#This Row],[Context Instanciation]])</f>
        <v/>
      </c>
      <c r="C418" s="22" t="str">
        <f>NodesData[[#This Row],[Node ID]]</f>
        <v>nFC3909FF_29C6_47F9_B90A_122BDED44AF9</v>
      </c>
      <c r="D418" s="3"/>
      <c r="E418" s="25" t="str" cm="1">
        <f t="array" ref="E418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Key","group":"","id":"nFC3909FF_29C6_47F9_B90A_122BDED44AF9","url":""}</v>
      </c>
    </row>
    <row r="419" spans="1:5" ht="13.9" thickTop="1" thickBot="1" x14ac:dyDescent="0.4">
      <c r="A419" s="3" t="str">
        <f>NodesData[[#This Row],[Common Name]]</f>
        <v>SSI</v>
      </c>
      <c r="B419" s="3" t="str">
        <f>IF(NodesData[[#This Row],[Context Instanciation]]="","",NodesData[[#This Row],[Context Instanciation]])</f>
        <v/>
      </c>
      <c r="C419" s="22" t="str">
        <f>NodesData[[#This Row],[Node ID]]</f>
        <v>n71631819_91CD_4603_8446_336EBC6B18B2</v>
      </c>
      <c r="D419" s="8"/>
      <c r="E419" s="25" t="str" cm="1">
        <f t="array" ref="E419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,{"label":"SSI","group":"","id":"n71631819_91CD_4603_8446_336EBC6B18B2","url":""}</v>
      </c>
    </row>
    <row r="420" spans="1:5" ht="13.9" thickTop="1" thickBot="1" x14ac:dyDescent="0.4">
      <c r="A420" s="3" t="str">
        <f>NodesData[[#This Row],[Common Name]]</f>
        <v>SSO</v>
      </c>
      <c r="B420" s="3" t="str">
        <f>IF(NodesData[[#This Row],[Context Instanciation]]="","",NodesData[[#This Row],[Context Instanciation]])</f>
        <v/>
      </c>
      <c r="C420" s="22" t="str">
        <f>NodesData[[#This Row],[Node ID]]</f>
        <v>n5453D8E7_0829_46D3_846B_6D89F4AE4CFF</v>
      </c>
      <c r="D420" s="8"/>
      <c r="E420" s="25" t="str" cm="1">
        <f t="array" ref="E420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,{"label":"SSO","group":"","id":"n5453D8E7_0829_46D3_846B_6D89F4AE4CFF","url":""}</v>
      </c>
    </row>
    <row r="421" spans="1:5" ht="13.9" thickTop="1" thickBot="1" x14ac:dyDescent="0.4">
      <c r="A421" s="3" t="str">
        <f>NodesData[[#This Row],[Common Name]]</f>
        <v>SSO</v>
      </c>
      <c r="B421" s="3" t="str">
        <f>IF(NodesData[[#This Row],[Context Instanciation]]="","",NodesData[[#This Row],[Context Instanciation]])</f>
        <v/>
      </c>
      <c r="C421" s="22" t="str">
        <f>NodesData[[#This Row],[Node ID]]</f>
        <v>n36B26A4D_4DE5_4EE8_8425_C5A7DB251D84</v>
      </c>
      <c r="D421" s="10" t="s">
        <v>1181</v>
      </c>
      <c r="E421" s="25" t="str" cm="1">
        <f t="array" ref="E421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Stability of Access Decision Factors</v>
      </c>
      <c r="B422" s="3" t="str">
        <f>IF(NodesData[[#This Row],[Context Instanciation]]="","",NodesData[[#This Row],[Context Instanciation]])</f>
        <v/>
      </c>
      <c r="C422" s="22" t="str">
        <f>NodesData[[#This Row],[Node ID]]</f>
        <v>n0219DCF8_A0BC_4743_BBAA_4F0ADEC98D8A</v>
      </c>
      <c r="D422" s="10" t="s">
        <v>1182</v>
      </c>
      <c r="E422" s="25" t="str" cm="1">
        <f t="array" ref="E422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Stakeholder</v>
      </c>
      <c r="B423" s="3" t="str">
        <f>IF(NodesData[[#This Row],[Context Instanciation]]="","",NodesData[[#This Row],[Context Instanciation]])</f>
        <v/>
      </c>
      <c r="C423" s="22" t="str">
        <f>NodesData[[#This Row],[Node ID]]</f>
        <v>n545A7A4F_E40A_4229_9889_14B9524363FA</v>
      </c>
      <c r="D423" s="10" t="s">
        <v>1183</v>
      </c>
      <c r="E423" s="25" t="str" cm="1">
        <f t="array" ref="E423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Step-Up Authentication</v>
      </c>
      <c r="B424" s="3" t="str">
        <f>IF(NodesData[[#This Row],[Context Instanciation]]="","",NodesData[[#This Row],[Context Instanciation]])</f>
        <v/>
      </c>
      <c r="C424" s="22" t="str">
        <f>NodesData[[#This Row],[Node ID]]</f>
        <v>n57ECA222_A996_4EAF_82B4_F90085182E5A</v>
      </c>
      <c r="D424" s="10" t="s">
        <v>1185</v>
      </c>
      <c r="E424" s="25" t="str" cm="1">
        <f t="array" ref="E424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Strategic Performance Measurement System</v>
      </c>
      <c r="B425" s="3" t="str">
        <f>IF(NodesData[[#This Row],[Context Instanciation]]="","",NodesData[[#This Row],[Context Instanciation]])</f>
        <v/>
      </c>
      <c r="C425" s="22" t="str">
        <f>NodesData[[#This Row],[Node ID]]</f>
        <v>nD412B947_EA40_439A_B717_8C39D2BC4CB9</v>
      </c>
      <c r="D425" s="10" t="s">
        <v>1187</v>
      </c>
      <c r="E425" s="25" t="str" cm="1">
        <f t="array" ref="E425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Strict Discretionary Access Control</v>
      </c>
      <c r="B426" s="3" t="str">
        <f>IF(NodesData[[#This Row],[Context Instanciation]]="","",NodesData[[#This Row],[Context Instanciation]])</f>
        <v/>
      </c>
      <c r="C426" s="22" t="str">
        <f>NodesData[[#This Row],[Node ID]]</f>
        <v>n1678B11E_DE4E_4E9D_959E_B70C80A07265</v>
      </c>
      <c r="D426" s="10" t="s">
        <v>1188</v>
      </c>
      <c r="E426" s="25" t="str" cm="1">
        <f t="array" ref="E426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Strong Authentication</v>
      </c>
      <c r="B427" s="3" t="str">
        <f>IF(NodesData[[#This Row],[Context Instanciation]]="","",NodesData[[#This Row],[Context Instanciation]])</f>
        <v/>
      </c>
      <c r="C427" s="22" t="str">
        <f>NodesData[[#This Row],[Node ID]]</f>
        <v>n7A087586_32C2_44CA_B3C5_9B643CFB3E63</v>
      </c>
      <c r="D427" s="10" t="s">
        <v>1190</v>
      </c>
      <c r="E427" s="25" t="str" cm="1">
        <f t="array" ref="E427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Strong Tranquility Property</v>
      </c>
      <c r="B428" s="3" t="str">
        <f>IF(NodesData[[#This Row],[Context Instanciation]]="","",NodesData[[#This Row],[Context Instanciation]])</f>
        <v/>
      </c>
      <c r="C428" s="22" t="str">
        <f>NodesData[[#This Row],[Node ID]]</f>
        <v>n54565563_BC74_470C_A56B_A1B9C7F1324E</v>
      </c>
      <c r="D428" s="10" t="s">
        <v>1192</v>
      </c>
      <c r="E428" s="25" t="str" cm="1">
        <f t="array" ref="E428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Subject</v>
      </c>
      <c r="B429" s="3" t="str">
        <f>IF(NodesData[[#This Row],[Context Instanciation]]="","",NodesData[[#This Row],[Context Instanciation]])</f>
        <v/>
      </c>
      <c r="C429" s="22" t="str">
        <f>NodesData[[#This Row],[Node ID]]</f>
        <v>nB7ADCBF6_0721_463C_82E5_DBB277A6AEE9</v>
      </c>
      <c r="D429" s="10" t="s">
        <v>1194</v>
      </c>
      <c r="E429" s="25" t="str" cm="1">
        <f t="array" ref="E429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Subjective Indicator</v>
      </c>
      <c r="B430" s="3" t="str">
        <f>IF(NodesData[[#This Row],[Context Instanciation]]="","",NodesData[[#This Row],[Context Instanciation]])</f>
        <v/>
      </c>
      <c r="C430" s="22" t="str">
        <f>NodesData[[#This Row],[Node ID]]</f>
        <v>nE6B7AC16_FE87_47A2_899A_64FC08C8DD98</v>
      </c>
      <c r="D430" s="10" t="s">
        <v>1196</v>
      </c>
      <c r="E430" s="25" t="str" cm="1">
        <f t="array" ref="E430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Supply Chain Attack</v>
      </c>
      <c r="B431" s="3" t="str">
        <f>IF(NodesData[[#This Row],[Context Instanciation]]="","",NodesData[[#This Row],[Context Instanciation]])</f>
        <v/>
      </c>
      <c r="C431" s="22" t="str">
        <f>NodesData[[#This Row],[Node ID]]</f>
        <v>n3A185D2E_8467_4AA3_9CDB_FB22389BF715</v>
      </c>
      <c r="D431" s="10" t="s">
        <v>1197</v>
      </c>
      <c r="E431" s="25" t="str" cm="1">
        <f t="array" ref="E431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Sybil Attack</v>
      </c>
      <c r="B432" s="3" t="str">
        <f>IF(NodesData[[#This Row],[Context Instanciation]]="","",NodesData[[#This Row],[Context Instanciation]])</f>
        <v/>
      </c>
      <c r="C432" s="22" t="str">
        <f>NodesData[[#This Row],[Node ID]]</f>
        <v>n0FECC4A6_A665_444E_BE48_8AA390BB1974</v>
      </c>
      <c r="D432" s="10" t="s">
        <v>1199</v>
      </c>
      <c r="E432" s="25" t="str" cm="1">
        <f t="array" ref="E432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Synthetic Identity Fraud</v>
      </c>
      <c r="B433" s="3" t="str">
        <f>IF(NodesData[[#This Row],[Context Instanciation]]="","",NodesData[[#This Row],[Context Instanciation]])</f>
        <v/>
      </c>
      <c r="C433" s="22" t="str">
        <f>NodesData[[#This Row],[Node ID]]</f>
        <v>nD9FD15A1_6465_481B_B71D_ADCD17B9954F</v>
      </c>
      <c r="D433" s="10" t="s">
        <v>1200</v>
      </c>
      <c r="E433" s="25" t="str" cm="1">
        <f t="array" ref="E433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System</v>
      </c>
      <c r="B434" s="3" t="str">
        <f>IF(NodesData[[#This Row],[Context Instanciation]]="","",NodesData[[#This Row],[Context Instanciation]])</f>
        <v/>
      </c>
      <c r="C434" s="22" t="str">
        <f>NodesData[[#This Row],[Node ID]]</f>
        <v>nFC4AFBE3_7D71_456A_AFC1_16F1F34558F5</v>
      </c>
      <c r="D434" s="4"/>
      <c r="E434" s="25" t="str" cm="1">
        <f t="array" ref="E434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,{"label":"System","group":"","id":"nFC4AFBE3_7D71_456A_AFC1_16F1F34558F5","url":""}</v>
      </c>
    </row>
    <row r="435" spans="1:5" ht="13.9" thickTop="1" thickBot="1" x14ac:dyDescent="0.4">
      <c r="A435" s="3" t="str">
        <f>NodesData[[#This Row],[Common Name]]</f>
        <v>System Boundaries</v>
      </c>
      <c r="B435" s="3" t="str">
        <f>IF(NodesData[[#This Row],[Context Instanciation]]="","",NodesData[[#This Row],[Context Instanciation]])</f>
        <v/>
      </c>
      <c r="C435" s="22" t="str">
        <f>NodesData[[#This Row],[Node ID]]</f>
        <v>n31C5E305_499C_46E4_98C8_6261960997B6</v>
      </c>
      <c r="D435" s="10" t="s">
        <v>1202</v>
      </c>
      <c r="E435" s="25" t="str" cm="1">
        <f t="array" ref="E435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System for Cross-domain Identity Management</v>
      </c>
      <c r="B436" s="3" t="str">
        <f>IF(NodesData[[#This Row],[Context Instanciation]]="","",NodesData[[#This Row],[Context Instanciation]])</f>
        <v/>
      </c>
      <c r="C436" s="22" t="str">
        <f>NodesData[[#This Row],[Node ID]]</f>
        <v>nFA34207B_F87E_487A_A8A3_4664359FB1CD</v>
      </c>
      <c r="D436" s="10" t="s">
        <v>1203</v>
      </c>
      <c r="E436" s="25" t="str" cm="1">
        <f t="array" ref="E436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System Owner</v>
      </c>
      <c r="B437" s="3" t="str">
        <f>IF(NodesData[[#This Row],[Context Instanciation]]="","",NodesData[[#This Row],[Context Instanciation]])</f>
        <v/>
      </c>
      <c r="C437" s="22" t="str">
        <f>NodesData[[#This Row],[Node ID]]</f>
        <v>nC9A420A4_4B49_4499_BCB2_7C9AD66395E7</v>
      </c>
      <c r="D437" s="10" t="s">
        <v>1204</v>
      </c>
      <c r="E437" s="25" t="str" cm="1">
        <f t="array" ref="E437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 Z</v>
      </c>
      <c r="B438" s="3" t="str">
        <f>IF(NodesData[[#This Row],[Context Instanciation]]="","",NodesData[[#This Row],[Context Instanciation]])</f>
        <v/>
      </c>
      <c r="C438" s="22" t="str">
        <f>NodesData[[#This Row],[Node ID]]</f>
        <v>n6935A8E7_1B1E_43B2_B342_5B9C31895DD1</v>
      </c>
      <c r="D438" s="10" t="s">
        <v>1205</v>
      </c>
      <c r="E438" s="25" t="str" cm="1">
        <f t="array" ref="E438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TAN List OTP</v>
      </c>
      <c r="B439" s="3" t="str">
        <f>IF(NodesData[[#This Row],[Context Instanciation]]="","",NodesData[[#This Row],[Context Instanciation]])</f>
        <v/>
      </c>
      <c r="C439" s="22" t="str">
        <f>NodesData[[#This Row],[Node ID]]</f>
        <v>nACEE5BE1_AEF4_45DF_A913_1C3530C50C54</v>
      </c>
      <c r="D439" s="10" t="s">
        <v>1211</v>
      </c>
      <c r="E439" s="25" t="str" cm="1">
        <f t="array" ref="E439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Task-Based Access Control</v>
      </c>
      <c r="B440" s="3" t="str">
        <f>IF(NodesData[[#This Row],[Context Instanciation]]="","",NodesData[[#This Row],[Context Instanciation]])</f>
        <v/>
      </c>
      <c r="C440" s="22" t="str">
        <f>NodesData[[#This Row],[Node ID]]</f>
        <v>n351C03A9_7E95_4292_8F00_0D294823C744</v>
      </c>
      <c r="D440" s="10" t="s">
        <v>1206</v>
      </c>
      <c r="E440" s="25" t="str" cm="1">
        <f t="array" ref="E440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Text Password Authentication</v>
      </c>
      <c r="B441" s="3" t="str">
        <f>IF(NodesData[[#This Row],[Context Instanciation]]="","",NodesData[[#This Row],[Context Instanciation]])</f>
        <v/>
      </c>
      <c r="C441" s="22" t="str">
        <f>NodesData[[#This Row],[Node ID]]</f>
        <v>nB34CDBC0_988E_401A_93CC_C6103DC30B68</v>
      </c>
      <c r="D441" s="10" t="s">
        <v>1208</v>
      </c>
      <c r="E441" s="25" t="str" cm="1">
        <f t="array" ref="E441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Threat Agent</v>
      </c>
      <c r="B442" s="3" t="str">
        <f>IF(NodesData[[#This Row],[Context Instanciation]]="","",NodesData[[#This Row],[Context Instanciation]])</f>
        <v/>
      </c>
      <c r="C442" s="22" t="str">
        <f>NodesData[[#This Row],[Node ID]]</f>
        <v>n385B2A02_580E_49B6_8C97_A00DC541C516</v>
      </c>
      <c r="D442" s="10" t="s">
        <v>1209</v>
      </c>
      <c r="E442" s="25" t="str" cm="1">
        <f t="array" ref="E442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Time Factor</v>
      </c>
      <c r="B443" s="3" t="str">
        <f>IF(NodesData[[#This Row],[Context Instanciation]]="","",NodesData[[#This Row],[Context Instanciation]])</f>
        <v/>
      </c>
      <c r="C443" s="22" t="str">
        <f>NodesData[[#This Row],[Node ID]]</f>
        <v>nF44C30A8_A797_4F0C_9C18_D87E7D5A8B88</v>
      </c>
      <c r="D443" s="10" t="s">
        <v>1210</v>
      </c>
      <c r="E443" s="25" t="str" cm="1">
        <f t="array" ref="E443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Token-Based Authentication</v>
      </c>
      <c r="B444" s="3" t="str">
        <f>IF(NodesData[[#This Row],[Context Instanciation]]="","",NodesData[[#This Row],[Context Instanciation]])</f>
        <v/>
      </c>
      <c r="C444" s="22" t="str">
        <f>NodesData[[#This Row],[Node ID]]</f>
        <v>n1A55C21B_DE0A_4FE1_A1DF_11745E5BD4FF</v>
      </c>
      <c r="D444" s="10" t="s">
        <v>1212</v>
      </c>
      <c r="E444" s="25" t="str" cm="1">
        <f t="array" ref="E444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Touchstroke Recognition Authentication</v>
      </c>
      <c r="B445" s="3" t="str">
        <f>IF(NodesData[[#This Row],[Context Instanciation]]="","",NodesData[[#This Row],[Context Instanciation]])</f>
        <v/>
      </c>
      <c r="C445" s="22" t="str">
        <f>NodesData[[#This Row],[Node ID]]</f>
        <v>n2F27DDAD_459D_4B06_9152_168BDF5063F5</v>
      </c>
      <c r="D445" s="10" t="s">
        <v>1213</v>
      </c>
      <c r="E445" s="25" t="str" cm="1">
        <f t="array" ref="E445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Toxic Combinations</v>
      </c>
      <c r="B446" s="3" t="str">
        <f>IF(NodesData[[#This Row],[Context Instanciation]]="","",NodesData[[#This Row],[Context Instanciation]])</f>
        <v/>
      </c>
      <c r="C446" s="22" t="str">
        <f>NodesData[[#This Row],[Node ID]]</f>
        <v>n88E112AD_03BC_452F_B011_4262CD8C0BF3</v>
      </c>
      <c r="D446" s="10" t="s">
        <v>1214</v>
      </c>
      <c r="E446" s="25" t="str" cm="1">
        <f t="array" ref="E446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Toxic Right Rule (Definition)</v>
      </c>
      <c r="B447" s="3" t="str">
        <f>IF(NodesData[[#This Row],[Context Instanciation]]="","",NodesData[[#This Row],[Context Instanciation]])</f>
        <v/>
      </c>
      <c r="C447" s="22" t="str">
        <f>NodesData[[#This Row],[Node ID]]</f>
        <v>n0A784E7B_0620_41F8_886C_EE73E3D5B725</v>
      </c>
      <c r="D447" s="10" t="s">
        <v>1216</v>
      </c>
      <c r="E447" s="25" t="str" cm="1">
        <f t="array" ref="E447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Tranquil</v>
      </c>
      <c r="B448" s="3" t="str">
        <f>IF(NodesData[[#This Row],[Context Instanciation]]="","",NodesData[[#This Row],[Context Instanciation]])</f>
        <v/>
      </c>
      <c r="C448" s="22" t="str">
        <f>NodesData[[#This Row],[Node ID]]</f>
        <v>nEA19C95D_BE71_4511_BD9B_2BAB20932E47</v>
      </c>
      <c r="D448" s="10" t="s">
        <v>1218</v>
      </c>
      <c r="E448" s="25" t="str" cm="1">
        <f t="array" ref="E448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Tranquility Principle</v>
      </c>
      <c r="B449" s="3" t="str">
        <f>IF(NodesData[[#This Row],[Context Instanciation]]="","",NodesData[[#This Row],[Context Instanciation]])</f>
        <v/>
      </c>
      <c r="C449" s="22" t="str">
        <f>NodesData[[#This Row],[Node ID]]</f>
        <v>nF8EFEF04_B182_49B6_873F_E26615F57EC1</v>
      </c>
      <c r="D449" s="10" t="s">
        <v>1220</v>
      </c>
      <c r="E449" s="25" t="str" cm="1">
        <f t="array" ref="E449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Tranquility Property</v>
      </c>
      <c r="B450" s="3" t="str">
        <f>IF(NodesData[[#This Row],[Context Instanciation]]="","",NodesData[[#This Row],[Context Instanciation]])</f>
        <v/>
      </c>
      <c r="C450" s="22" t="str">
        <f>NodesData[[#This Row],[Node ID]]</f>
        <v>nC855E8C7_E00C_40A0_87CC_0A3D02D20B4E</v>
      </c>
      <c r="D450" s="8"/>
      <c r="E450" s="25" t="str" cm="1">
        <f t="array" ref="E450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Property","group":"","id":"nC855E8C7_E00C_40A0_87CC_0A3D02D20B4E","url":""}</v>
      </c>
    </row>
    <row r="451" spans="1:5" ht="13.9" thickTop="1" thickBot="1" x14ac:dyDescent="0.4">
      <c r="A451" s="3" t="str">
        <f>NodesData[[#This Row],[Common Name]]</f>
        <v>Trust</v>
      </c>
      <c r="B451" s="3" t="str">
        <f>IF(NodesData[[#This Row],[Context Instanciation]]="","",NodesData[[#This Row],[Context Instanciation]])</f>
        <v/>
      </c>
      <c r="C451" s="22" t="str">
        <f>NodesData[[#This Row],[Node ID]]</f>
        <v>nB2793506_A460_4407_B469_4566BAD26901</v>
      </c>
      <c r="D451" s="10" t="s">
        <v>1201</v>
      </c>
      <c r="E451" s="25" t="str" cm="1">
        <f t="array" ref="E451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Trust Asymmetry</v>
      </c>
      <c r="B452" s="3" t="str">
        <f>IF(NodesData[[#This Row],[Context Instanciation]]="","",NodesData[[#This Row],[Context Instanciation]])</f>
        <v/>
      </c>
      <c r="C452" s="22" t="str">
        <f>NodesData[[#This Row],[Node ID]]</f>
        <v>nC47D35F2_7A1A_41A1_8195_7670F9EF176A</v>
      </c>
      <c r="D452" s="10" t="s">
        <v>1222</v>
      </c>
      <c r="E452" s="25" t="str" cm="1">
        <f t="array" ref="E452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Trust Composability</v>
      </c>
      <c r="B453" s="3" t="str">
        <f>IF(NodesData[[#This Row],[Context Instanciation]]="","",NodesData[[#This Row],[Context Instanciation]])</f>
        <v/>
      </c>
      <c r="C453" s="22" t="str">
        <f>NodesData[[#This Row],[Node ID]]</f>
        <v>n8641763B_1732_427E_AF37_EF5DD6632158</v>
      </c>
      <c r="D453" s="4"/>
      <c r="E453" s="25" t="str" cm="1">
        <f t="array" ref="E453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Composability","group":"","id":"n8641763B_1732_427E_AF37_EF5DD6632158","url":""}</v>
      </c>
    </row>
    <row r="454" spans="1:5" ht="13.9" thickTop="1" thickBot="1" x14ac:dyDescent="0.4">
      <c r="A454" s="3" t="str">
        <f>NodesData[[#This Row],[Common Name]]</f>
        <v>Trust Personalization</v>
      </c>
      <c r="B454" s="3" t="str">
        <f>IF(NodesData[[#This Row],[Context Instanciation]]="","",NodesData[[#This Row],[Context Instanciation]])</f>
        <v/>
      </c>
      <c r="C454" s="22" t="str">
        <f>NodesData[[#This Row],[Node ID]]</f>
        <v>n18083FD1_D5F0_4E0D_A480_197792E123C8</v>
      </c>
      <c r="D454" s="10" t="s">
        <v>1226</v>
      </c>
      <c r="E454" s="25" t="str" cm="1">
        <f t="array" ref="E454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 Transitivity</v>
      </c>
      <c r="B455" s="3" t="str">
        <f>IF(NodesData[[#This Row],[Context Instanciation]]="","",NodesData[[#This Row],[Context Instanciation]])</f>
        <v/>
      </c>
      <c r="C455" s="22" t="str">
        <f>NodesData[[#This Row],[Node ID]]</f>
        <v>nCD00A5EF_798C_4F7D_9B92_119FBE900ECA</v>
      </c>
      <c r="D455" s="10" t="s">
        <v>1228</v>
      </c>
      <c r="E455" s="25" t="str" cm="1">
        <f t="array" ref="E455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Typing Biometrics</v>
      </c>
      <c r="B456" s="3" t="str">
        <f>IF(NodesData[[#This Row],[Context Instanciation]]="","",NodesData[[#This Row],[Context Instanciation]])</f>
        <v/>
      </c>
      <c r="C456" s="22" t="str">
        <f>NodesData[[#This Row],[Node ID]]</f>
        <v>n09F029F1_A06C_4F7F_8CAF_95CAC4F6F97C</v>
      </c>
      <c r="D456" s="10" t="s">
        <v>1230</v>
      </c>
      <c r="E456" s="25" t="str" cm="1">
        <f t="array" ref="E456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Typology</v>
      </c>
      <c r="B457" s="3" t="str">
        <f>IF(NodesData[[#This Row],[Context Instanciation]]="","",NodesData[[#This Row],[Context Instanciation]])</f>
        <v/>
      </c>
      <c r="C457" s="22" t="str">
        <f>NodesData[[#This Row],[Node ID]]</f>
        <v>n2E25798C_AEE6_442B_83C3_21A39D1F4E2E</v>
      </c>
      <c r="D457" s="10" t="s">
        <v>1232</v>
      </c>
      <c r="E457" s="25" t="str" cm="1">
        <f t="array" ref="E457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Unanticipated User</v>
      </c>
      <c r="B458" s="3" t="str">
        <f>IF(NodesData[[#This Row],[Context Instanciation]]="","",NodesData[[#This Row],[Context Instanciation]])</f>
        <v/>
      </c>
      <c r="C458" s="22" t="str">
        <f>NodesData[[#This Row],[Node ID]]</f>
        <v>n049772BC_8F65_4681_926F_AB741F518CEF</v>
      </c>
      <c r="D458" s="10" t="s">
        <v>1234</v>
      </c>
      <c r="E458" s="25" t="str" cm="1">
        <f t="array" ref="E458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Unauthorized Access</v>
      </c>
      <c r="B459" s="3" t="str">
        <f>IF(NodesData[[#This Row],[Context Instanciation]]="","",NodesData[[#This Row],[Context Instanciation]])</f>
        <v/>
      </c>
      <c r="C459" s="22" t="str">
        <f>NodesData[[#This Row],[Node ID]]</f>
        <v>n79D52FB7_6D56_40B0_A404_F332AF6DE5A6</v>
      </c>
      <c r="D459" s="10" t="s">
        <v>1236</v>
      </c>
      <c r="E459" s="25" t="str" cm="1">
        <f t="array" ref="E459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Unique ID Number</v>
      </c>
      <c r="B460" s="3" t="str">
        <f>IF(NodesData[[#This Row],[Context Instanciation]]="","",NodesData[[#This Row],[Context Instanciation]])</f>
        <v/>
      </c>
      <c r="C460" s="22" t="str">
        <f>NodesData[[#This Row],[Node ID]]</f>
        <v>nEE2DD2E7_A2A2_44AC_9F06_D2358264FA2D</v>
      </c>
      <c r="D460" s="10" t="s">
        <v>1238</v>
      </c>
      <c r="E460" s="25" t="str" cm="1">
        <f t="array" ref="E460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Unprivileged Insider</v>
      </c>
      <c r="B461" s="3" t="str">
        <f>IF(NodesData[[#This Row],[Context Instanciation]]="","",NodesData[[#This Row],[Context Instanciation]])</f>
        <v/>
      </c>
      <c r="C461" s="22" t="str">
        <f>NodesData[[#This Row],[Node ID]]</f>
        <v>n3D40EC0D_C7CE_4C19_B8E2_09518A62B569</v>
      </c>
      <c r="D461" s="10" t="s">
        <v>1240</v>
      </c>
      <c r="E461" s="25" t="str" cm="1">
        <f t="array" ref="E461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User</v>
      </c>
      <c r="B462" s="3" t="str">
        <f>IF(NodesData[[#This Row],[Context Instanciation]]="","",NodesData[[#This Row],[Context Instanciation]])</f>
        <v/>
      </c>
      <c r="C462" s="22" t="str">
        <f>NodesData[[#This Row],[Node ID]]</f>
        <v>nA5E34595_12DD_4352_8631_FB7FFCBB533D</v>
      </c>
      <c r="D462" s="10" t="s">
        <v>1242</v>
      </c>
      <c r="E462" s="25" t="str" cm="1">
        <f t="array" ref="E462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User Account</v>
      </c>
      <c r="B463" s="3" t="str">
        <f>IF(NodesData[[#This Row],[Context Instanciation]]="","",NodesData[[#This Row],[Context Instanciation]])</f>
        <v/>
      </c>
      <c r="C463" s="22" t="str">
        <f>NodesData[[#This Row],[Node ID]]</f>
        <v>n6B5455A2_414F_4D8D_A36C_895CC996359A</v>
      </c>
      <c r="D463" s="10" t="s">
        <v>1244</v>
      </c>
      <c r="E463" s="25" t="str" cm="1">
        <f t="array" ref="E463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User De-Provisioning</v>
      </c>
      <c r="B464" s="3" t="str">
        <f>IF(NodesData[[#This Row],[Context Instanciation]]="","",NodesData[[#This Row],[Context Instanciation]])</f>
        <v/>
      </c>
      <c r="C464" s="22" t="str">
        <f>NodesData[[#This Row],[Node ID]]</f>
        <v>n5BB42061_7CD1_4689_84B8_77016A34CE94</v>
      </c>
      <c r="D464" s="10" t="s">
        <v>1246</v>
      </c>
      <c r="E464" s="25" t="str" cm="1">
        <f t="array" ref="E464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User Entitlement Reviews</v>
      </c>
      <c r="B465" s="3" t="str">
        <f>IF(NodesData[[#This Row],[Context Instanciation]]="","",NodesData[[#This Row],[Context Instanciation]])</f>
        <v/>
      </c>
      <c r="C465" s="22" t="str">
        <f>NodesData[[#This Row],[Node ID]]</f>
        <v>n50576DCB_DC90_4189_AEDA_22168AAD0DC2</v>
      </c>
      <c r="D465" s="10" t="s">
        <v>1248</v>
      </c>
      <c r="E465" s="25" t="str" cm="1">
        <f t="array" ref="E465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 ID</v>
      </c>
      <c r="B466" s="3" t="str">
        <f>IF(NodesData[[#This Row],[Context Instanciation]]="","",NodesData[[#This Row],[Context Instanciation]])</f>
        <v/>
      </c>
      <c r="C466" s="22" t="str">
        <f>NodesData[[#This Row],[Node ID]]</f>
        <v>n1148493D_DE5A_4FAF_941A_234122DBF560</v>
      </c>
      <c r="D466" s="10" t="s">
        <v>1250</v>
      </c>
      <c r="E466" s="25" t="str" cm="1">
        <f t="array" ref="E466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Provisioning</v>
      </c>
      <c r="B467" s="3" t="str">
        <f>IF(NodesData[[#This Row],[Context Instanciation]]="","",NodesData[[#This Row],[Context Instanciation]])</f>
        <v/>
      </c>
      <c r="C467" s="22" t="str">
        <f>NodesData[[#This Row],[Node ID]]</f>
        <v>n67A7DB08_4CCF_4966_AEF4_89B2AC2A297A</v>
      </c>
      <c r="D467" s="10" t="s">
        <v>1252</v>
      </c>
      <c r="E467" s="25" t="str" cm="1">
        <f t="array" ref="E467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User-Centric Identity Management System</v>
      </c>
      <c r="B468" s="3" t="str">
        <f>IF(NodesData[[#This Row],[Context Instanciation]]="","",NodesData[[#This Row],[Context Instanciation]])</f>
        <v/>
      </c>
      <c r="C468" s="22" t="str">
        <f>NodesData[[#This Row],[Node ID]]</f>
        <v>nC19BDC8E_5AE1_49EE_B831_B43B924ECC1B</v>
      </c>
      <c r="D468" s="10" t="s">
        <v>1254</v>
      </c>
      <c r="E468" s="25" t="str" cm="1">
        <f t="array" ref="E468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Username</v>
      </c>
      <c r="B469" s="3" t="str">
        <f>IF(NodesData[[#This Row],[Context Instanciation]]="","",NodesData[[#This Row],[Context Instanciation]])</f>
        <v/>
      </c>
      <c r="C469" s="22" t="str">
        <f>NodesData[[#This Row],[Node ID]]</f>
        <v>nF75517D5_69C2_4310_B3EF_77311A1A8188</v>
      </c>
      <c r="D469" s="10" t="s">
        <v>1256</v>
      </c>
      <c r="E469" s="25" t="str" cm="1">
        <f t="array" ref="E469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Verifiable Claim</v>
      </c>
      <c r="B470" s="3" t="str">
        <f>IF(NodesData[[#This Row],[Context Instanciation]]="","",NodesData[[#This Row],[Context Instanciation]])</f>
        <v/>
      </c>
      <c r="C470" s="22" t="str">
        <f>NodesData[[#This Row],[Node ID]]</f>
        <v>nBAB37068_1EF4_414F_B40B_EB8997E19974</v>
      </c>
      <c r="D470" s="10" t="s">
        <v>1258</v>
      </c>
      <c r="E470" s="25" t="str" cm="1">
        <f t="array" ref="E470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Verification</v>
      </c>
      <c r="B471" s="3" t="str">
        <f>IF(NodesData[[#This Row],[Context Instanciation]]="","",NodesData[[#This Row],[Context Instanciation]])</f>
        <v/>
      </c>
      <c r="C471" s="22" t="str">
        <f>NodesData[[#This Row],[Node ID]]</f>
        <v>nB3A3E0DE_D501_4C64_92EE_6EED35F0E8F7</v>
      </c>
      <c r="D471" s="10" t="s">
        <v>1260</v>
      </c>
      <c r="E471" s="25" t="str" cm="1">
        <f t="array" ref="E471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Virtual Directory</v>
      </c>
      <c r="B472" s="3" t="str">
        <f>IF(NodesData[[#This Row],[Context Instanciation]]="","",NodesData[[#This Row],[Context Instanciation]])</f>
        <v/>
      </c>
      <c r="C472" s="22" t="str">
        <f>NodesData[[#This Row],[Node ID]]</f>
        <v>n1AA5AE61_B346_43B1_87DF_35A927EA0AED</v>
      </c>
      <c r="D472" s="10" t="s">
        <v>1261</v>
      </c>
      <c r="E472" s="25" t="str" cm="1">
        <f t="array" ref="E472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Virtual Private Network</v>
      </c>
      <c r="B473" s="3" t="str">
        <f>IF(NodesData[[#This Row],[Context Instanciation]]="","",NodesData[[#This Row],[Context Instanciation]])</f>
        <v/>
      </c>
      <c r="C473" s="22" t="str">
        <f>NodesData[[#This Row],[Node ID]]</f>
        <v>nF173E0D3_8348_4DCB_B1D7_16C85C1013B0</v>
      </c>
      <c r="D473" s="10" t="s">
        <v>1262</v>
      </c>
      <c r="E473" s="25" t="str" cm="1">
        <f t="array" ref="E473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Virtual Risk and Security Site Review</v>
      </c>
      <c r="B474" s="3" t="str">
        <f>IF(NodesData[[#This Row],[Context Instanciation]]="","",NodesData[[#This Row],[Context Instanciation]])</f>
        <v/>
      </c>
      <c r="C474" s="22" t="str">
        <f>NodesData[[#This Row],[Node ID]]</f>
        <v>n5EF5EB18_F868_43E0_BC5D_FB928B82CC59</v>
      </c>
      <c r="D474" s="10" t="s">
        <v>1263</v>
      </c>
      <c r="E474" s="25" t="str" cm="1">
        <f t="array" ref="E474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Voice OTP</v>
      </c>
      <c r="B475" s="3" t="str">
        <f>IF(NodesData[[#This Row],[Context Instanciation]]="","",NodesData[[#This Row],[Context Instanciation]])</f>
        <v/>
      </c>
      <c r="C475" s="22" t="str">
        <f>NodesData[[#This Row],[Node ID]]</f>
        <v>nC0D8C0B5_1A70_4CB1_9F83_D00B0375C928</v>
      </c>
      <c r="D475" s="10" t="s">
        <v>1224</v>
      </c>
      <c r="E475" s="25" t="str" cm="1">
        <f t="array" ref="E475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Voice Recognition Authentication</v>
      </c>
      <c r="B476" s="8" t="str">
        <f>IF(NodesData[[#This Row],[Context Instanciation]]="","",NodesData[[#This Row],[Context Instanciation]])</f>
        <v/>
      </c>
      <c r="C476" s="27" t="str">
        <f>NodesData[[#This Row],[Node ID]]</f>
        <v>nC196E133_4263_4398_B44A_B3053AC5D0E8</v>
      </c>
      <c r="D476" s="8"/>
      <c r="E476" s="25" t="str" cm="1">
        <f t="array" ref="E476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76" s="26"/>
    </row>
    <row r="477" spans="1:6" ht="13.9" thickTop="1" thickBot="1" x14ac:dyDescent="0.4">
      <c r="A477" s="8" t="str">
        <f>NodesData[[#This Row],[Common Name]]</f>
        <v>VPN</v>
      </c>
      <c r="B477" s="8" t="str">
        <f>IF(NodesData[[#This Row],[Context Instanciation]]="","",NodesData[[#This Row],[Context Instanciation]])</f>
        <v/>
      </c>
      <c r="C477" s="27" t="str">
        <f>NodesData[[#This Row],[Node ID]]</f>
        <v>n792AF52F_202C_4B84_9837_C86A7BE5C6D4</v>
      </c>
      <c r="D477" s="8"/>
      <c r="E477" s="25" t="str" cm="1">
        <f t="array" ref="E477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77" s="26"/>
    </row>
    <row r="478" spans="1:6" ht="13.9" thickTop="1" thickBot="1" x14ac:dyDescent="0.4">
      <c r="A478" s="8" t="str">
        <f>NodesData[[#This Row],[Common Name]]</f>
        <v>Weak Authentication</v>
      </c>
      <c r="B478" s="8" t="str">
        <f>IF(NodesData[[#This Row],[Context Instanciation]]="","",NodesData[[#This Row],[Context Instanciation]])</f>
        <v/>
      </c>
      <c r="C478" s="27" t="str">
        <f>NodesData[[#This Row],[Node ID]]</f>
        <v>n20C6E76A_E99F_4AC3_B579_997897697AA6</v>
      </c>
      <c r="D478" s="8"/>
      <c r="E478" s="25" t="str" cm="1">
        <f t="array" ref="E478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78" s="26"/>
    </row>
    <row r="479" spans="1:6" ht="13.9" thickTop="1" thickBot="1" x14ac:dyDescent="0.4">
      <c r="A479" s="8" t="str">
        <f>NodesData[[#This Row],[Common Name]]</f>
        <v>Weak Tranquility Property</v>
      </c>
      <c r="B479" s="8" t="str">
        <f>IF(NodesData[[#This Row],[Context Instanciation]]="","",NodesData[[#This Row],[Context Instanciation]])</f>
        <v/>
      </c>
      <c r="C479" s="27" t="str">
        <f>NodesData[[#This Row],[Node ID]]</f>
        <v>nE5CAB332_46E5_4872_9347_07D71C60B1DD</v>
      </c>
      <c r="D479" s="8"/>
      <c r="E479" s="25" t="str" cm="1">
        <f t="array" ref="E479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79" s="26"/>
    </row>
    <row r="480" spans="1:6" ht="13.9" thickTop="1" thickBot="1" x14ac:dyDescent="0.4">
      <c r="A480" s="8" t="str">
        <f>NodesData[[#This Row],[Common Name]]</f>
        <v>Web-based Single Sign-On</v>
      </c>
      <c r="B480" s="8" t="str">
        <f>IF(NodesData[[#This Row],[Context Instanciation]]="","",NodesData[[#This Row],[Context Instanciation]])</f>
        <v/>
      </c>
      <c r="C480" s="27" t="str">
        <f>NodesData[[#This Row],[Node ID]]</f>
        <v>nA714C34F_E109_4195_A309_62764B001097</v>
      </c>
      <c r="D480" s="8"/>
      <c r="E480" s="25" t="str" cm="1">
        <f t="array" ref="E480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0" s="26"/>
    </row>
    <row r="481" spans="1:6" ht="13.9" thickTop="1" thickBot="1" x14ac:dyDescent="0.4">
      <c r="A481" s="8" t="str">
        <f>NodesData[[#This Row],[Common Name]]</f>
        <v>Windows (Non-Default) Local User Account</v>
      </c>
      <c r="B481" s="8" t="str">
        <f>IF(NodesData[[#This Row],[Context Instanciation]]="","",NodesData[[#This Row],[Context Instanciation]])</f>
        <v/>
      </c>
      <c r="C481" s="27" t="str">
        <f>NodesData[[#This Row],[Node ID]]</f>
        <v>nAF6BA4B5_C4EC_4B28_8369_799EADD91BB8</v>
      </c>
      <c r="D481" s="8"/>
      <c r="E481" s="25" t="str" cm="1">
        <f t="array" ref="E481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1" s="26"/>
    </row>
    <row r="482" spans="1:6" ht="13.9" thickTop="1" thickBot="1" x14ac:dyDescent="0.4">
      <c r="A482" s="8" t="str">
        <f>NodesData[[#This Row],[Common Name]]</f>
        <v>Windows Default Local System Account</v>
      </c>
      <c r="B482" s="8" t="str">
        <f>IF(NodesData[[#This Row],[Context Instanciation]]="","",NodesData[[#This Row],[Context Instanciation]])</f>
        <v/>
      </c>
      <c r="C482" s="27" t="str">
        <f>NodesData[[#This Row],[Node ID]]</f>
        <v>n30C769A5_3901_4FE2_A484_26752443F078</v>
      </c>
      <c r="D482" s="8"/>
      <c r="E482" s="25" t="str" cm="1">
        <f t="array" ref="E482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2" s="26"/>
    </row>
    <row r="483" spans="1:6" ht="13.9" thickTop="1" thickBot="1" x14ac:dyDescent="0.4">
      <c r="A483" s="8" t="str">
        <f>NodesData[[#This Row],[Common Name]]</f>
        <v>Windows Default Local User Account</v>
      </c>
      <c r="B483" s="8" t="str">
        <f>IF(NodesData[[#This Row],[Context Instanciation]]="","",NodesData[[#This Row],[Context Instanciation]])</f>
        <v/>
      </c>
      <c r="C483" s="27" t="str">
        <f>NodesData[[#This Row],[Node ID]]</f>
        <v>n57652DD2_8622_4048_95C6_3D1CA71B338F</v>
      </c>
      <c r="D483" s="8"/>
      <c r="E483" s="25" t="str" cm="1">
        <f t="array" ref="E483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3" s="26"/>
    </row>
    <row r="484" spans="1:6" ht="13.9" thickTop="1" thickBot="1" x14ac:dyDescent="0.4">
      <c r="A484" s="8" t="str">
        <f>NodesData[[#This Row],[Common Name]]</f>
        <v>Windows DefaultAccount Account</v>
      </c>
      <c r="B484" s="8" t="str">
        <f>IF(NodesData[[#This Row],[Context Instanciation]]="","",NodesData[[#This Row],[Context Instanciation]])</f>
        <v/>
      </c>
      <c r="C484" s="27" t="str">
        <f>NodesData[[#This Row],[Node ID]]</f>
        <v>nDB980524_D5B2_4D4E_A6E4_3725625E9ED0</v>
      </c>
      <c r="D484" s="8"/>
      <c r="E484" s="25" t="str" cm="1">
        <f t="array" ref="E484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4" s="26"/>
    </row>
    <row r="485" spans="1:6" ht="13.9" thickTop="1" thickBot="1" x14ac:dyDescent="0.4">
      <c r="A485" s="8" t="str">
        <f>NodesData[[#This Row],[Common Name]]</f>
        <v>Windows Guest Account</v>
      </c>
      <c r="B485" s="8" t="str">
        <f>IF(NodesData[[#This Row],[Context Instanciation]]="","",NodesData[[#This Row],[Context Instanciation]])</f>
        <v/>
      </c>
      <c r="C485" s="27" t="str">
        <f>NodesData[[#This Row],[Node ID]]</f>
        <v>n7B6F5266_C940_417B_9FB2_8373338B3D43</v>
      </c>
      <c r="D485" s="8"/>
      <c r="E485" s="25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5" s="26"/>
    </row>
    <row r="486" spans="1:6" ht="13.9" thickTop="1" thickBot="1" x14ac:dyDescent="0.4">
      <c r="A486" s="8" t="str">
        <f>NodesData[[#This Row],[Common Name]]</f>
        <v>Windows HelpAssistant Account</v>
      </c>
      <c r="B486" s="8" t="str">
        <f>IF(NodesData[[#This Row],[Context Instanciation]]="","",NodesData[[#This Row],[Context Instanciation]])</f>
        <v/>
      </c>
      <c r="C486" s="27" t="str">
        <f>NodesData[[#This Row],[Node ID]]</f>
        <v>n6E36BCF4_0D2E_423E_A7F2_1859C5F43F22</v>
      </c>
      <c r="D486" s="8"/>
      <c r="E486" s="25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  <c r="F486" s="26"/>
    </row>
    <row r="487" spans="1:6" ht="13.9" thickTop="1" thickBot="1" x14ac:dyDescent="0.4">
      <c r="A487" s="8" t="str">
        <f>NodesData[[#This Row],[Common Name]]</f>
        <v>Windows Local Account</v>
      </c>
      <c r="B487" s="8" t="str">
        <f>IF(NodesData[[#This Row],[Context Instanciation]]="","",NodesData[[#This Row],[Context Instanciation]])</f>
        <v/>
      </c>
      <c r="C487" s="27" t="str">
        <f>NodesData[[#This Row],[Node ID]]</f>
        <v>n3B7CBF53_A57C_44ED_AD36_C72517D3DEF6</v>
      </c>
      <c r="D487" s="8"/>
      <c r="E487" s="25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  <c r="F487" s="26"/>
    </row>
    <row r="488" spans="1:6" ht="13.9" thickTop="1" thickBot="1" x14ac:dyDescent="0.4">
      <c r="A488" s="8" t="str">
        <f>NodesData[[#This Row],[Common Name]]</f>
        <v>Windows Local Administrator Account</v>
      </c>
      <c r="B488" s="8" t="str">
        <f>IF(NodesData[[#This Row],[Context Instanciation]]="","",NodesData[[#This Row],[Context Instanciation]])</f>
        <v/>
      </c>
      <c r="C488" s="27" t="str">
        <f>NodesData[[#This Row],[Node ID]]</f>
        <v>nCDE26EDC_0440_4B98_9517_E35E3F6BE7DF</v>
      </c>
      <c r="D488" s="8"/>
      <c r="E488" s="25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  <c r="F488" s="26"/>
    </row>
    <row r="489" spans="1:6" ht="13.9" thickTop="1" thickBot="1" x14ac:dyDescent="0.4">
      <c r="A489" s="8" t="str">
        <f>NodesData[[#This Row],[Common Name]]</f>
        <v>Windows LOCAL SERVICE Account</v>
      </c>
      <c r="B489" s="8" t="str">
        <f>IF(NodesData[[#This Row],[Context Instanciation]]="","",NodesData[[#This Row],[Context Instanciation]])</f>
        <v/>
      </c>
      <c r="C489" s="27" t="str">
        <f>NodesData[[#This Row],[Node ID]]</f>
        <v>nBFD644BE_EADE_44D5_BDAE_64B1E095A11B</v>
      </c>
      <c r="D489" s="8"/>
      <c r="E489" s="25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LOCAL SERVICE Account","group":"","id":"nBFD644BE_EADE_44D5_BDAE_64B1E095A11B","url":""}</v>
      </c>
      <c r="F489" s="26"/>
    </row>
    <row r="490" spans="1:6" ht="13.9" thickTop="1" thickBot="1" x14ac:dyDescent="0.4">
      <c r="A490" s="4" t="str">
        <f>NodesData[[#This Row],[Common Name]]</f>
        <v>Windows NETWORK SERVICE Account</v>
      </c>
      <c r="B490" s="8" t="str">
        <f>IF(NodesData[[#This Row],[Context Instanciation]]="","",NodesData[[#This Row],[Context Instanciation]])</f>
        <v/>
      </c>
      <c r="C490" s="27" t="str">
        <f>NodesData[[#This Row],[Node ID]]</f>
        <v>n24EDEEBB_184D_4CD9_AF97_8ED49C048AC4</v>
      </c>
      <c r="D490" s="4"/>
      <c r="E490" s="25" t="str" cm="1">
        <f t="array" ref="E490">IF(ROW(NodesJSON[[#This Row],[label]])&gt;ROW(NodesJSON[[#Headers],[JSON]])+1,",","") &amp;"{"&amp;twoRangesToJSON(NodesJSON[[#Headers],[label]:[url]],NodesJSON[[#This Row],[label]:[url]])&amp;"}"</f>
        <v>,{"label":"Windows NETWORK SERVICE Account","group":"","id":"n24EDEEBB_184D_4CD9_AF97_8ED49C048AC4","url":""}</v>
      </c>
    </row>
    <row r="491" spans="1:6" ht="13.9" thickTop="1" thickBot="1" x14ac:dyDescent="0.4">
      <c r="A491" s="4" t="str">
        <f>NodesData[[#This Row],[Common Name]]</f>
        <v>Windows Security Identifier</v>
      </c>
      <c r="B491" s="8" t="str">
        <f>IF(NodesData[[#This Row],[Context Instanciation]]="","",NodesData[[#This Row],[Context Instanciation]])</f>
        <v/>
      </c>
      <c r="C491" s="27" t="str">
        <f>NodesData[[#This Row],[Node ID]]</f>
        <v>n4442B948_CB96_4FB1_B197_0CB8512232F5</v>
      </c>
      <c r="D491" s="4"/>
      <c r="E491" s="25" t="str" cm="1">
        <f t="array" ref="E491">IF(ROW(NodesJSON[[#This Row],[label]])&gt;ROW(NodesJSON[[#Headers],[JSON]])+1,",","") &amp;"{"&amp;twoRangesToJSON(NodesJSON[[#Headers],[label]:[url]],NodesJSON[[#This Row],[label]:[url]])&amp;"}"</f>
        <v>,{"label":"Windows Security Identifier","group":"","id":"n4442B948_CB96_4FB1_B197_0CB8512232F5","url":""}</v>
      </c>
    </row>
    <row r="492" spans="1:6" ht="13.9" thickTop="1" thickBot="1" x14ac:dyDescent="0.4">
      <c r="A492" s="4" t="str">
        <f>NodesData[[#This Row],[Common Name]]</f>
        <v>Windows SYSTEM Account</v>
      </c>
      <c r="B492" s="8" t="str">
        <f>IF(NodesData[[#This Row],[Context Instanciation]]="","",NodesData[[#This Row],[Context Instanciation]])</f>
        <v/>
      </c>
      <c r="C492" s="27" t="str">
        <f>NodesData[[#This Row],[Node ID]]</f>
        <v>n3B05549C_D612_4F93_B225_856E09571963</v>
      </c>
      <c r="D492" s="4"/>
      <c r="E492" s="25" t="str" cm="1">
        <f t="array" ref="E492">IF(ROW(NodesJSON[[#This Row],[label]])&gt;ROW(NodesJSON[[#Headers],[JSON]])+1,",","") &amp;"{"&amp;twoRangesToJSON(NodesJSON[[#Headers],[label]:[url]],NodesJSON[[#This Row],[label]:[url]])&amp;"}"</f>
        <v>,{"label":"Windows SYSTEM Account","group":"","id":"n3B05549C_D612_4F93_B225_856E09571963","url":""}</v>
      </c>
    </row>
    <row r="493" spans="1:6" ht="13.9" thickTop="1" thickBot="1" x14ac:dyDescent="0.4">
      <c r="A493" s="4" t="str">
        <f>NodesData[[#This Row],[Common Name]]</f>
        <v>Worker</v>
      </c>
      <c r="B493" s="8" t="str">
        <f>IF(NodesData[[#This Row],[Context Instanciation]]="","",NodesData[[#This Row],[Context Instanciation]])</f>
        <v/>
      </c>
      <c r="C493" s="27" t="str">
        <f>NodesData[[#This Row],[Node ID]]</f>
        <v>nA88BF1ED_4AE8_4B89_B290_4D73E6D0E99B</v>
      </c>
      <c r="D493" s="4"/>
      <c r="E493" s="25" t="str" cm="1">
        <f t="array" ref="E493">IF(ROW(NodesJSON[[#This Row],[label]])&gt;ROW(NodesJSON[[#Headers],[JSON]])+1,",","") &amp;"{"&amp;twoRangesToJSON(NodesJSON[[#Headers],[label]:[url]],NodesJSON[[#This Row],[label]:[url]])&amp;"}"</f>
        <v>,{"label":"Worker","group":"","id":"nA88BF1ED_4AE8_4B89_B290_4D73E6D0E99B","url":""}</v>
      </c>
    </row>
    <row r="494" spans="1:6" ht="13.9" thickTop="1" thickBot="1" x14ac:dyDescent="0.4">
      <c r="A494" s="4" t="str">
        <f>NodesData[[#This Row],[Common Name]]</f>
        <v>Workflow-Sensitive Access Control</v>
      </c>
      <c r="B494" s="8" t="str">
        <f>IF(NodesData[[#This Row],[Context Instanciation]]="","",NodesData[[#This Row],[Context Instanciation]])</f>
        <v/>
      </c>
      <c r="C494" s="27" t="str">
        <f>NodesData[[#This Row],[Node ID]]</f>
        <v>nFAD010FC_681A_4C15_94C3_71AEB684C44D</v>
      </c>
      <c r="D494" s="4"/>
      <c r="E494" s="25" t="str" cm="1">
        <f t="array" ref="E494">IF(ROW(NodesJSON[[#This Row],[label]])&gt;ROW(NodesJSON[[#Headers],[JSON]])+1,",","") &amp;"{"&amp;twoRangesToJSON(NodesJSON[[#Headers],[label]:[url]],NodesJSON[[#This Row],[label]:[url]])&amp;"}"</f>
        <v>,{"label":"Workflow-Sensitive Access Control","group":"","id":"nFAD010FC_681A_4C15_94C3_71AEB684C44D","url":""}</v>
      </c>
    </row>
    <row r="495" spans="1:6" ht="13.9" thickTop="1" thickBot="1" x14ac:dyDescent="0.4">
      <c r="A495" s="4" t="str">
        <f>NodesData[[#This Row],[Common Name]]</f>
        <v>Workforce</v>
      </c>
      <c r="B495" s="8" t="str">
        <f>IF(NodesData[[#This Row],[Context Instanciation]]="","",NodesData[[#This Row],[Context Instanciation]])</f>
        <v/>
      </c>
      <c r="C495" s="27" t="str">
        <f>NodesData[[#This Row],[Node ID]]</f>
        <v>nCC381DA1_CA00_4281_80DE_4480AA826170</v>
      </c>
      <c r="D495" s="4"/>
      <c r="E495" s="25" t="str" cm="1">
        <f t="array" ref="E495">IF(ROW(NodesJSON[[#This Row],[label]])&gt;ROW(NodesJSON[[#Headers],[JSON]])+1,",","") &amp;"{"&amp;twoRangesToJSON(NodesJSON[[#Headers],[label]:[url]],NodesJSON[[#This Row],[label]:[url]])&amp;"}"</f>
        <v>,{"label":"Workforce","group":"","id":"nCC381DA1_CA00_4281_80DE_4480AA826170","url":""}</v>
      </c>
    </row>
    <row r="496" spans="1:6" ht="13.9" thickTop="1" thickBot="1" x14ac:dyDescent="0.4">
      <c r="A496" s="4" t="str">
        <f>NodesData[[#This Row],[Common Name]]</f>
        <v>XACML</v>
      </c>
      <c r="B496" s="8" t="str">
        <f>IF(NodesData[[#This Row],[Context Instanciation]]="","",NodesData[[#This Row],[Context Instanciation]])</f>
        <v/>
      </c>
      <c r="C496" s="27" t="str">
        <f>NodesData[[#This Row],[Node ID]]</f>
        <v>n3EE5AC73_62B3_4719_B4EA_AF76F43BF4D4</v>
      </c>
      <c r="D496" s="4"/>
      <c r="E496" s="25" t="str" cm="1">
        <f t="array" ref="E496">IF(ROW(NodesJSON[[#This Row],[label]])&gt;ROW(NodesJSON[[#Headers],[JSON]])+1,",","") &amp;"{"&amp;twoRangesToJSON(NodesJSON[[#Headers],[label]:[url]],NodesJSON[[#This Row],[label]:[url]])&amp;"}"</f>
        <v>,{"label":"XACML","group":"","id":"n3EE5AC73_62B3_4719_B4EA_AF76F43BF4D4","url":""}</v>
      </c>
    </row>
    <row r="497" spans="1:5" ht="13.9" thickTop="1" thickBot="1" x14ac:dyDescent="0.4">
      <c r="A497" s="4" t="str">
        <f>NodesData[[#This Row],[Common Name]]</f>
        <v>Zero-Trust Access</v>
      </c>
      <c r="B497" s="8" t="str">
        <f>IF(NodesData[[#This Row],[Context Instanciation]]="","",NodesData[[#This Row],[Context Instanciation]])</f>
        <v/>
      </c>
      <c r="C497" s="27" t="str">
        <f>NodesData[[#This Row],[Node ID]]</f>
        <v>nA083172A_2D30_45C1_A7AA_C0950BF75AF5</v>
      </c>
      <c r="D497" s="4"/>
      <c r="E497" s="25" t="str" cm="1">
        <f t="array" ref="E497">IF(ROW(NodesJSON[[#This Row],[label]])&gt;ROW(NodesJSON[[#Headers],[JSON]])+1,",","") &amp;"{"&amp;twoRangesToJSON(NodesJSON[[#Headers],[label]:[url]],NodesJSON[[#This Row],[label]:[url]])&amp;"}"</f>
        <v>,{"label":"Zero-Trust Access","group":"","id":"nA083172A_2D30_45C1_A7AA_C0950BF75AF5","url":""}</v>
      </c>
    </row>
    <row r="498" spans="1:5" ht="13.9" thickTop="1" thickBot="1" x14ac:dyDescent="0.4">
      <c r="A498" s="4" t="str">
        <f>NodesData[[#This Row],[Common Name]]</f>
        <v>Zombie Account</v>
      </c>
      <c r="B498" s="8" t="str">
        <f>IF(NodesData[[#This Row],[Context Instanciation]]="","",NodesData[[#This Row],[Context Instanciation]])</f>
        <v/>
      </c>
      <c r="C498" s="27" t="str">
        <f>NodesData[[#This Row],[Node ID]]</f>
        <v>n32F8B5A2_2FF3_46A6_92A0_A0A74C77207C</v>
      </c>
      <c r="D498" s="4"/>
      <c r="E498" s="25" t="str" cm="1">
        <f t="array" ref="E498">IF(ROW(NodesJSON[[#This Row],[label]])&gt;ROW(NodesJSON[[#Headers],[JSON]])+1,",","") &amp;"{"&amp;twoRangesToJSON(NodesJSON[[#Headers],[label]:[url]],NodesJSON[[#This Row],[label]:[url]])&amp;"}"</f>
        <v>,{"label":"Zombie Account","group":"","id":"n32F8B5A2_2FF3_46A6_92A0_A0A74C77207C","url":""}</v>
      </c>
    </row>
    <row r="499" spans="1:5" ht="13.9" thickTop="1" thickBot="1" x14ac:dyDescent="0.4">
      <c r="A499" s="4" t="str">
        <f>NodesData[[#This Row],[Common Name]]</f>
        <v>ZTA</v>
      </c>
      <c r="B499" s="8" t="str">
        <f>IF(NodesData[[#This Row],[Context Instanciation]]="","",NodesData[[#This Row],[Context Instanciation]])</f>
        <v/>
      </c>
      <c r="C499" s="27" t="str">
        <f>NodesData[[#This Row],[Node ID]]</f>
        <v>n0BF6DF94_3689_4DC6_A2E2_4E916F963D9A</v>
      </c>
      <c r="D499" s="4"/>
      <c r="E499" s="25" t="str" cm="1">
        <f t="array" ref="E499">IF(ROW(NodesJSON[[#This Row],[label]])&gt;ROW(NodesJSON[[#Headers],[JSON]])+1,",","") &amp;"{"&amp;twoRangesToJSON(NodesJSON[[#Headers],[label]:[url]],NodesJSON[[#This Row],[label]:[url]])&amp;"}"</f>
        <v>,{"label":"ZTA","group":"","id":"n0BF6DF94_3689_4DC6_A2E2_4E916F963D9A","url":""}</v>
      </c>
    </row>
    <row r="500" spans="1:5" ht="13.15" thickTop="1" x14ac:dyDescent="0.3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7"/>
  <sheetViews>
    <sheetView tabSelected="1" topLeftCell="E44" zoomScale="120" zoomScaleNormal="120" workbookViewId="0">
      <selection activeCell="E66" sqref="E66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1909</v>
      </c>
      <c r="B1" s="9"/>
      <c r="C1" s="9"/>
      <c r="D1" s="23"/>
    </row>
    <row r="2" spans="1:5" s="12" customFormat="1" ht="15" thickTop="1" thickBot="1" x14ac:dyDescent="0.5">
      <c r="A2" s="15" t="s">
        <v>1334</v>
      </c>
      <c r="B2" s="15" t="s">
        <v>1353</v>
      </c>
      <c r="C2" s="15" t="s">
        <v>1354</v>
      </c>
      <c r="D2" s="15" t="s">
        <v>1335</v>
      </c>
      <c r="E2" s="24" t="s">
        <v>1333</v>
      </c>
    </row>
    <row r="3" spans="1:5" ht="13.9" thickTop="1" thickBot="1" x14ac:dyDescent="0.4">
      <c r="A3" s="21" t="str">
        <f>EdgesData[[#This Row],[Edge ID]]</f>
        <v>n96BD0C0B_9A7F_45ED_9519_30416CA253CB</v>
      </c>
      <c r="B3" s="21" t="str">
        <f>EdgesData[[#This Row],[Node A ID]]</f>
        <v>nAC688165_B606_4D82_A016_0263D701EDF2</v>
      </c>
      <c r="C3" s="21" t="str">
        <f>EdgesData[[#This Row],[Node B ID]]</f>
        <v>n53877DB9_77FA_44E9_974A_BE3344133398</v>
      </c>
      <c r="D3" s="3" t="str">
        <f>EdgesData[[#This Row],[Rel]]</f>
        <v>is</v>
      </c>
      <c r="E3" s="25" t="str" cm="1">
        <f t="array" ref="E3">IF(ROW(EdgesJSON[[#This Row],[id]])&gt;ROW(EdgesJSON[[#Headers],[JSON]])+1,",","") &amp;"{"&amp;twoRangesToJSON(EdgesJSON[[#Headers],[id]:[label]],EdgesJSON[[#This Row],[id]:[label]])&amp;"}"</f>
        <v>{"id":"n96BD0C0B_9A7F_45ED_9519_30416CA253CB","from":"nAC688165_B606_4D82_A016_0263D701EDF2","to":"n53877DB9_77FA_44E9_974A_BE3344133398","label":"is"}</v>
      </c>
    </row>
    <row r="4" spans="1:5" ht="13.9" thickTop="1" thickBot="1" x14ac:dyDescent="0.4">
      <c r="A4" s="21" t="str">
        <f>EdgesData[[#This Row],[Edge ID]]</f>
        <v>nCFA197D3_9344_415D_9209_905E09487E5F</v>
      </c>
      <c r="B4" s="21" t="str">
        <f>EdgesData[[#This Row],[Node A ID]]</f>
        <v>n8B61F4C7_8FA2_43DC_B58C_AB2C5C0A8877</v>
      </c>
      <c r="C4" s="21" t="str">
        <f>EdgesData[[#This Row],[Node B ID]]</f>
        <v>nCEEB6DF9_D56B_4A1B_9B36_35674D25F038</v>
      </c>
      <c r="D4" s="3" t="str">
        <f>EdgesData[[#This Row],[Rel]]</f>
        <v>is</v>
      </c>
      <c r="E4" s="25" t="str" cm="1">
        <f t="array" ref="E4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5" spans="1:5" ht="13.9" thickTop="1" thickBot="1" x14ac:dyDescent="0.4">
      <c r="A5" s="21" t="str">
        <f>EdgesData[[#This Row],[Edge ID]]</f>
        <v>n185B7D84_8C31_44D8_907D_0EEC1E5DC38A</v>
      </c>
      <c r="B5" s="21" t="str">
        <f>EdgesData[[#This Row],[Node A ID]]</f>
        <v>n8B61F4C7_8FA2_43DC_B58C_AB2C5C0A8877</v>
      </c>
      <c r="C5" s="21" t="str">
        <f>EdgesData[[#This Row],[Node B ID]]</f>
        <v>nFC4AFBE3_7D71_456A_AFC1_16F1F34558F5</v>
      </c>
      <c r="D5" s="3" t="str">
        <f>EdgesData[[#This Row],[Rel]]</f>
        <v>protects</v>
      </c>
      <c r="E5" s="25" t="str" cm="1">
        <f t="array" ref="E5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6" spans="1:5" ht="13.9" thickTop="1" thickBot="1" x14ac:dyDescent="0.4">
      <c r="A6" s="21" t="str">
        <f>EdgesData[[#This Row],[Edge ID]]</f>
        <v>n6EA23684_7375_433D_8170_212A6AB58564</v>
      </c>
      <c r="B6" s="21" t="str">
        <f>EdgesData[[#This Row],[Node A ID]]</f>
        <v>n8B61F4C7_8FA2_43DC_B58C_AB2C5C0A8877</v>
      </c>
      <c r="C6" s="21" t="str">
        <f>EdgesData[[#This Row],[Node B ID]]</f>
        <v>n1546AAB1_79BC_427B_AC2C_31B1E8FA4616</v>
      </c>
      <c r="D6" s="3" t="str">
        <f>EdgesData[[#This Row],[Rel]]</f>
        <v>protects from</v>
      </c>
      <c r="E6" s="25" t="str" cm="1">
        <f t="array" ref="E6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7" spans="1:5" ht="13.9" thickTop="1" thickBot="1" x14ac:dyDescent="0.4">
      <c r="A7" s="21" t="str">
        <f>EdgesData[[#This Row],[Edge ID]]</f>
        <v>n7CFCDE36_D268_40C8_9818_5F762B04D5C3</v>
      </c>
      <c r="B7" s="21" t="str">
        <f>EdgesData[[#This Row],[Node A ID]]</f>
        <v>n45A95ED6_6BE9_42DC_8F8E_4940542AA763</v>
      </c>
      <c r="C7" s="21" t="str">
        <f>EdgesData[[#This Row],[Node B ID]]</f>
        <v>n53877DB9_77FA_44E9_974A_BE3344133398</v>
      </c>
      <c r="D7" s="3" t="str">
        <f>EdgesData[[#This Row],[Rel]]</f>
        <v>is</v>
      </c>
      <c r="E7" s="25" t="str" cm="1">
        <f t="array" ref="E7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8" spans="1:5" ht="13.9" thickTop="1" thickBot="1" x14ac:dyDescent="0.4">
      <c r="A8" s="21" t="str">
        <f>EdgesData[[#This Row],[Edge ID]]</f>
        <v>n9E30E2ED_A60B_4197_A894_F66D9251EA8D</v>
      </c>
      <c r="B8" s="21" t="str">
        <f>EdgesData[[#This Row],[Node A ID]]</f>
        <v>n45A95ED6_6BE9_42DC_8F8E_4940542AA763</v>
      </c>
      <c r="C8" s="21" t="str">
        <f>EdgesData[[#This Row],[Node B ID]]</f>
        <v>nAC688165_B606_4D82_A016_0263D701EDF2</v>
      </c>
      <c r="D8" s="3" t="str">
        <f>EdgesData[[#This Row],[Rel]]</f>
        <v>is</v>
      </c>
      <c r="E8" s="25" t="str" cm="1">
        <f t="array" ref="E8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9" spans="1:5" ht="13.9" thickTop="1" thickBot="1" x14ac:dyDescent="0.4">
      <c r="A9" s="21" t="str">
        <f>EdgesData[[#This Row],[Edge ID]]</f>
        <v>n0FA15067_803F_459E_A370_46E2E4164F90</v>
      </c>
      <c r="B9" s="21" t="str">
        <f>EdgesData[[#This Row],[Node A ID]]</f>
        <v>n09E1C4DC_8D91_4A66_9C50_11DCDC2042FD</v>
      </c>
      <c r="C9" s="21" t="str">
        <f>EdgesData[[#This Row],[Node B ID]]</f>
        <v>n80310A12_2F48_48B9_A9C3_E6FADD4B55C9</v>
      </c>
      <c r="D9" s="3" t="str">
        <f>EdgesData[[#This Row],[Rel]]</f>
        <v>is</v>
      </c>
      <c r="E9" s="25" t="str" cm="1">
        <f t="array" ref="E9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0" spans="1:5" ht="13.9" thickTop="1" thickBot="1" x14ac:dyDescent="0.4">
      <c r="A10" s="21" t="str">
        <f>EdgesData[[#This Row],[Edge ID]]</f>
        <v>n16067629_26D5_42A1_BDB2_97473A56EAB7</v>
      </c>
      <c r="B10" s="21" t="str">
        <f>EdgesData[[#This Row],[Node A ID]]</f>
        <v>nEE342468_B7F3_4FB0_BA73_C88BBEA8F59E</v>
      </c>
      <c r="C10" s="21" t="str">
        <f>EdgesData[[#This Row],[Node B ID]]</f>
        <v>n80310A12_2F48_48B9_A9C3_E6FADD4B55C9</v>
      </c>
      <c r="D10" s="3" t="str">
        <f>EdgesData[[#This Row],[Rel]]</f>
        <v>is</v>
      </c>
      <c r="E10" s="25" t="str" cm="1">
        <f t="array" ref="E10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1" spans="1:5" ht="13.9" thickTop="1" thickBot="1" x14ac:dyDescent="0.4">
      <c r="A11" s="21" t="str">
        <f>EdgesData[[#This Row],[Edge ID]]</f>
        <v>n79C52E10_73FE_4CAF_A156_854467FC67DC</v>
      </c>
      <c r="B11" s="21" t="str">
        <f>EdgesData[[#This Row],[Node A ID]]</f>
        <v>n1546AAB1_79BC_427B_AC2C_31B1E8FA4616</v>
      </c>
      <c r="C11" s="21" t="str">
        <f>EdgesData[[#This Row],[Node B ID]]</f>
        <v>n385B2A02_580E_49B6_8C97_A00DC541C516</v>
      </c>
      <c r="D11" s="3" t="str">
        <f>EdgesData[[#This Row],[Rel]]</f>
        <v>is</v>
      </c>
      <c r="E11" s="25" t="str" cm="1">
        <f t="array" ref="E11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2" spans="1:5" ht="13.9" thickTop="1" thickBot="1" x14ac:dyDescent="0.4">
      <c r="A12" s="21" t="str">
        <f>EdgesData[[#This Row],[Edge ID]]</f>
        <v>n74EDF48C_1856_4E54_BBD1_44DC4A97ABCE</v>
      </c>
      <c r="B12" s="21" t="str">
        <f>EdgesData[[#This Row],[Node A ID]]</f>
        <v>nA4759A9D_95C0_47CA_B519_8CEF217B2F74</v>
      </c>
      <c r="C12" s="21" t="str">
        <f>EdgesData[[#This Row],[Node B ID]]</f>
        <v>n53877DB9_77FA_44E9_974A_BE3344133398</v>
      </c>
      <c r="D12" s="3" t="str">
        <f>EdgesData[[#This Row],[Rel]]</f>
        <v>is</v>
      </c>
      <c r="E12" s="25" t="str" cm="1">
        <f t="array" ref="E12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3" spans="1:5" ht="13.9" thickTop="1" thickBot="1" x14ac:dyDescent="0.4">
      <c r="A13" s="21" t="str">
        <f>EdgesData[[#This Row],[Edge ID]]</f>
        <v>n433C0CE8_199B_41A4_BBC0_39E1F2549476</v>
      </c>
      <c r="B13" s="21" t="str">
        <f>EdgesData[[#This Row],[Node A ID]]</f>
        <v>nA4759A9D_95C0_47CA_B519_8CEF217B2F74</v>
      </c>
      <c r="C13" s="21" t="str">
        <f>EdgesData[[#This Row],[Node B ID]]</f>
        <v>nAC688165_B606_4D82_A016_0263D701EDF2</v>
      </c>
      <c r="D13" s="3" t="str">
        <f>EdgesData[[#This Row],[Rel]]</f>
        <v>is</v>
      </c>
      <c r="E13" s="25" t="str" cm="1">
        <f t="array" ref="E13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4" spans="1:5" ht="13.9" thickTop="1" thickBot="1" x14ac:dyDescent="0.4">
      <c r="A14" s="21" t="str">
        <f>EdgesData[[#This Row],[Edge ID]]</f>
        <v>n0C9CFDC8_E9C2_4E79_8947_C460FAB26FA9</v>
      </c>
      <c r="B14" s="21" t="str">
        <f>EdgesData[[#This Row],[Node A ID]]</f>
        <v>nAACCE65E_6554_4FBD_B4D7_A3BA8E3BDB92</v>
      </c>
      <c r="C14" s="21" t="str">
        <f>EdgesData[[#This Row],[Node B ID]]</f>
        <v>n53877DB9_77FA_44E9_974A_BE3344133398</v>
      </c>
      <c r="D14" s="3" t="str">
        <f>EdgesData[[#This Row],[Rel]]</f>
        <v>is</v>
      </c>
      <c r="E14" s="25" t="str" cm="1">
        <f t="array" ref="E14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5" spans="1:5" ht="13.9" thickTop="1" thickBot="1" x14ac:dyDescent="0.4">
      <c r="A15" s="21" t="str">
        <f>EdgesData[[#This Row],[Edge ID]]</f>
        <v>n4AB9C546_49D0_4EA2_8498_0D2C04578B1D</v>
      </c>
      <c r="B15" s="21" t="str">
        <f>EdgesData[[#This Row],[Node A ID]]</f>
        <v>nAACCE65E_6554_4FBD_B4D7_A3BA8E3BDB92</v>
      </c>
      <c r="C15" s="21" t="str">
        <f>EdgesData[[#This Row],[Node B ID]]</f>
        <v>nAC688165_B606_4D82_A016_0263D701EDF2</v>
      </c>
      <c r="D15" s="3" t="str">
        <f>EdgesData[[#This Row],[Rel]]</f>
        <v>is</v>
      </c>
      <c r="E15" s="25" t="str" cm="1">
        <f t="array" ref="E15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6" spans="1:5" ht="13.9" thickTop="1" thickBot="1" x14ac:dyDescent="0.4">
      <c r="A16" s="21" t="str">
        <f>EdgesData[[#This Row],[Edge ID]]</f>
        <v>n1774DB80_05C1_4022_AD00_69849ED81D66</v>
      </c>
      <c r="B16" s="21" t="str">
        <f>EdgesData[[#This Row],[Node A ID]]</f>
        <v>nF5B3A52F_6645_4E18_BE53_3CA330AAEC4A</v>
      </c>
      <c r="C16" s="21" t="str">
        <f>EdgesData[[#This Row],[Node B ID]]</f>
        <v>n53877DB9_77FA_44E9_974A_BE3344133398</v>
      </c>
      <c r="D16" s="3" t="str">
        <f>EdgesData[[#This Row],[Rel]]</f>
        <v>is</v>
      </c>
      <c r="E16" s="25" t="str" cm="1">
        <f t="array" ref="E16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7" spans="1:5" ht="13.9" thickTop="1" thickBot="1" x14ac:dyDescent="0.4">
      <c r="A17" s="21" t="str">
        <f>EdgesData[[#This Row],[Edge ID]]</f>
        <v>n5FE7C068_1E39_497D_A95C_9B7E7A82CB68</v>
      </c>
      <c r="B17" s="21" t="str">
        <f>EdgesData[[#This Row],[Node A ID]]</f>
        <v>nF5B3A52F_6645_4E18_BE53_3CA330AAEC4A</v>
      </c>
      <c r="C17" s="21" t="str">
        <f>EdgesData[[#This Row],[Node B ID]]</f>
        <v>nAC688165_B606_4D82_A016_0263D701EDF2</v>
      </c>
      <c r="D17" s="3" t="str">
        <f>EdgesData[[#This Row],[Rel]]</f>
        <v>is</v>
      </c>
      <c r="E17" s="25" t="str" cm="1">
        <f t="array" ref="E17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8" spans="1:5" ht="13.9" thickTop="1" thickBot="1" x14ac:dyDescent="0.4">
      <c r="A18" s="21" t="str">
        <f>EdgesData[[#This Row],[Edge ID]]</f>
        <v>n1590C804_C1D3_45D7_9BD1_A699E03C4480</v>
      </c>
      <c r="B18" s="21" t="str">
        <f>EdgesData[[#This Row],[Node A ID]]</f>
        <v>nE75296C8_9CA1_417E_B05B_CC1BDF26F9C3</v>
      </c>
      <c r="C18" s="21" t="str">
        <f>EdgesData[[#This Row],[Node B ID]]</f>
        <v>n53877DB9_77FA_44E9_974A_BE3344133398</v>
      </c>
      <c r="D18" s="3" t="str">
        <f>EdgesData[[#This Row],[Rel]]</f>
        <v>is</v>
      </c>
      <c r="E18" s="25" t="str" cm="1">
        <f t="array" ref="E18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19" spans="1:5" ht="13.9" thickTop="1" thickBot="1" x14ac:dyDescent="0.4">
      <c r="A19" s="21" t="str">
        <f>EdgesData[[#This Row],[Edge ID]]</f>
        <v>n1C84502F_9CE4_45AD_8152_4C28CF43CC7A</v>
      </c>
      <c r="B19" s="21" t="str">
        <f>EdgesData[[#This Row],[Node A ID]]</f>
        <v>nE75296C8_9CA1_417E_B05B_CC1BDF26F9C3</v>
      </c>
      <c r="C19" s="21" t="str">
        <f>EdgesData[[#This Row],[Node B ID]]</f>
        <v>nAC688165_B606_4D82_A016_0263D701EDF2</v>
      </c>
      <c r="D19" s="3" t="str">
        <f>EdgesData[[#This Row],[Rel]]</f>
        <v>is</v>
      </c>
      <c r="E19" s="25" t="str" cm="1">
        <f t="array" ref="E19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0" spans="1:5" ht="13.9" thickTop="1" thickBot="1" x14ac:dyDescent="0.4">
      <c r="A20" s="21" t="str">
        <f>EdgesData[[#This Row],[Edge ID]]</f>
        <v>n58FF34AB_C0AD_4329_B54F_8DA88A1CEA2B</v>
      </c>
      <c r="B20" s="21" t="str">
        <f>EdgesData[[#This Row],[Node A ID]]</f>
        <v>n3E35442D_91A0_4B21_B0FC_31EF1D8BC55F</v>
      </c>
      <c r="C20" s="21" t="str">
        <f>EdgesData[[#This Row],[Node B ID]]</f>
        <v>n53877DB9_77FA_44E9_974A_BE3344133398</v>
      </c>
      <c r="D20" s="3" t="str">
        <f>EdgesData[[#This Row],[Rel]]</f>
        <v>is</v>
      </c>
      <c r="E20" s="25" t="str" cm="1">
        <f t="array" ref="E20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1" spans="1:5" ht="13.9" thickTop="1" thickBot="1" x14ac:dyDescent="0.4">
      <c r="A21" s="21" t="str">
        <f>EdgesData[[#This Row],[Edge ID]]</f>
        <v>nC04D4E4C_23D6_4E6A_B5A4_713BF692C4A9</v>
      </c>
      <c r="B21" s="21" t="str">
        <f>EdgesData[[#This Row],[Node A ID]]</f>
        <v>n3E35442D_91A0_4B21_B0FC_31EF1D8BC55F</v>
      </c>
      <c r="C21" s="21" t="str">
        <f>EdgesData[[#This Row],[Node B ID]]</f>
        <v>nAC688165_B606_4D82_A016_0263D701EDF2</v>
      </c>
      <c r="D21" s="3" t="str">
        <f>EdgesData[[#This Row],[Rel]]</f>
        <v>is</v>
      </c>
      <c r="E21" s="25" t="str" cm="1">
        <f t="array" ref="E21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2" spans="1:5" ht="13.9" thickTop="1" thickBot="1" x14ac:dyDescent="0.4">
      <c r="A22" s="21" t="str">
        <f>EdgesData[[#This Row],[Edge ID]]</f>
        <v>nA91494B0_E4BA_4773_AE36_FBC723F16E58</v>
      </c>
      <c r="B22" s="21" t="str">
        <f>EdgesData[[#This Row],[Node A ID]]</f>
        <v>n99E2EC41_CA7B_41FD_8304_3926884533F9</v>
      </c>
      <c r="C22" s="21" t="str">
        <f>EdgesData[[#This Row],[Node B ID]]</f>
        <v>n67C132A3_290E_4750_90DE_11E7C1778537</v>
      </c>
      <c r="D22" s="3" t="str">
        <f>EdgesData[[#This Row],[Rel]]</f>
        <v>is</v>
      </c>
      <c r="E22" s="25" t="str" cm="1">
        <f t="array" ref="E22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3" spans="1:5" ht="13.9" thickTop="1" thickBot="1" x14ac:dyDescent="0.4">
      <c r="A23" s="21" t="str">
        <f>EdgesData[[#This Row],[Edge ID]]</f>
        <v>n2A19C71F_AFEB_4CB7_ABBC_B7834D29F28C</v>
      </c>
      <c r="B23" s="21" t="str">
        <f>EdgesData[[#This Row],[Node A ID]]</f>
        <v>nFF2EA87E_84ED_44A7_83DE_4A3C4C0F01DF</v>
      </c>
      <c r="C23" s="21" t="str">
        <f>EdgesData[[#This Row],[Node B ID]]</f>
        <v>n53877DB9_77FA_44E9_974A_BE3344133398</v>
      </c>
      <c r="D23" s="3" t="str">
        <f>EdgesData[[#This Row],[Rel]]</f>
        <v>is</v>
      </c>
      <c r="E23" s="25" t="str" cm="1">
        <f t="array" ref="E23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4" spans="1:5" ht="13.9" thickTop="1" thickBot="1" x14ac:dyDescent="0.4">
      <c r="A24" s="21" t="str">
        <f>EdgesData[[#This Row],[Edge ID]]</f>
        <v>nD0C6BF06_6975_4E42_948E_4BA9B597C722</v>
      </c>
      <c r="B24" s="21" t="str">
        <f>EdgesData[[#This Row],[Node A ID]]</f>
        <v>nFF2EA87E_84ED_44A7_83DE_4A3C4C0F01DF</v>
      </c>
      <c r="C24" s="21" t="str">
        <f>EdgesData[[#This Row],[Node B ID]]</f>
        <v>nAC688165_B606_4D82_A016_0263D701EDF2</v>
      </c>
      <c r="D24" s="3" t="str">
        <f>EdgesData[[#This Row],[Rel]]</f>
        <v>is</v>
      </c>
      <c r="E24" s="25" t="str" cm="1">
        <f t="array" ref="E24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5" spans="1:5" ht="13.9" thickTop="1" thickBot="1" x14ac:dyDescent="0.4">
      <c r="A25" s="21" t="str">
        <f>EdgesData[[#This Row],[Edge ID]]</f>
        <v>n65CE68B0_0066_483B_B881_3572D2E95D0A</v>
      </c>
      <c r="B25" s="21" t="str">
        <f>EdgesData[[#This Row],[Node A ID]]</f>
        <v>n940256DD_635E_4F4B_91EA_B3366D40E947</v>
      </c>
      <c r="C25" s="21" t="str">
        <f>EdgesData[[#This Row],[Node B ID]]</f>
        <v>n80310A12_2F48_48B9_A9C3_E6FADD4B55C9</v>
      </c>
      <c r="D25" s="3" t="str">
        <f>EdgesData[[#This Row],[Rel]]</f>
        <v>is</v>
      </c>
      <c r="E25" s="25" t="str" cm="1">
        <f t="array" ref="E25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6" spans="1:5" ht="13.9" thickTop="1" thickBot="1" x14ac:dyDescent="0.4">
      <c r="A26" s="21" t="str">
        <f>EdgesData[[#This Row],[Edge ID]]</f>
        <v>nF451769F_A5E2_475A_89F0_5DCF08D27D4F</v>
      </c>
      <c r="B26" s="21" t="str">
        <f>EdgesData[[#This Row],[Node A ID]]</f>
        <v>nBB725018_7327_49FB_A48A_74839D0C04F9</v>
      </c>
      <c r="C26" s="21" t="str">
        <f>EdgesData[[#This Row],[Node B ID]]</f>
        <v>n80310A12_2F48_48B9_A9C3_E6FADD4B55C9</v>
      </c>
      <c r="D26" s="3" t="str">
        <f>EdgesData[[#This Row],[Rel]]</f>
        <v>is</v>
      </c>
      <c r="E26" s="25" t="str" cm="1">
        <f t="array" ref="E26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7" spans="1:5" ht="13.9" thickTop="1" thickBot="1" x14ac:dyDescent="0.4">
      <c r="A27" s="21" t="str">
        <f>EdgesData[[#This Row],[Edge ID]]</f>
        <v>n73EBE6B5_2ED2_404F_A9CE_C06A461A9CF9</v>
      </c>
      <c r="B27" s="21" t="str">
        <f>EdgesData[[#This Row],[Node A ID]]</f>
        <v>nC607594D_D597_4C8E_9605_EED87566C2FD</v>
      </c>
      <c r="C27" s="21" t="str">
        <f>EdgesData[[#This Row],[Node B ID]]</f>
        <v>n80310A12_2F48_48B9_A9C3_E6FADD4B55C9</v>
      </c>
      <c r="D27" s="3" t="str">
        <f>EdgesData[[#This Row],[Rel]]</f>
        <v>composed of</v>
      </c>
      <c r="E27" s="25" t="str" cm="1">
        <f t="array" ref="E27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8" spans="1:5" ht="13.9" thickTop="1" thickBot="1" x14ac:dyDescent="0.4">
      <c r="A28" s="21" t="str">
        <f>EdgesData[[#This Row],[Edge ID]]</f>
        <v>n9CA40070_6FEB_4067_8535_532D52F5CC18</v>
      </c>
      <c r="B28" s="21" t="str">
        <f>EdgesData[[#This Row],[Node A ID]]</f>
        <v>nC607594D_D597_4C8E_9605_EED87566C2FD</v>
      </c>
      <c r="C28" s="21" t="str">
        <f>EdgesData[[#This Row],[Node B ID]]</f>
        <v>nFB32F479_4EF7_409C_900B_EE48AA0DE846</v>
      </c>
      <c r="D28" s="3" t="str">
        <f>EdgesData[[#This Row],[Rel]]</f>
        <v>may have</v>
      </c>
      <c r="E28" s="25" t="str" cm="1">
        <f t="array" ref="E28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29" spans="1:5" ht="13.9" thickTop="1" thickBot="1" x14ac:dyDescent="0.4">
      <c r="A29" s="21" t="str">
        <f>EdgesData[[#This Row],[Edge ID]]</f>
        <v>n87E71156_879E_4B20_B1C3_DA6DCBD5E697</v>
      </c>
      <c r="B29" s="21" t="str">
        <f>EdgesData[[#This Row],[Node A ID]]</f>
        <v>nC607594D_D597_4C8E_9605_EED87566C2FD</v>
      </c>
      <c r="C29" s="21" t="str">
        <f>EdgesData[[#This Row],[Node B ID]]</f>
        <v>nFA6C8A63_7071_4E20_BB02_F78403869E0B</v>
      </c>
      <c r="D29" s="3" t="str">
        <f>EdgesData[[#This Row],[Rel]]</f>
        <v>may have</v>
      </c>
      <c r="E29" s="25" t="str" cm="1">
        <f t="array" ref="E29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0" spans="1:5" ht="13.9" thickTop="1" thickBot="1" x14ac:dyDescent="0.4">
      <c r="A30" s="21" t="str">
        <f>EdgesData[[#This Row],[Edge ID]]</f>
        <v>n27C3DAA7_18CE_4679_BFDF_AE332BA90AF5</v>
      </c>
      <c r="B30" s="21" t="str">
        <f>EdgesData[[#This Row],[Node A ID]]</f>
        <v>nC607594D_D597_4C8E_9605_EED87566C2FD</v>
      </c>
      <c r="C30" s="21" t="str">
        <f>EdgesData[[#This Row],[Node B ID]]</f>
        <v>nAC062A15_C72B_42D8_BBDF_C7EB64B35F26</v>
      </c>
      <c r="D30" s="3" t="str">
        <f>EdgesData[[#This Row],[Rel]]</f>
        <v>may have</v>
      </c>
      <c r="E30" s="25" t="str" cm="1">
        <f t="array" ref="E30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1" spans="1:5" ht="13.9" thickTop="1" thickBot="1" x14ac:dyDescent="0.4">
      <c r="A31" s="21" t="str">
        <f>EdgesData[[#This Row],[Edge ID]]</f>
        <v>n0CBC93F4_6EAE_4195_8F35_23C763EA6BED</v>
      </c>
      <c r="B31" s="21" t="str">
        <f>EdgesData[[#This Row],[Node A ID]]</f>
        <v>nC607594D_D597_4C8E_9605_EED87566C2FD</v>
      </c>
      <c r="C31" s="21" t="str">
        <f>EdgesData[[#This Row],[Node B ID]]</f>
        <v>nF3A221C8_C126_458E_818C_DAE6B57CD442</v>
      </c>
      <c r="D31" s="3" t="str">
        <f>EdgesData[[#This Row],[Rel]]</f>
        <v>may have</v>
      </c>
      <c r="E31" s="25" t="str" cm="1">
        <f t="array" ref="E31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2" spans="1:5" ht="13.9" thickTop="1" thickBot="1" x14ac:dyDescent="0.4">
      <c r="A32" s="21" t="str">
        <f>EdgesData[[#This Row],[Edge ID]]</f>
        <v>nD167F915_A861_4436_9497_FFE4AB13F611</v>
      </c>
      <c r="B32" s="21" t="str">
        <f>EdgesData[[#This Row],[Node A ID]]</f>
        <v>nC607594D_D597_4C8E_9605_EED87566C2FD</v>
      </c>
      <c r="C32" s="21" t="str">
        <f>EdgesData[[#This Row],[Node B ID]]</f>
        <v>n2E4A35A7_53BB_4F4B_8554_B6584F77D71D</v>
      </c>
      <c r="D32" s="3" t="str">
        <f>EdgesData[[#This Row],[Rel]]</f>
        <v>regarded as</v>
      </c>
      <c r="E32" s="25" t="str" cm="1">
        <f t="array" ref="E32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3" spans="1:5" ht="13.9" thickTop="1" thickBot="1" x14ac:dyDescent="0.4">
      <c r="A33" s="21" t="str">
        <f>EdgesData[[#This Row],[Edge ID]]</f>
        <v>nD1A0D0FD_3118_45AC_BAD3_26E89DBD57DC</v>
      </c>
      <c r="B33" s="21" t="str">
        <f>EdgesData[[#This Row],[Node A ID]]</f>
        <v>n35F5759D_AAFF_439C_A04E_623AA07EE4D9</v>
      </c>
      <c r="C33" s="21" t="str">
        <f>EdgesData[[#This Row],[Node B ID]]</f>
        <v>n2F27DDAD_459D_4B06_9152_168BDF5063F5</v>
      </c>
      <c r="D33" s="3" t="str">
        <f>EdgesData[[#This Row],[Rel]]</f>
        <v>synonym for</v>
      </c>
      <c r="E33" s="25" t="str" cm="1">
        <f t="array" ref="E33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4" spans="1:5" ht="13.9" thickTop="1" thickBot="1" x14ac:dyDescent="0.4">
      <c r="A34" s="21" t="str">
        <f>EdgesData[[#This Row],[Edge ID]]</f>
        <v>n2B5ADEF6_C211_4176_ACE9_EC6BB881B4B9</v>
      </c>
      <c r="B34" s="21" t="str">
        <f>EdgesData[[#This Row],[Node A ID]]</f>
        <v>n35F5759D_AAFF_439C_A04E_623AA07EE4D9</v>
      </c>
      <c r="C34" s="21" t="str">
        <f>EdgesData[[#This Row],[Node B ID]]</f>
        <v>n53877DB9_77FA_44E9_974A_BE3344133398</v>
      </c>
      <c r="D34" s="3" t="str">
        <f>EdgesData[[#This Row],[Rel]]</f>
        <v>is</v>
      </c>
      <c r="E34" s="25" t="str" cm="1">
        <f t="array" ref="E34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5" spans="1:5" ht="13.9" thickTop="1" thickBot="1" x14ac:dyDescent="0.4">
      <c r="A35" s="21" t="str">
        <f>EdgesData[[#This Row],[Edge ID]]</f>
        <v>n11F85AC2_D11B_452F_BF41_FAA417F534DE</v>
      </c>
      <c r="B35" s="21" t="str">
        <f>EdgesData[[#This Row],[Node A ID]]</f>
        <v>n35F5759D_AAFF_439C_A04E_623AA07EE4D9</v>
      </c>
      <c r="C35" s="21" t="str">
        <f>EdgesData[[#This Row],[Node B ID]]</f>
        <v>nAC688165_B606_4D82_A016_0263D701EDF2</v>
      </c>
      <c r="D35" s="3" t="str">
        <f>EdgesData[[#This Row],[Rel]]</f>
        <v>is</v>
      </c>
      <c r="E35" s="25" t="str" cm="1">
        <f t="array" ref="E35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6" spans="1:5" ht="13.9" thickTop="1" thickBot="1" x14ac:dyDescent="0.4">
      <c r="A36" s="21" t="str">
        <f>EdgesData[[#This Row],[Edge ID]]</f>
        <v>n001F8278_2466_4E46_AF78_4E1474840B61</v>
      </c>
      <c r="B36" s="21" t="str">
        <f>EdgesData[[#This Row],[Node A ID]]</f>
        <v>n63EDDBAD_A168_4974_B9D5_9B90FB3F688E</v>
      </c>
      <c r="C36" s="21" t="str">
        <f>EdgesData[[#This Row],[Node B ID]]</f>
        <v>n67C132A3_290E_4750_90DE_11E7C1778537</v>
      </c>
      <c r="D36" s="3" t="str">
        <f>EdgesData[[#This Row],[Rel]]</f>
        <v>is</v>
      </c>
      <c r="E36" s="25" t="str" cm="1">
        <f t="array" ref="E36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7" spans="1:5" ht="13.9" thickTop="1" thickBot="1" x14ac:dyDescent="0.4">
      <c r="A37" s="21" t="str">
        <f>EdgesData[[#This Row],[Edge ID]]</f>
        <v>nEDB85302_2B45_41AE_A687_7FC6755CC78A</v>
      </c>
      <c r="B37" s="21" t="str">
        <f>EdgesData[[#This Row],[Node A ID]]</f>
        <v>nC63D5B91_5DF9_4B35_856B_670E59CF1CA0</v>
      </c>
      <c r="C37" s="21" t="str">
        <f>EdgesData[[#This Row],[Node B ID]]</f>
        <v>n53877DB9_77FA_44E9_974A_BE3344133398</v>
      </c>
      <c r="D37" s="3" t="str">
        <f>EdgesData[[#This Row],[Rel]]</f>
        <v>is</v>
      </c>
      <c r="E37" s="25" t="str" cm="1">
        <f t="array" ref="E37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8" spans="1:5" ht="13.9" thickTop="1" thickBot="1" x14ac:dyDescent="0.4">
      <c r="A38" s="21" t="str">
        <f>EdgesData[[#This Row],[Edge ID]]</f>
        <v>n70FF5999_70A6_4341_A798_FF05730D05E4</v>
      </c>
      <c r="B38" s="21" t="str">
        <f>EdgesData[[#This Row],[Node A ID]]</f>
        <v>nC63D5B91_5DF9_4B35_856B_670E59CF1CA0</v>
      </c>
      <c r="C38" s="21" t="str">
        <f>EdgesData[[#This Row],[Node B ID]]</f>
        <v>nAC688165_B606_4D82_A016_0263D701EDF2</v>
      </c>
      <c r="D38" s="3" t="str">
        <f>EdgesData[[#This Row],[Rel]]</f>
        <v>is</v>
      </c>
      <c r="E38" s="25" t="str" cm="1">
        <f t="array" ref="E38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39" spans="1:5" ht="13.9" thickTop="1" thickBot="1" x14ac:dyDescent="0.4">
      <c r="A39" s="21" t="str">
        <f>EdgesData[[#This Row],[Edge ID]]</f>
        <v>n15F3F73F_656D_4BBB_9AC3_F84EFC304F9B</v>
      </c>
      <c r="B39" s="21" t="str">
        <f>EdgesData[[#This Row],[Node A ID]]</f>
        <v>nE61E61F3_D210_49D4_9FB5_8E7744490C9D</v>
      </c>
      <c r="C39" s="21" t="str">
        <f>EdgesData[[#This Row],[Node B ID]]</f>
        <v>n67C132A3_290E_4750_90DE_11E7C1778537</v>
      </c>
      <c r="D39" s="3" t="str">
        <f>EdgesData[[#This Row],[Rel]]</f>
        <v>is</v>
      </c>
      <c r="E39" s="25" t="str" cm="1">
        <f t="array" ref="E39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0" spans="1:5" ht="13.9" thickTop="1" thickBot="1" x14ac:dyDescent="0.4">
      <c r="A40" s="21" t="str">
        <f>EdgesData[[#This Row],[Edge ID]]</f>
        <v>nFD6CE81D_6B06_469F_A64B_3ECF2578FB31</v>
      </c>
      <c r="B40" s="21" t="str">
        <f>EdgesData[[#This Row],[Node A ID]]</f>
        <v>nF4329B4E_89AE_4B13_8BA2_B6BEFB931A12</v>
      </c>
      <c r="C40" s="21" t="str">
        <f>EdgesData[[#This Row],[Node B ID]]</f>
        <v>n53877DB9_77FA_44E9_974A_BE3344133398</v>
      </c>
      <c r="D40" s="3" t="str">
        <f>EdgesData[[#This Row],[Rel]]</f>
        <v>is</v>
      </c>
      <c r="E40" s="25" t="str" cm="1">
        <f t="array" ref="E40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1" spans="1:5" ht="13.9" thickTop="1" thickBot="1" x14ac:dyDescent="0.4">
      <c r="A41" s="21" t="str">
        <f>EdgesData[[#This Row],[Edge ID]]</f>
        <v>n6D604365_C71A_4947_B0C6_C3C723101DA5</v>
      </c>
      <c r="B41" s="21" t="str">
        <f>EdgesData[[#This Row],[Node A ID]]</f>
        <v>nF4329B4E_89AE_4B13_8BA2_B6BEFB931A12</v>
      </c>
      <c r="C41" s="21" t="str">
        <f>EdgesData[[#This Row],[Node B ID]]</f>
        <v>nAC688165_B606_4D82_A016_0263D701EDF2</v>
      </c>
      <c r="D41" s="3" t="str">
        <f>EdgesData[[#This Row],[Rel]]</f>
        <v>is</v>
      </c>
      <c r="E41" s="25" t="str" cm="1">
        <f t="array" ref="E41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2" spans="1:5" ht="13.9" thickTop="1" thickBot="1" x14ac:dyDescent="0.4">
      <c r="A42" s="21" t="str">
        <f>EdgesData[[#This Row],[Edge ID]]</f>
        <v>n4884F8ED_EB06_4C77_8CB8_03E3BD0B0DF6</v>
      </c>
      <c r="B42" s="21" t="str">
        <f>EdgesData[[#This Row],[Node A ID]]</f>
        <v>nD67337C3_82D6_4A00_9312_77ECF955E4EE</v>
      </c>
      <c r="C42" s="21" t="str">
        <f>EdgesData[[#This Row],[Node B ID]]</f>
        <v>n53877DB9_77FA_44E9_974A_BE3344133398</v>
      </c>
      <c r="D42" s="3" t="str">
        <f>EdgesData[[#This Row],[Rel]]</f>
        <v>is</v>
      </c>
      <c r="E42" s="25" t="str" cm="1">
        <f t="array" ref="E42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3" spans="1:5" ht="13.9" thickTop="1" thickBot="1" x14ac:dyDescent="0.4">
      <c r="A43" s="21" t="str">
        <f>EdgesData[[#This Row],[Edge ID]]</f>
        <v>n59BAA06D_2BF6_4A51_B53B_A8361236B480</v>
      </c>
      <c r="B43" s="21" t="str">
        <f>EdgesData[[#This Row],[Node A ID]]</f>
        <v>nD67337C3_82D6_4A00_9312_77ECF955E4EE</v>
      </c>
      <c r="C43" s="21" t="str">
        <f>EdgesData[[#This Row],[Node B ID]]</f>
        <v>nAC688165_B606_4D82_A016_0263D701EDF2</v>
      </c>
      <c r="D43" s="3" t="str">
        <f>EdgesData[[#This Row],[Rel]]</f>
        <v>is</v>
      </c>
      <c r="E43" s="25" t="str" cm="1">
        <f t="array" ref="E43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4" spans="1:5" ht="13.9" thickTop="1" thickBot="1" x14ac:dyDescent="0.4">
      <c r="A44" s="21" t="str">
        <f>EdgesData[[#This Row],[Edge ID]]</f>
        <v>n1077CFA1_7D9B_4396_844D_B149B6ABF35D</v>
      </c>
      <c r="B44" s="21" t="str">
        <f>EdgesData[[#This Row],[Node A ID]]</f>
        <v>n8B4BB7FC_2E2A_4C1A_8657_58EEC2DF8A9A</v>
      </c>
      <c r="C44" s="21" t="str">
        <f>EdgesData[[#This Row],[Node B ID]]</f>
        <v>n67C132A3_290E_4750_90DE_11E7C1778537</v>
      </c>
      <c r="D44" s="3" t="str">
        <f>EdgesData[[#This Row],[Rel]]</f>
        <v>is</v>
      </c>
      <c r="E44" s="25" t="str" cm="1">
        <f t="array" ref="E44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5" spans="1:5" ht="13.9" thickTop="1" thickBot="1" x14ac:dyDescent="0.4">
      <c r="A45" s="21" t="str">
        <f>EdgesData[[#This Row],[Edge ID]]</f>
        <v>nE94E97D6_EDA3_48F8_B3A2_FF2D38612803</v>
      </c>
      <c r="B45" s="21" t="str">
        <f>EdgesData[[#This Row],[Node A ID]]</f>
        <v>nF44C30A8_A797_4F0C_9C18_D87E7D5A8B88</v>
      </c>
      <c r="C45" s="21" t="str">
        <f>EdgesData[[#This Row],[Node B ID]]</f>
        <v>n67C132A3_290E_4750_90DE_11E7C1778537</v>
      </c>
      <c r="D45" s="3" t="str">
        <f>EdgesData[[#This Row],[Rel]]</f>
        <v>is</v>
      </c>
      <c r="E45" s="25" t="str" cm="1">
        <f t="array" ref="E45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6" spans="1:5" ht="13.9" thickTop="1" thickBot="1" x14ac:dyDescent="0.4">
      <c r="A46" s="21" t="str">
        <f>EdgesData[[#This Row],[Edge ID]]</f>
        <v>n54777CBB_23A1_4D88_9399_8132024209B6</v>
      </c>
      <c r="B46" s="21" t="str">
        <f>EdgesData[[#This Row],[Node A ID]]</f>
        <v>n2F27DDAD_459D_4B06_9152_168BDF5063F5</v>
      </c>
      <c r="C46" s="21" t="str">
        <f>EdgesData[[#This Row],[Node B ID]]</f>
        <v>n53877DB9_77FA_44E9_974A_BE3344133398</v>
      </c>
      <c r="D46" s="3" t="str">
        <f>EdgesData[[#This Row],[Rel]]</f>
        <v>is</v>
      </c>
      <c r="E46" s="25" t="str" cm="1">
        <f t="array" ref="E46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7" spans="1:5" ht="13.9" thickTop="1" thickBot="1" x14ac:dyDescent="0.4">
      <c r="A47" s="21" t="str">
        <f>EdgesData[[#This Row],[Edge ID]]</f>
        <v>n08F36C07_95CB_4A9F_8AF7_DA92D0D85FAD</v>
      </c>
      <c r="B47" s="21" t="str">
        <f>EdgesData[[#This Row],[Node A ID]]</f>
        <v>n2F27DDAD_459D_4B06_9152_168BDF5063F5</v>
      </c>
      <c r="C47" s="21" t="str">
        <f>EdgesData[[#This Row],[Node B ID]]</f>
        <v>nAC688165_B606_4D82_A016_0263D701EDF2</v>
      </c>
      <c r="D47" s="3" t="str">
        <f>EdgesData[[#This Row],[Rel]]</f>
        <v>is</v>
      </c>
      <c r="E47" s="25" t="str" cm="1">
        <f t="array" ref="E47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8" spans="1:5" ht="13.9" thickTop="1" thickBot="1" x14ac:dyDescent="0.4">
      <c r="A48" s="21" t="str">
        <f>EdgesData[[#This Row],[Edge ID]]</f>
        <v>nA8B2A66F_C080_41DF_B473_E0485D490580</v>
      </c>
      <c r="B48" s="21" t="str">
        <f>EdgesData[[#This Row],[Node A ID]]</f>
        <v>nC196E133_4263_4398_B44A_B3053AC5D0E8</v>
      </c>
      <c r="C48" s="21" t="str">
        <f>EdgesData[[#This Row],[Node B ID]]</f>
        <v>n53877DB9_77FA_44E9_974A_BE3344133398</v>
      </c>
      <c r="D48" s="3" t="str">
        <f>EdgesData[[#This Row],[Rel]]</f>
        <v>is</v>
      </c>
      <c r="E48" s="25" t="str" cm="1">
        <f t="array" ref="E48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49" spans="1:5" ht="13.9" thickTop="1" thickBot="1" x14ac:dyDescent="0.4">
      <c r="A49" s="21" t="str">
        <f>EdgesData[[#This Row],[Edge ID]]</f>
        <v>nE1568646_8A29_4498_8C6C_7219DE88E7DA</v>
      </c>
      <c r="B49" s="21" t="str">
        <f>EdgesData[[#This Row],[Node A ID]]</f>
        <v>nC196E133_4263_4398_B44A_B3053AC5D0E8</v>
      </c>
      <c r="C49" s="21" t="str">
        <f>EdgesData[[#This Row],[Node B ID]]</f>
        <v>nAC688165_B606_4D82_A016_0263D701EDF2</v>
      </c>
      <c r="D49" s="3" t="str">
        <f>EdgesData[[#This Row],[Rel]]</f>
        <v>is</v>
      </c>
      <c r="E49" s="25" t="str" cm="1">
        <f t="array" ref="E49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0" spans="1:5" ht="13.9" thickTop="1" thickBot="1" x14ac:dyDescent="0.4">
      <c r="A50" s="21" t="str">
        <f>EdgesData[[#This Row],[Edge ID]]</f>
        <v>n0A451CF0_22E0_44D3_AB03_3E608F7531FA</v>
      </c>
      <c r="B50" s="21" t="str">
        <f>EdgesData[[#This Row],[Node A ID]]</f>
        <v>nE9C9661B_8C28_413E_A8E3_A720E03C04B7</v>
      </c>
      <c r="C50" s="21" t="str">
        <f>EdgesData[[#This Row],[Node B ID]]</f>
        <v>n23656C0A_A156_405F_9FF8_7AE62FD6FB07</v>
      </c>
      <c r="D50" s="3" t="str">
        <f>EdgesData[[#This Row],[Rel]]</f>
        <v>is</v>
      </c>
      <c r="E50" s="25" t="str" cm="1">
        <f t="array" ref="E50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1" spans="1:5" ht="13.9" thickTop="1" thickBot="1" x14ac:dyDescent="0.4">
      <c r="A51" s="27" t="str">
        <f>EdgesData[[#This Row],[Edge ID]]</f>
        <v>nE8DE4BFE_8184_4CDB_AB2B_F5BBB01DDEC9</v>
      </c>
      <c r="B51" s="27" t="str">
        <f>EdgesData[[#This Row],[Node A ID]]</f>
        <v>n23656C0A_A156_405F_9FF8_7AE62FD6FB07</v>
      </c>
      <c r="C51" s="27" t="str">
        <f>EdgesData[[#This Row],[Node B ID]]</f>
        <v>nBC613B66_5F94_4F48_91BD_5F6BBA766E79</v>
      </c>
      <c r="D51" s="4" t="str">
        <f>EdgesData[[#This Row],[Rel]]</f>
        <v>is</v>
      </c>
      <c r="E51" s="25" t="str" cm="1">
        <f t="array" ref="E51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2" spans="1:5" ht="13.9" thickTop="1" thickBot="1" x14ac:dyDescent="0.4">
      <c r="A52" s="27" t="str">
        <f>EdgesData[[#This Row],[Edge ID]]</f>
        <v>n4DCA1FCE_1B55_469F_A7BE_191D25CCF3FD</v>
      </c>
      <c r="B52" s="27" t="str">
        <f>EdgesData[[#This Row],[Node A ID]]</f>
        <v>nE9C9661B_8C28_413E_A8E3_A720E03C04B7</v>
      </c>
      <c r="C52" s="27" t="str">
        <f>EdgesData[[#This Row],[Node B ID]]</f>
        <v>n02B81E29_1266_4611_897E_FD90C5DD5788</v>
      </c>
      <c r="D52" s="4" t="str">
        <f>EdgesData[[#This Row],[Rel]]</f>
        <v>committed by</v>
      </c>
      <c r="E52" s="25" t="str" cm="1">
        <f t="array" ref="E52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3" spans="1:5" ht="13.9" thickTop="1" thickBot="1" x14ac:dyDescent="0.4">
      <c r="A53" s="27" t="str">
        <f>EdgesData[[#This Row],[Edge ID]]</f>
        <v>n13EF72AA_08CA_410B_B24C_89AAA3D27701</v>
      </c>
      <c r="B53" s="27" t="str">
        <f>EdgesData[[#This Row],[Node A ID]]</f>
        <v>nE9C9661B_8C28_413E_A8E3_A720E03C04B7</v>
      </c>
      <c r="C53" s="27" t="str">
        <f>EdgesData[[#This Row],[Node B ID]]</f>
        <v>n89FBB4A6_DF18_465F_9DA3_BD367759F09E</v>
      </c>
      <c r="D53" s="4" t="str">
        <f>EdgesData[[#This Row],[Rel]]</f>
        <v>victimize</v>
      </c>
      <c r="E53" s="25" t="str" cm="1">
        <f t="array" ref="E53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4" spans="1:5" ht="13.9" thickTop="1" thickBot="1" x14ac:dyDescent="0.4">
      <c r="A54" s="27" t="str">
        <f>EdgesData[[#This Row],[Edge ID]]</f>
        <v>nB26195B6_F9CB_4615_844F_03A801F54319</v>
      </c>
      <c r="B54" s="27" t="str">
        <f>EdgesData[[#This Row],[Node A ID]]</f>
        <v>n02B81E29_1266_4611_897E_FD90C5DD5788</v>
      </c>
      <c r="C54" s="27" t="str">
        <f>EdgesData[[#This Row],[Node B ID]]</f>
        <v>n65057A73_5E5D_4997_843D_70FCDDBF4863</v>
      </c>
      <c r="D54" s="4" t="str">
        <f>EdgesData[[#This Row],[Rel]]</f>
        <v>control</v>
      </c>
      <c r="E54" s="25" t="str" cm="1">
        <f t="array" ref="E54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,{"id":"nB26195B6_F9CB_4615_844F_03A801F54319","from":"n02B81E29_1266_4611_897E_FD90C5DD5788","to":"n65057A73_5E5D_4997_843D_70FCDDBF4863","label":"control"}</v>
      </c>
    </row>
    <row r="55" spans="1:5" ht="13.9" thickTop="1" thickBot="1" x14ac:dyDescent="0.4">
      <c r="A55" s="27" t="str">
        <f>EdgesData[[#This Row],[Edge ID]]</f>
        <v>n7E6F3531_1C90_4207_87E3_03DC75297CD1</v>
      </c>
      <c r="B55" s="27" t="str">
        <f>EdgesData[[#This Row],[Node A ID]]</f>
        <v>n89FBB4A6_DF18_465F_9DA3_BD367759F09E</v>
      </c>
      <c r="C55" s="27" t="str">
        <f>EdgesData[[#This Row],[Node B ID]]</f>
        <v>n65057A73_5E5D_4997_843D_70FCDDBF4863</v>
      </c>
      <c r="D55" s="4" t="str">
        <f>EdgesData[[#This Row],[Rel]]</f>
        <v>owns</v>
      </c>
      <c r="E55" s="25" t="str" cm="1">
        <f t="array" ref="E55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,{"id":"n7E6F3531_1C90_4207_87E3_03DC75297CD1","from":"n89FBB4A6_DF18_465F_9DA3_BD367759F09E","to":"n65057A73_5E5D_4997_843D_70FCDDBF4863","label":"owns"}</v>
      </c>
    </row>
    <row r="56" spans="1:5" ht="13.9" thickTop="1" thickBot="1" x14ac:dyDescent="0.4">
      <c r="A56" s="27" t="str">
        <f>EdgesData[[#This Row],[Edge ID]]</f>
        <v>n486B9FB2_ED32_4106_B93F_8269064F6641</v>
      </c>
      <c r="B56" s="27" t="str">
        <f>EdgesData[[#This Row],[Node A ID]]</f>
        <v>n02B81E29_1266_4611_897E_FD90C5DD5788</v>
      </c>
      <c r="C56" s="27" t="str">
        <f>EdgesData[[#This Row],[Node B ID]]</f>
        <v>n89FBB4A6_DF18_465F_9DA3_BD367759F09E</v>
      </c>
      <c r="D56" s="4" t="str">
        <f>EdgesData[[#This Row],[Rel]]</f>
        <v>distinct from</v>
      </c>
      <c r="E56" s="25" t="str" cm="1">
        <f t="array" ref="E56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7" spans="1:5" ht="13.9" thickTop="1" thickBot="1" x14ac:dyDescent="0.4">
      <c r="A57" s="27" t="str">
        <f>EdgesData[[#This Row],[Edge ID]]</f>
        <v>nB02D7F5B_26E1_4631_97FB_9B92CB3DD9A1</v>
      </c>
      <c r="B57" s="27" t="str">
        <f>EdgesData[[#This Row],[Node A ID]]</f>
        <v>n4FA68550_C829_46CD_ADC2_9BE67FA41543</v>
      </c>
      <c r="C57" s="27" t="str">
        <f>EdgesData[[#This Row],[Node B ID]]</f>
        <v>n52564682_5FAD_48CB_A320_6CFE17950D03</v>
      </c>
      <c r="D57" s="4" t="str">
        <f>EdgesData[[#This Row],[Rel]]</f>
        <v>may be</v>
      </c>
      <c r="E57" s="25" t="str" cm="1">
        <f t="array" ref="E57">IF(ROW(EdgesJSON[[#This Row],[id]])&gt;ROW(EdgesJSON[[#Headers],[JSON]])+1,",","") &amp;"{"&amp;twoRangesToJSON(EdgesJSON[[#Headers],[id]:[label]],EdgesJSON[[#This Row],[id]:[label]])&amp;"}"</f>
        <v>,{"id":"nB02D7F5B_26E1_4631_97FB_9B92CB3DD9A1","from":"n4FA68550_C829_46CD_ADC2_9BE67FA41543","to":"n52564682_5FAD_48CB_A320_6CFE17950D03","label":"may be"}</v>
      </c>
    </row>
    <row r="58" spans="1:5" ht="13.9" thickTop="1" thickBot="1" x14ac:dyDescent="0.4">
      <c r="A58" s="27" t="str">
        <f>EdgesData[[#This Row],[Edge ID]]</f>
        <v>nD595CAD7_ED6F_44F0_86BB_0C88B965A46D</v>
      </c>
      <c r="B58" s="27" t="str">
        <f>EdgesData[[#This Row],[Node A ID]]</f>
        <v>n4FA68550_C829_46CD_ADC2_9BE67FA41543</v>
      </c>
      <c r="C58" s="27" t="str">
        <f>EdgesData[[#This Row],[Node B ID]]</f>
        <v>nA59D49F8_3819_4341_A310_19C77AB08AAB</v>
      </c>
      <c r="D58" s="4" t="str">
        <f>EdgesData[[#This Row],[Rel]]</f>
        <v>may be</v>
      </c>
      <c r="E58" s="25" t="str" cm="1">
        <f t="array" ref="E58">IF(ROW(EdgesJSON[[#This Row],[id]])&gt;ROW(EdgesJSON[[#Headers],[JSON]])+1,",","") &amp;"{"&amp;twoRangesToJSON(EdgesJSON[[#Headers],[id]:[label]],EdgesJSON[[#This Row],[id]:[label]])&amp;"}"</f>
        <v>,{"id":"nD595CAD7_ED6F_44F0_86BB_0C88B965A46D","from":"n4FA68550_C829_46CD_ADC2_9BE67FA41543","to":"nA59D49F8_3819_4341_A310_19C77AB08AAB","label":"may be"}</v>
      </c>
    </row>
    <row r="59" spans="1:5" ht="13.9" thickTop="1" thickBot="1" x14ac:dyDescent="0.4">
      <c r="A59" s="27" t="str">
        <f>EdgesData[[#This Row],[Edge ID]]</f>
        <v>n0D36835E_CF22_467A_933C_A4A55A23D57C</v>
      </c>
      <c r="B59" s="27" t="str">
        <f>EdgesData[[#This Row],[Node A ID]]</f>
        <v>n4FA68550_C829_46CD_ADC2_9BE67FA41543</v>
      </c>
      <c r="C59" s="27" t="str">
        <f>EdgesData[[#This Row],[Node B ID]]</f>
        <v>nC0AF8721_A868_4A4D_9F85_3A6D9B88B489</v>
      </c>
      <c r="D59" s="4" t="str">
        <f>EdgesData[[#This Row],[Rel]]</f>
        <v>may be</v>
      </c>
      <c r="E59" s="25" t="str" cm="1">
        <f t="array" ref="E59">IF(ROW(EdgesJSON[[#This Row],[id]])&gt;ROW(EdgesJSON[[#Headers],[JSON]])+1,",","") &amp;"{"&amp;twoRangesToJSON(EdgesJSON[[#Headers],[id]:[label]],EdgesJSON[[#This Row],[id]:[label]])&amp;"}"</f>
        <v>,{"id":"n0D36835E_CF22_467A_933C_A4A55A23D57C","from":"n4FA68550_C829_46CD_ADC2_9BE67FA41543","to":"nC0AF8721_A868_4A4D_9F85_3A6D9B88B489","label":"may be"}</v>
      </c>
    </row>
    <row r="60" spans="1:5" ht="13.9" thickTop="1" thickBot="1" x14ac:dyDescent="0.4">
      <c r="A60" s="27" t="str">
        <f>EdgesData[[#This Row],[Edge ID]]</f>
        <v>nCB175E38_E6C9_499C_9540_9A5CB69E8E36</v>
      </c>
      <c r="B60" s="27" t="str">
        <f>EdgesData[[#This Row],[Node A ID]]</f>
        <v>n02B81E29_1266_4611_897E_FD90C5DD5788</v>
      </c>
      <c r="C60" s="27" t="str">
        <f>EdgesData[[#This Row],[Node B ID]]</f>
        <v>n4E7B27FA_8562_4EC8_869A_378A5937334A</v>
      </c>
      <c r="D60" s="4" t="str">
        <f>EdgesData[[#This Row],[Rel]]</f>
        <v>has not</v>
      </c>
      <c r="E60" s="25" t="str" cm="1">
        <f t="array" ref="E60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1" spans="1:5" ht="13.9" thickTop="1" thickBot="1" x14ac:dyDescent="0.4">
      <c r="A61" s="27" t="str">
        <f>EdgesData[[#This Row],[Edge ID]]</f>
        <v>n17260B5F_F54A_4609_A340_8AF19FDCD912</v>
      </c>
      <c r="B61" s="27" t="str">
        <f>EdgesData[[#This Row],[Node A ID]]</f>
        <v>n89FBB4A6_DF18_465F_9DA3_BD367759F09E</v>
      </c>
      <c r="C61" s="27" t="str">
        <f>EdgesData[[#This Row],[Node B ID]]</f>
        <v>n4E7B27FA_8562_4EC8_869A_378A5937334A</v>
      </c>
      <c r="D61" s="4" t="str">
        <f>EdgesData[[#This Row],[Rel]]</f>
        <v>has</v>
      </c>
      <c r="E61" s="25" t="str" cm="1">
        <f t="array" ref="E61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,{"id":"n17260B5F_F54A_4609_A340_8AF19FDCD912","from":"n89FBB4A6_DF18_465F_9DA3_BD367759F09E","to":"n4E7B27FA_8562_4EC8_869A_378A5937334A","label":"has"}</v>
      </c>
    </row>
    <row r="62" spans="1:5" ht="13.9" thickTop="1" thickBot="1" x14ac:dyDescent="0.4">
      <c r="A62" s="27" t="str">
        <f>EdgesData[[#This Row],[Edge ID]]</f>
        <v>n0C8BC5FF_37C2_4FD1_990A_A9B822774FB2</v>
      </c>
      <c r="B62" s="27" t="str">
        <f>EdgesData[[#This Row],[Node A ID]]</f>
        <v>nE9C9661B_8C28_413E_A8E3_A720E03C04B7</v>
      </c>
      <c r="C62" s="27" t="str">
        <f>EdgesData[[#This Row],[Node B ID]]</f>
        <v>nE0352234_7814_467F_8B8B_EF900BACC357</v>
      </c>
      <c r="D62" s="4" t="str">
        <f>EdgesData[[#This Row],[Rel]]</f>
        <v>is</v>
      </c>
      <c r="E62" s="25" t="str" cm="1">
        <f t="array" ref="E62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3" spans="1:5" ht="13.9" thickTop="1" thickBot="1" x14ac:dyDescent="0.4">
      <c r="A63" s="27" t="str">
        <f>EdgesData[[#This Row],[Edge ID]]</f>
        <v>n228330D7_7E4B_46EA_A89C_F44DF98A27FA</v>
      </c>
      <c r="B63" s="27" t="str">
        <f>EdgesData[[#This Row],[Node A ID]]</f>
        <v>n4E7B27FA_8562_4EC8_869A_378A5937334A</v>
      </c>
      <c r="C63" s="27" t="str">
        <f>EdgesData[[#This Row],[Node B ID]]</f>
        <v>n65057A73_5E5D_4997_843D_70FCDDBF4863</v>
      </c>
      <c r="D63" s="4" t="str">
        <f>EdgesData[[#This Row],[Rel]]</f>
        <v>to impersonate</v>
      </c>
      <c r="E63" s="25" t="str" cm="1">
        <f t="array" ref="E63">IF(ROW(EdgesJSON[[#This Row],[id]])&gt;ROW(EdgesJSON[[#Headers],[JSON]])+1,",","") &amp;"{"&amp;twoRangesToJSON(EdgesJSON[[#Headers],[id]:[label]],EdgesJSON[[#This Row],[id]:[label]])&amp;"}"</f>
        <v>,{"id":"n228330D7_7E4B_46EA_A89C_F44DF98A27FA","from":"n4E7B27FA_8562_4EC8_869A_378A5937334A","to":"n65057A73_5E5D_4997_843D_70FCDDBF4863","label":"to impersonate"}</v>
      </c>
    </row>
    <row r="64" spans="1:5" ht="13.9" thickTop="1" thickBot="1" x14ac:dyDescent="0.4">
      <c r="A64" s="27" t="str">
        <f>EdgesData[[#This Row],[Edge ID]]</f>
        <v>n7E99EFA2_7827_4773_91E4_D9B34E3CAA5A</v>
      </c>
      <c r="B64" s="27" t="str">
        <f>EdgesData[[#This Row],[Node A ID]]</f>
        <v>n02B81E29_1266_4611_897E_FD90C5DD5788</v>
      </c>
      <c r="C64" s="27" t="str">
        <f>EdgesData[[#This Row],[Node B ID]]</f>
        <v>n4FA68550_C829_46CD_ADC2_9BE67FA41543</v>
      </c>
      <c r="D64" s="4" t="str">
        <f>EdgesData[[#This Row],[Rel]]</f>
        <v>has</v>
      </c>
      <c r="E64" s="25" t="str" cm="1">
        <f t="array" ref="E64">IF(ROW(EdgesJSON[[#This Row],[id]])&gt;ROW(EdgesJSON[[#Headers],[JSON]])+1,",","") &amp;"{"&amp;twoRangesToJSON(EdgesJSON[[#Headers],[id]:[label]],EdgesJSON[[#This Row],[id]:[label]])&amp;"}"</f>
        <v>,{"id":"n7E99EFA2_7827_4773_91E4_D9B34E3CAA5A","from":"n02B81E29_1266_4611_897E_FD90C5DD5788","to":"n4FA68550_C829_46CD_ADC2_9BE67FA41543","label":"has"}</v>
      </c>
    </row>
    <row r="65" spans="1:5" ht="13.9" thickTop="1" thickBot="1" x14ac:dyDescent="0.4">
      <c r="A65" s="27" t="str">
        <f>EdgesData[[#This Row],[Edge ID]]</f>
        <v>n0028F731_EC86_4C20_B77F_946A63CC2AC9</v>
      </c>
      <c r="B65" s="27" t="str">
        <f>EdgesData[[#This Row],[Node A ID]]</f>
        <v>nA59D49F8_3819_4341_A310_19C77AB08AAB</v>
      </c>
      <c r="C65" s="27" t="str">
        <f>EdgesData[[#This Row],[Node B ID]]</f>
        <v>n89FBB4A6_DF18_465F_9DA3_BD367759F09E</v>
      </c>
      <c r="D65" s="4" t="str">
        <f>EdgesData[[#This Row],[Rel]]</f>
        <v>to</v>
      </c>
      <c r="E65" s="25" t="str" cm="1">
        <f t="array" ref="E65">IF(ROW(EdgesJSON[[#This Row],[id]])&gt;ROW(EdgesJSON[[#Headers],[JSON]])+1,",","") &amp;"{"&amp;twoRangesToJSON(EdgesJSON[[#Headers],[id]:[label]],EdgesJSON[[#This Row],[id]:[label]])&amp;"}"</f>
        <v>,{"id":"n0028F731_EC86_4C20_B77F_946A63CC2AC9","from":"nA59D49F8_3819_4341_A310_19C77AB08AAB","to":"n89FBB4A6_DF18_465F_9DA3_BD367759F09E","label":"to"}</v>
      </c>
    </row>
    <row r="66" spans="1:5" ht="13.9" thickTop="1" thickBot="1" x14ac:dyDescent="0.4">
      <c r="A66" s="27" t="str">
        <f>EdgesData[[#This Row],[Edge ID]]</f>
        <v>n87A12089_2F7A_43C7_8FAD_0D12176C5DD3</v>
      </c>
      <c r="B66" s="27" t="str">
        <f>EdgesData[[#This Row],[Node A ID]]</f>
        <v>nE9C9661B_8C28_413E_A8E3_A720E03C04B7</v>
      </c>
      <c r="C66" s="27" t="str">
        <f>EdgesData[[#This Row],[Node B ID]]</f>
        <v>n65057A73_5E5D_4997_843D_70FCDDBF4863</v>
      </c>
      <c r="D66" s="8" t="str">
        <f>EdgesData[[#This Row],[Rel]]</f>
        <v>target</v>
      </c>
      <c r="E66" s="25" t="str" cm="1">
        <f t="array" ref="E66">IF(ROW(EdgesJSON[[#This Row],[id]])&gt;ROW(EdgesJSON[[#Headers],[JSON]])+1,",","") &amp;"{"&amp;twoRangesToJSON(EdgesJSON[[#Headers],[id]:[label]],EdgesJSON[[#This Row],[id]:[label]])&amp;"}"</f>
        <v>,{"id":"n87A12089_2F7A_43C7_8FAD_0D12176C5DD3","from":"nE9C9661B_8C28_413E_A8E3_A720E03C04B7","to":"n65057A73_5E5D_4997_843D_70FCDDBF4863","label":"target"}</v>
      </c>
    </row>
    <row r="67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2021-07-11T06:47:56Z</dcterms:modified>
</cp:coreProperties>
</file>